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267206\Desktop\Excel Dashboard Projects\E-Commerce_Dashbpard\"/>
    </mc:Choice>
  </mc:AlternateContent>
  <xr:revisionPtr revIDLastSave="0" documentId="13_ncr:1_{0A55F244-384D-4918-BCD7-47639F936A66}" xr6:coauthVersionLast="47" xr6:coauthVersionMax="47" xr10:uidLastSave="{00000000-0000-0000-0000-000000000000}"/>
  <bookViews>
    <workbookView xWindow="-108" yWindow="-108" windowWidth="23256" windowHeight="12456" xr2:uid="{346724B3-1C49-40AE-AA36-C77CF5D6DD09}"/>
  </bookViews>
  <sheets>
    <sheet name="Pivots" sheetId="6" r:id="rId1"/>
    <sheet name="App Amt. by Gender" sheetId="8" r:id="rId2"/>
    <sheet name="Qty2 by tx.id" sheetId="9" r:id="rId3"/>
    <sheet name="Product by Gender" sheetId="11" r:id="rId4"/>
    <sheet name="Sheet2" sheetId="13" r:id="rId5"/>
    <sheet name="Data" sheetId="1" r:id="rId6"/>
    <sheet name="Questions &amp; KPIs" sheetId="2" r:id="rId7"/>
    <sheet name="Product Sales Dashboard" sheetId="7" r:id="rId8"/>
  </sheets>
  <definedNames>
    <definedName name="_xlchart.v5.0" hidden="1">'Product by Gender'!$G$31:$H$31</definedName>
    <definedName name="_xlchart.v5.1" hidden="1">'Product by Gender'!$G$32:$H$89</definedName>
    <definedName name="_xlchart.v5.2" hidden="1">'Product by Gender'!$I$31</definedName>
    <definedName name="_xlchart.v5.3" hidden="1">'Product by Gender'!$I$32:$I$89</definedName>
    <definedName name="_xlchart.v5.4" hidden="1">'Product by Gender'!$K$31:$L$31</definedName>
    <definedName name="_xlchart.v5.5" hidden="1">'Product by Gender'!$K$32:$L$89</definedName>
    <definedName name="_xlchart.v5.6" hidden="1">'Product by Gender'!$M$31</definedName>
    <definedName name="_xlchart.v5.7" hidden="1">'Product by Gender'!$M$32:$M$89</definedName>
    <definedName name="Slicer_Gender_Value">#N/A</definedName>
    <definedName name="Slicer_Order_Mod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8" i="11" l="1"/>
  <c r="K58" i="11" s="1"/>
  <c r="G59" i="11"/>
  <c r="G60" i="11"/>
  <c r="K60" i="11" s="1"/>
  <c r="G61" i="11"/>
  <c r="K61" i="11" s="1"/>
  <c r="G62" i="11"/>
  <c r="K62" i="11" s="1"/>
  <c r="G63" i="11"/>
  <c r="G64" i="11"/>
  <c r="G65" i="11"/>
  <c r="G66" i="11"/>
  <c r="G67" i="11"/>
  <c r="G68" i="11"/>
  <c r="G69" i="11"/>
  <c r="G70" i="11"/>
  <c r="K70" i="11" s="1"/>
  <c r="G71" i="11"/>
  <c r="K71" i="11" s="1"/>
  <c r="G72" i="11"/>
  <c r="K72" i="11" s="1"/>
  <c r="G73" i="11"/>
  <c r="K73" i="11" s="1"/>
  <c r="G74" i="11"/>
  <c r="K74" i="11" s="1"/>
  <c r="G75" i="11"/>
  <c r="K75" i="11" s="1"/>
  <c r="G76" i="11"/>
  <c r="K76" i="11" s="1"/>
  <c r="G77" i="11"/>
  <c r="K77" i="11" s="1"/>
  <c r="G56" i="11"/>
  <c r="K56" i="11" s="1"/>
  <c r="G57" i="11"/>
  <c r="K57" i="11" s="1"/>
  <c r="K63" i="11"/>
  <c r="K64" i="11"/>
  <c r="K65" i="11"/>
  <c r="K66" i="11"/>
  <c r="K67" i="11"/>
  <c r="K68" i="11"/>
  <c r="K69" i="11"/>
  <c r="G33" i="11"/>
  <c r="K33" i="11" s="1"/>
  <c r="G34" i="11"/>
  <c r="K34" i="11" s="1"/>
  <c r="G35" i="11"/>
  <c r="K35" i="11" s="1"/>
  <c r="G36" i="11"/>
  <c r="K36" i="11" s="1"/>
  <c r="G37" i="11"/>
  <c r="K37" i="11" s="1"/>
  <c r="G38" i="11"/>
  <c r="K38" i="11" s="1"/>
  <c r="G39" i="11"/>
  <c r="K39" i="11" s="1"/>
  <c r="G40" i="11"/>
  <c r="K40" i="11" s="1"/>
  <c r="G41" i="11"/>
  <c r="K41" i="11" s="1"/>
  <c r="G42" i="11"/>
  <c r="K42" i="11" s="1"/>
  <c r="G43" i="11"/>
  <c r="K43" i="11" s="1"/>
  <c r="G44" i="11"/>
  <c r="K44" i="11" s="1"/>
  <c r="G45" i="11"/>
  <c r="K45" i="11" s="1"/>
  <c r="G46" i="11"/>
  <c r="K46" i="11" s="1"/>
  <c r="G47" i="11"/>
  <c r="K47" i="11" s="1"/>
  <c r="G48" i="11"/>
  <c r="K48" i="11" s="1"/>
  <c r="G49" i="11"/>
  <c r="K49" i="11" s="1"/>
  <c r="G50" i="11"/>
  <c r="K50" i="11" s="1"/>
  <c r="G51" i="11"/>
  <c r="K51" i="11" s="1"/>
  <c r="G52" i="11"/>
  <c r="K52" i="11" s="1"/>
  <c r="G53" i="11"/>
  <c r="K53" i="11" s="1"/>
  <c r="G54" i="11"/>
  <c r="K54" i="11" s="1"/>
  <c r="G55" i="11"/>
  <c r="K55" i="11" s="1"/>
  <c r="K32" i="11"/>
  <c r="G32" i="11"/>
  <c r="K59" i="11"/>
  <c r="G78" i="11"/>
  <c r="K78" i="11" s="1"/>
  <c r="G79" i="11"/>
  <c r="K79" i="11" s="1"/>
  <c r="G80" i="11"/>
  <c r="K80" i="11" s="1"/>
  <c r="G81" i="11"/>
  <c r="K81" i="11" s="1"/>
  <c r="G82" i="11"/>
  <c r="K82" i="11" s="1"/>
  <c r="G83" i="11"/>
  <c r="K83" i="11" s="1"/>
  <c r="G84" i="11"/>
  <c r="K84" i="11" s="1"/>
  <c r="G85" i="11"/>
  <c r="K85" i="11" s="1"/>
  <c r="G86" i="11"/>
  <c r="K86" i="11" s="1"/>
  <c r="G87" i="11"/>
  <c r="G88" i="11"/>
  <c r="K88" i="11" s="1"/>
  <c r="G89" i="11"/>
  <c r="K89" i="11" s="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80" i="11"/>
  <c r="M81" i="11"/>
  <c r="M82" i="11"/>
  <c r="M83" i="11"/>
  <c r="M84" i="11"/>
  <c r="M85" i="11"/>
  <c r="M86" i="11"/>
  <c r="M87" i="11"/>
  <c r="M88" i="11"/>
  <c r="M89" i="11"/>
  <c r="M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32" i="11"/>
  <c r="H33" i="11"/>
  <c r="L33" i="11" s="1"/>
  <c r="H34" i="11"/>
  <c r="L34" i="11" s="1"/>
  <c r="H35" i="11"/>
  <c r="L35" i="11" s="1"/>
  <c r="H36" i="11"/>
  <c r="L36" i="11" s="1"/>
  <c r="H37" i="11"/>
  <c r="L37" i="11" s="1"/>
  <c r="H38" i="11"/>
  <c r="L38" i="11" s="1"/>
  <c r="H39" i="11"/>
  <c r="L39" i="11" s="1"/>
  <c r="H40" i="11"/>
  <c r="L40" i="11" s="1"/>
  <c r="H41" i="11"/>
  <c r="L41" i="11" s="1"/>
  <c r="H42" i="11"/>
  <c r="L42" i="11" s="1"/>
  <c r="H43" i="11"/>
  <c r="L43" i="11" s="1"/>
  <c r="H44" i="11"/>
  <c r="L44" i="11" s="1"/>
  <c r="H45" i="11"/>
  <c r="L45" i="11" s="1"/>
  <c r="H46" i="11"/>
  <c r="L46" i="11" s="1"/>
  <c r="H47" i="11"/>
  <c r="L47" i="11" s="1"/>
  <c r="H48" i="11"/>
  <c r="L48" i="11" s="1"/>
  <c r="H49" i="11"/>
  <c r="L49" i="11" s="1"/>
  <c r="H50" i="11"/>
  <c r="L50" i="11" s="1"/>
  <c r="H51" i="11"/>
  <c r="L51" i="11" s="1"/>
  <c r="H52" i="11"/>
  <c r="L52" i="11" s="1"/>
  <c r="H53" i="11"/>
  <c r="L53" i="11" s="1"/>
  <c r="H54" i="11"/>
  <c r="L54" i="11" s="1"/>
  <c r="H55" i="11"/>
  <c r="L55" i="11" s="1"/>
  <c r="H56" i="11"/>
  <c r="L56" i="11" s="1"/>
  <c r="H57" i="11"/>
  <c r="L57" i="11" s="1"/>
  <c r="L58" i="11"/>
  <c r="L59" i="11"/>
  <c r="L60" i="11"/>
  <c r="L61" i="11"/>
  <c r="L62" i="11"/>
  <c r="L63" i="11"/>
  <c r="L64" i="11"/>
  <c r="L65" i="11"/>
  <c r="L66" i="11"/>
  <c r="L67" i="11"/>
  <c r="L68" i="11"/>
  <c r="L69" i="11"/>
  <c r="L70" i="11"/>
  <c r="L71" i="11"/>
  <c r="L72" i="11"/>
  <c r="L73" i="11"/>
  <c r="L74" i="11"/>
  <c r="L75" i="11"/>
  <c r="L76" i="11"/>
  <c r="L77" i="11"/>
  <c r="L78" i="11"/>
  <c r="L79" i="11"/>
  <c r="L80" i="11"/>
  <c r="L81" i="11"/>
  <c r="L82" i="11"/>
  <c r="L83" i="11"/>
  <c r="L84" i="11"/>
  <c r="L85" i="11"/>
  <c r="L86" i="11"/>
  <c r="L87" i="11"/>
  <c r="L88" i="11"/>
  <c r="L89" i="11"/>
  <c r="K87" i="11"/>
  <c r="H32" i="11"/>
  <c r="L32" i="11" s="1"/>
  <c r="I5" i="8"/>
  <c r="J5" i="8"/>
  <c r="K5" i="8"/>
  <c r="L5" i="8"/>
  <c r="I6" i="8"/>
  <c r="J6" i="8"/>
  <c r="K6" i="8"/>
  <c r="L6" i="8"/>
  <c r="I7" i="8"/>
  <c r="J7" i="8"/>
  <c r="K7" i="8"/>
  <c r="L7" i="8"/>
  <c r="I8" i="8"/>
  <c r="J8" i="8"/>
  <c r="K8" i="8"/>
  <c r="L8" i="8"/>
  <c r="I9" i="8"/>
  <c r="J9" i="8"/>
  <c r="K9" i="8"/>
  <c r="L9" i="8"/>
  <c r="H6" i="8"/>
  <c r="H7" i="8"/>
  <c r="H8" i="8"/>
  <c r="H9" i="8"/>
  <c r="H5" i="8"/>
  <c r="K4" i="6"/>
  <c r="J4" i="6"/>
  <c r="I4" i="6"/>
  <c r="H4" i="6"/>
  <c r="G4" i="6"/>
  <c r="O2" i="1" a="1"/>
  <c r="O2" i="1" s="1"/>
  <c r="O2401" i="1" a="1"/>
  <c r="O2401" i="1" s="1"/>
  <c r="N2401" i="1"/>
  <c r="M2401" i="1"/>
  <c r="O2400" i="1" a="1"/>
  <c r="O2400" i="1" s="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a="1"/>
  <c r="O2390" i="1" s="1"/>
  <c r="N2390" i="1"/>
  <c r="M2390" i="1"/>
  <c r="O2389" i="1" a="1"/>
  <c r="O2389" i="1" s="1"/>
  <c r="N2389" i="1"/>
  <c r="M2389" i="1"/>
  <c r="O2388" i="1" a="1"/>
  <c r="O2388" i="1" s="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a="1"/>
  <c r="O2372" i="1" s="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a="1"/>
  <c r="O2358" i="1" s="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a="1"/>
  <c r="O2339" i="1" s="1"/>
  <c r="N2339" i="1"/>
  <c r="M2339" i="1"/>
  <c r="O2338" i="1" a="1"/>
  <c r="O2338" i="1" s="1"/>
  <c r="N2338" i="1"/>
  <c r="M2338" i="1"/>
  <c r="O2337" i="1" a="1"/>
  <c r="O2337" i="1" s="1"/>
  <c r="N2337" i="1"/>
  <c r="M2337" i="1"/>
  <c r="O2336" i="1" a="1"/>
  <c r="O2336" i="1" s="1"/>
  <c r="N2336" i="1"/>
  <c r="M2336" i="1"/>
  <c r="O2335" i="1" a="1"/>
  <c r="O2335" i="1" s="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a="1"/>
  <c r="O2327" i="1" s="1"/>
  <c r="N2327" i="1"/>
  <c r="M2327" i="1"/>
  <c r="O2326" i="1" a="1"/>
  <c r="O2326" i="1" s="1"/>
  <c r="N2326" i="1"/>
  <c r="M2326" i="1"/>
  <c r="O2325" i="1" a="1"/>
  <c r="O2325" i="1" s="1"/>
  <c r="N2325" i="1"/>
  <c r="M2325" i="1"/>
  <c r="O2324" i="1" a="1"/>
  <c r="O2324" i="1" s="1"/>
  <c r="N2324" i="1"/>
  <c r="M2324" i="1"/>
  <c r="O2323" i="1" a="1"/>
  <c r="O2323" i="1" s="1"/>
  <c r="N2323" i="1"/>
  <c r="M2323" i="1"/>
  <c r="O2322" i="1" a="1"/>
  <c r="O2322" i="1" s="1"/>
  <c r="N2322" i="1"/>
  <c r="M2322" i="1"/>
  <c r="O2321" i="1" a="1"/>
  <c r="O2321" i="1" s="1"/>
  <c r="N2321" i="1"/>
  <c r="M2321" i="1"/>
  <c r="O2320" i="1" a="1"/>
  <c r="O2320" i="1" s="1"/>
  <c r="N2320" i="1"/>
  <c r="M2320" i="1"/>
  <c r="O2319" i="1" a="1"/>
  <c r="O2319" i="1" s="1"/>
  <c r="N2319" i="1"/>
  <c r="M2319" i="1"/>
  <c r="O2318" i="1" a="1"/>
  <c r="O2318" i="1" s="1"/>
  <c r="N2318" i="1"/>
  <c r="M2318" i="1"/>
  <c r="O2317" i="1" a="1"/>
  <c r="O2317" i="1" s="1"/>
  <c r="N2317" i="1"/>
  <c r="M2317" i="1"/>
  <c r="O2316" i="1" a="1"/>
  <c r="O2316" i="1" s="1"/>
  <c r="N2316" i="1"/>
  <c r="M2316" i="1"/>
  <c r="O2315" i="1" a="1"/>
  <c r="O2315" i="1" s="1"/>
  <c r="N2315" i="1"/>
  <c r="M2315" i="1"/>
  <c r="O2314" i="1" a="1"/>
  <c r="O2314" i="1" s="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a="1"/>
  <c r="O2300" i="1" s="1"/>
  <c r="N2300" i="1"/>
  <c r="M2300" i="1"/>
  <c r="O2299" i="1" a="1"/>
  <c r="O2299" i="1" s="1"/>
  <c r="N2299" i="1"/>
  <c r="M2299" i="1"/>
  <c r="O2298" i="1" a="1"/>
  <c r="O2298" i="1" s="1"/>
  <c r="N2298" i="1"/>
  <c r="M2298" i="1"/>
  <c r="O2297" i="1" a="1"/>
  <c r="O2297" i="1" s="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a="1"/>
  <c r="O2289" i="1" s="1"/>
  <c r="N2289" i="1"/>
  <c r="M2289" i="1"/>
  <c r="O2288" i="1" a="1"/>
  <c r="O2288" i="1" s="1"/>
  <c r="N2288" i="1"/>
  <c r="M2288" i="1"/>
  <c r="O2287" i="1" a="1"/>
  <c r="O2287" i="1" s="1"/>
  <c r="N2287" i="1"/>
  <c r="M2287" i="1"/>
  <c r="O2286" i="1" a="1"/>
  <c r="O2286" i="1" s="1"/>
  <c r="N2286" i="1"/>
  <c r="M2286" i="1"/>
  <c r="O2285" i="1" a="1"/>
  <c r="O2285" i="1" s="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a="1"/>
  <c r="O2269" i="1" s="1"/>
  <c r="N2269" i="1"/>
  <c r="M2269" i="1"/>
  <c r="O2268" i="1" a="1"/>
  <c r="O2268" i="1" s="1"/>
  <c r="N2268" i="1"/>
  <c r="M2268" i="1"/>
  <c r="O2267" i="1" a="1"/>
  <c r="O2267" i="1" s="1"/>
  <c r="N2267" i="1"/>
  <c r="M2267" i="1"/>
  <c r="O2266" i="1" a="1"/>
  <c r="O2266" i="1" s="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a="1"/>
  <c r="O2256" i="1" s="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a="1"/>
  <c r="O2250" i="1" s="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a="1"/>
  <c r="O2239" i="1" s="1"/>
  <c r="N2239" i="1"/>
  <c r="M2239" i="1"/>
  <c r="O2238" i="1" a="1"/>
  <c r="O2238" i="1" s="1"/>
  <c r="N2238" i="1"/>
  <c r="M2238" i="1"/>
  <c r="O2237" i="1" a="1"/>
  <c r="O2237" i="1" s="1"/>
  <c r="N2237" i="1"/>
  <c r="M2237" i="1"/>
  <c r="O2236" i="1" a="1"/>
  <c r="O2236" i="1" s="1"/>
  <c r="N2236" i="1"/>
  <c r="M2236" i="1"/>
  <c r="O2235" i="1" a="1"/>
  <c r="O2235" i="1" s="1"/>
  <c r="N2235" i="1"/>
  <c r="M2235" i="1"/>
  <c r="O2234" i="1" a="1"/>
  <c r="O2234" i="1" s="1"/>
  <c r="N2234" i="1"/>
  <c r="M2234" i="1"/>
  <c r="O2233" i="1" a="1"/>
  <c r="O2233" i="1" s="1"/>
  <c r="N2233" i="1"/>
  <c r="M2233" i="1"/>
  <c r="O2232" i="1" a="1"/>
  <c r="O2232" i="1" s="1"/>
  <c r="N2232" i="1"/>
  <c r="M2232" i="1"/>
  <c r="O2231" i="1" a="1"/>
  <c r="O2231" i="1" s="1"/>
  <c r="N2231" i="1"/>
  <c r="M2231" i="1"/>
  <c r="O2230" i="1" a="1"/>
  <c r="O2230" i="1" s="1"/>
  <c r="N2230" i="1"/>
  <c r="M2230" i="1"/>
  <c r="O2229" i="1" a="1"/>
  <c r="O2229" i="1" s="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a="1"/>
  <c r="O2218" i="1" s="1"/>
  <c r="N2218" i="1"/>
  <c r="M2218" i="1"/>
  <c r="O2217" i="1" a="1"/>
  <c r="O2217" i="1" s="1"/>
  <c r="N2217" i="1"/>
  <c r="M2217" i="1"/>
  <c r="O2216" i="1" a="1"/>
  <c r="O2216" i="1" s="1"/>
  <c r="N2216" i="1"/>
  <c r="M2216" i="1"/>
  <c r="O2215" i="1" a="1"/>
  <c r="O2215" i="1" s="1"/>
  <c r="N2215" i="1"/>
  <c r="M2215" i="1"/>
  <c r="O2214" i="1" a="1"/>
  <c r="O2214" i="1" s="1"/>
  <c r="N2214" i="1"/>
  <c r="M2214" i="1"/>
  <c r="O2213" i="1" a="1"/>
  <c r="O2213" i="1" s="1"/>
  <c r="N2213" i="1"/>
  <c r="M2213" i="1"/>
  <c r="O2212" i="1" a="1"/>
  <c r="O2212" i="1" s="1"/>
  <c r="N2212" i="1"/>
  <c r="M2212" i="1"/>
  <c r="O2211" i="1" a="1"/>
  <c r="O2211" i="1" s="1"/>
  <c r="N2211" i="1"/>
  <c r="M2211" i="1"/>
  <c r="O2210" i="1" a="1"/>
  <c r="O2210" i="1" s="1"/>
  <c r="N2210" i="1"/>
  <c r="M2210" i="1"/>
  <c r="O2209" i="1" a="1"/>
  <c r="O2209" i="1" s="1"/>
  <c r="N2209" i="1"/>
  <c r="M2209" i="1"/>
  <c r="O2208" i="1" a="1"/>
  <c r="O2208" i="1" s="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a="1"/>
  <c r="O2200" i="1" s="1"/>
  <c r="N2200" i="1"/>
  <c r="M2200" i="1"/>
  <c r="O2199" i="1" a="1"/>
  <c r="O2199" i="1" s="1"/>
  <c r="N2199" i="1"/>
  <c r="M2199" i="1"/>
  <c r="O2198" i="1" a="1"/>
  <c r="O2198" i="1" s="1"/>
  <c r="N2198" i="1"/>
  <c r="M2198" i="1"/>
  <c r="O2197" i="1" a="1"/>
  <c r="O2197" i="1" s="1"/>
  <c r="N2197" i="1"/>
  <c r="M2197" i="1"/>
  <c r="O2196" i="1" a="1"/>
  <c r="O2196" i="1" s="1"/>
  <c r="N2196" i="1"/>
  <c r="M2196" i="1"/>
  <c r="O2195" i="1" a="1"/>
  <c r="O2195" i="1" s="1"/>
  <c r="N2195" i="1"/>
  <c r="M2195" i="1"/>
  <c r="O2194" i="1" a="1"/>
  <c r="O2194" i="1" s="1"/>
  <c r="N2194" i="1"/>
  <c r="M2194" i="1"/>
  <c r="O2193" i="1" a="1"/>
  <c r="O2193" i="1" s="1"/>
  <c r="N2193" i="1"/>
  <c r="M2193" i="1"/>
  <c r="O2192" i="1" a="1"/>
  <c r="O2192" i="1" s="1"/>
  <c r="N2192" i="1"/>
  <c r="M2192" i="1"/>
  <c r="O2191" i="1" a="1"/>
  <c r="O2191" i="1" s="1"/>
  <c r="N2191" i="1"/>
  <c r="M2191" i="1"/>
  <c r="O2190" i="1" a="1"/>
  <c r="O2190" i="1" s="1"/>
  <c r="N2190" i="1"/>
  <c r="M2190" i="1"/>
  <c r="O2189" i="1" a="1"/>
  <c r="O2189" i="1" s="1"/>
  <c r="N2189" i="1"/>
  <c r="M2189" i="1"/>
  <c r="O2188" i="1" a="1"/>
  <c r="O2188" i="1" s="1"/>
  <c r="N2188" i="1"/>
  <c r="M2188" i="1"/>
  <c r="O2187" i="1" a="1"/>
  <c r="O2187" i="1" s="1"/>
  <c r="N2187" i="1"/>
  <c r="M2187" i="1"/>
  <c r="O2186" i="1" a="1"/>
  <c r="O2186" i="1" s="1"/>
  <c r="N2186" i="1"/>
  <c r="M2186" i="1"/>
  <c r="O2185" i="1" a="1"/>
  <c r="O2185" i="1" s="1"/>
  <c r="N2185" i="1"/>
  <c r="M2185" i="1"/>
  <c r="O2184" i="1" a="1"/>
  <c r="O2184" i="1" s="1"/>
  <c r="N2184" i="1"/>
  <c r="M2184" i="1"/>
  <c r="O2183" i="1" a="1"/>
  <c r="O2183" i="1" s="1"/>
  <c r="N2183" i="1"/>
  <c r="M2183" i="1"/>
  <c r="O2182" i="1" a="1"/>
  <c r="O2182" i="1" s="1"/>
  <c r="N2182" i="1"/>
  <c r="M2182" i="1"/>
  <c r="O2181" i="1" a="1"/>
  <c r="O2181" i="1" s="1"/>
  <c r="N2181" i="1"/>
  <c r="M2181" i="1"/>
  <c r="O2180" i="1" a="1"/>
  <c r="O2180" i="1" s="1"/>
  <c r="N2180" i="1"/>
  <c r="M2180" i="1"/>
  <c r="O2179" i="1" a="1"/>
  <c r="O2179" i="1" s="1"/>
  <c r="N2179" i="1"/>
  <c r="M2179" i="1"/>
  <c r="O2178" i="1" a="1"/>
  <c r="O2178" i="1" s="1"/>
  <c r="N2178" i="1"/>
  <c r="M2178" i="1"/>
  <c r="O2177" i="1" a="1"/>
  <c r="O2177" i="1" s="1"/>
  <c r="N2177" i="1"/>
  <c r="M2177" i="1"/>
  <c r="O2176" i="1" a="1"/>
  <c r="O2176" i="1" s="1"/>
  <c r="N2176" i="1"/>
  <c r="M2176" i="1"/>
  <c r="O2175" i="1" a="1"/>
  <c r="O2175" i="1" s="1"/>
  <c r="N2175" i="1"/>
  <c r="M2175" i="1"/>
  <c r="O2174" i="1" a="1"/>
  <c r="O2174" i="1" s="1"/>
  <c r="N2174" i="1"/>
  <c r="M2174" i="1"/>
  <c r="O2173" i="1" a="1"/>
  <c r="O2173" i="1" s="1"/>
  <c r="N2173" i="1"/>
  <c r="M2173" i="1"/>
  <c r="O2172" i="1" a="1"/>
  <c r="O2172" i="1" s="1"/>
  <c r="N2172" i="1"/>
  <c r="M2172" i="1"/>
  <c r="O2171" i="1" a="1"/>
  <c r="O2171" i="1" s="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a="1"/>
  <c r="O2159" i="1" s="1"/>
  <c r="N2159" i="1"/>
  <c r="M2159" i="1"/>
  <c r="O2158" i="1" a="1"/>
  <c r="O2158" i="1" s="1"/>
  <c r="N2158" i="1"/>
  <c r="M2158" i="1"/>
  <c r="O2157" i="1" a="1"/>
  <c r="O2157" i="1" s="1"/>
  <c r="N2157" i="1"/>
  <c r="M2157" i="1"/>
  <c r="O2156" i="1" a="1"/>
  <c r="O2156" i="1" s="1"/>
  <c r="N2156" i="1"/>
  <c r="M2156" i="1"/>
  <c r="O2155" i="1" a="1"/>
  <c r="O2155" i="1" s="1"/>
  <c r="N2155" i="1"/>
  <c r="M2155" i="1"/>
  <c r="O2154" i="1" a="1"/>
  <c r="O2154" i="1" s="1"/>
  <c r="N2154" i="1"/>
  <c r="M2154" i="1"/>
  <c r="O2153" i="1" a="1"/>
  <c r="O2153" i="1" s="1"/>
  <c r="N2153" i="1"/>
  <c r="M2153" i="1"/>
  <c r="O2152" i="1" a="1"/>
  <c r="O2152" i="1" s="1"/>
  <c r="N2152" i="1"/>
  <c r="M2152" i="1"/>
  <c r="O2151" i="1" a="1"/>
  <c r="O2151" i="1" s="1"/>
  <c r="N2151" i="1"/>
  <c r="M2151" i="1"/>
  <c r="O2150" i="1" a="1"/>
  <c r="O2150" i="1" s="1"/>
  <c r="N2150" i="1"/>
  <c r="M2150" i="1"/>
  <c r="O2149" i="1" a="1"/>
  <c r="O2149" i="1" s="1"/>
  <c r="N2149" i="1"/>
  <c r="M2149" i="1"/>
  <c r="O2148" i="1" a="1"/>
  <c r="O2148" i="1" s="1"/>
  <c r="N2148" i="1"/>
  <c r="M2148" i="1"/>
  <c r="O2147" i="1" a="1"/>
  <c r="O2147" i="1" s="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a="1"/>
  <c r="O2138" i="1" s="1"/>
  <c r="N2138" i="1"/>
  <c r="M2138" i="1"/>
  <c r="O2137" i="1" a="1"/>
  <c r="O2137" i="1" s="1"/>
  <c r="N2137" i="1"/>
  <c r="M2137" i="1"/>
  <c r="O2136" i="1" a="1"/>
  <c r="O2136" i="1" s="1"/>
  <c r="N2136" i="1"/>
  <c r="M2136" i="1"/>
  <c r="O2135" i="1" a="1"/>
  <c r="O2135" i="1" s="1"/>
  <c r="N2135" i="1"/>
  <c r="M2135" i="1"/>
  <c r="O2134" i="1" a="1"/>
  <c r="O2134" i="1" s="1"/>
  <c r="N2134" i="1"/>
  <c r="M2134" i="1"/>
  <c r="O2133" i="1" a="1"/>
  <c r="O2133" i="1" s="1"/>
  <c r="N2133" i="1"/>
  <c r="M2133" i="1"/>
  <c r="O2132" i="1" a="1"/>
  <c r="O2132" i="1" s="1"/>
  <c r="N2132" i="1"/>
  <c r="M2132" i="1"/>
  <c r="O2131" i="1" a="1"/>
  <c r="O2131" i="1" s="1"/>
  <c r="N2131" i="1"/>
  <c r="M2131" i="1"/>
  <c r="O2130" i="1" a="1"/>
  <c r="O2130" i="1" s="1"/>
  <c r="N2130" i="1"/>
  <c r="M2130" i="1"/>
  <c r="O2129" i="1" a="1"/>
  <c r="O2129" i="1" s="1"/>
  <c r="N2129" i="1"/>
  <c r="M2129" i="1"/>
  <c r="O2128" i="1" a="1"/>
  <c r="O2128" i="1" s="1"/>
  <c r="N2128" i="1"/>
  <c r="M2128" i="1"/>
  <c r="O2127" i="1" a="1"/>
  <c r="O2127" i="1" s="1"/>
  <c r="N2127" i="1"/>
  <c r="M2127" i="1"/>
  <c r="O2126" i="1" a="1"/>
  <c r="O2126" i="1" s="1"/>
  <c r="N2126" i="1"/>
  <c r="M2126" i="1"/>
  <c r="O2125" i="1" a="1"/>
  <c r="O2125" i="1" s="1"/>
  <c r="N2125" i="1"/>
  <c r="M2125" i="1"/>
  <c r="O2124" i="1" a="1"/>
  <c r="O2124" i="1" s="1"/>
  <c r="N2124" i="1"/>
  <c r="M2124" i="1"/>
  <c r="O2123" i="1" a="1"/>
  <c r="O2123" i="1" s="1"/>
  <c r="N2123" i="1"/>
  <c r="M2123" i="1"/>
  <c r="O2122" i="1" a="1"/>
  <c r="O2122" i="1" s="1"/>
  <c r="N2122" i="1"/>
  <c r="M2122" i="1"/>
  <c r="O2121" i="1" a="1"/>
  <c r="O2121" i="1" s="1"/>
  <c r="N2121" i="1"/>
  <c r="M2121" i="1"/>
  <c r="O2120" i="1" a="1"/>
  <c r="O2120" i="1" s="1"/>
  <c r="N2120" i="1"/>
  <c r="M2120" i="1"/>
  <c r="O2119" i="1" a="1"/>
  <c r="O2119" i="1" s="1"/>
  <c r="N2119" i="1"/>
  <c r="M2119" i="1"/>
  <c r="O2118" i="1" a="1"/>
  <c r="O2118" i="1" s="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a="1"/>
  <c r="O2112" i="1" s="1"/>
  <c r="N2112" i="1"/>
  <c r="M2112" i="1"/>
  <c r="O2111" i="1" a="1"/>
  <c r="O2111" i="1" s="1"/>
  <c r="N2111" i="1"/>
  <c r="M2111" i="1"/>
  <c r="O2110" i="1" a="1"/>
  <c r="O2110" i="1" s="1"/>
  <c r="N2110" i="1"/>
  <c r="M2110" i="1"/>
  <c r="O2109" i="1" a="1"/>
  <c r="O2109" i="1" s="1"/>
  <c r="N2109" i="1"/>
  <c r="M2109" i="1"/>
  <c r="O2108" i="1" a="1"/>
  <c r="O2108" i="1" s="1"/>
  <c r="N2108" i="1"/>
  <c r="M2108" i="1"/>
  <c r="O2107" i="1" a="1"/>
  <c r="O2107" i="1" s="1"/>
  <c r="N2107" i="1"/>
  <c r="M2107" i="1"/>
  <c r="O2106" i="1" a="1"/>
  <c r="O2106" i="1" s="1"/>
  <c r="N2106" i="1"/>
  <c r="M2106" i="1"/>
  <c r="O2105" i="1" a="1"/>
  <c r="O2105" i="1" s="1"/>
  <c r="N2105" i="1"/>
  <c r="M2105" i="1"/>
  <c r="O2104" i="1" a="1"/>
  <c r="O2104" i="1" s="1"/>
  <c r="N2104" i="1"/>
  <c r="M2104" i="1"/>
  <c r="O2103" i="1" a="1"/>
  <c r="O2103" i="1" s="1"/>
  <c r="N2103" i="1"/>
  <c r="M2103" i="1"/>
  <c r="O2102" i="1" a="1"/>
  <c r="O2102" i="1" s="1"/>
  <c r="N2102" i="1"/>
  <c r="M2102" i="1"/>
  <c r="O2101" i="1" a="1"/>
  <c r="O2101" i="1" s="1"/>
  <c r="N2101" i="1"/>
  <c r="M2101" i="1"/>
  <c r="O2100" i="1" a="1"/>
  <c r="O2100" i="1" s="1"/>
  <c r="N2100" i="1"/>
  <c r="M2100" i="1"/>
  <c r="O2099" i="1" a="1"/>
  <c r="O2099" i="1" s="1"/>
  <c r="N2099" i="1"/>
  <c r="M2099" i="1"/>
  <c r="O2098" i="1" a="1"/>
  <c r="O2098" i="1" s="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a="1"/>
  <c r="O2092" i="1" s="1"/>
  <c r="N2092" i="1"/>
  <c r="M2092" i="1"/>
  <c r="O2091" i="1" a="1"/>
  <c r="O2091" i="1" s="1"/>
  <c r="N2091" i="1"/>
  <c r="M2091" i="1"/>
  <c r="O2090" i="1" a="1"/>
  <c r="O2090" i="1" s="1"/>
  <c r="N2090" i="1"/>
  <c r="M2090" i="1"/>
  <c r="O2089" i="1" a="1"/>
  <c r="O2089" i="1" s="1"/>
  <c r="N2089" i="1"/>
  <c r="M2089" i="1"/>
  <c r="O2088" i="1" a="1"/>
  <c r="O2088" i="1" s="1"/>
  <c r="N2088" i="1"/>
  <c r="M2088" i="1"/>
  <c r="O2087" i="1" a="1"/>
  <c r="O2087" i="1" s="1"/>
  <c r="N2087" i="1"/>
  <c r="M2087" i="1"/>
  <c r="O2086" i="1" a="1"/>
  <c r="O2086" i="1" s="1"/>
  <c r="N2086" i="1"/>
  <c r="M2086" i="1"/>
  <c r="O2085" i="1" a="1"/>
  <c r="O2085" i="1" s="1"/>
  <c r="N2085" i="1"/>
  <c r="M2085" i="1"/>
  <c r="O2084" i="1" a="1"/>
  <c r="O2084" i="1" s="1"/>
  <c r="N2084" i="1"/>
  <c r="M2084" i="1"/>
  <c r="O2083" i="1" a="1"/>
  <c r="O2083" i="1" s="1"/>
  <c r="N2083" i="1"/>
  <c r="M2083" i="1"/>
  <c r="O2082" i="1" a="1"/>
  <c r="O2082" i="1" s="1"/>
  <c r="N2082" i="1"/>
  <c r="M2082" i="1"/>
  <c r="O2081" i="1" a="1"/>
  <c r="O2081" i="1" s="1"/>
  <c r="N2081" i="1"/>
  <c r="M2081" i="1"/>
  <c r="O2080" i="1" a="1"/>
  <c r="O2080" i="1" s="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a="1"/>
  <c r="O2071" i="1" s="1"/>
  <c r="N2071" i="1"/>
  <c r="M2071" i="1"/>
  <c r="O2070" i="1" a="1"/>
  <c r="O2070" i="1" s="1"/>
  <c r="N2070" i="1"/>
  <c r="M2070" i="1"/>
  <c r="O2069" i="1" a="1"/>
  <c r="O2069" i="1" s="1"/>
  <c r="N2069" i="1"/>
  <c r="M2069" i="1"/>
  <c r="O2068" i="1" a="1"/>
  <c r="O2068" i="1" s="1"/>
  <c r="N2068" i="1"/>
  <c r="M2068" i="1"/>
  <c r="O2067" i="1" a="1"/>
  <c r="O2067" i="1" s="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a="1"/>
  <c r="O2061" i="1" s="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a="1"/>
  <c r="O2050" i="1" s="1"/>
  <c r="N2050" i="1"/>
  <c r="M2050" i="1"/>
  <c r="O2049" i="1" a="1"/>
  <c r="O2049" i="1" s="1"/>
  <c r="N2049" i="1"/>
  <c r="M2049" i="1"/>
  <c r="O2048" i="1" a="1"/>
  <c r="O2048" i="1" s="1"/>
  <c r="N2048" i="1"/>
  <c r="M2048" i="1"/>
  <c r="O2047" i="1" a="1"/>
  <c r="O2047" i="1" s="1"/>
  <c r="N2047" i="1"/>
  <c r="M2047" i="1"/>
  <c r="O2046" i="1" a="1"/>
  <c r="O2046" i="1" s="1"/>
  <c r="N2046" i="1"/>
  <c r="M2046" i="1"/>
  <c r="O2045" i="1" a="1"/>
  <c r="O2045" i="1" s="1"/>
  <c r="N2045" i="1"/>
  <c r="M2045" i="1"/>
  <c r="O2044" i="1" a="1"/>
  <c r="O2044" i="1" s="1"/>
  <c r="N2044" i="1"/>
  <c r="M2044" i="1"/>
  <c r="O2043" i="1" a="1"/>
  <c r="O2043" i="1" s="1"/>
  <c r="N2043" i="1"/>
  <c r="M2043" i="1"/>
  <c r="O2042" i="1" a="1"/>
  <c r="O2042" i="1" s="1"/>
  <c r="N2042" i="1"/>
  <c r="M2042" i="1"/>
  <c r="O2041" i="1" a="1"/>
  <c r="O2041" i="1" s="1"/>
  <c r="N2041" i="1"/>
  <c r="M2041" i="1"/>
  <c r="O2040" i="1" a="1"/>
  <c r="O2040" i="1" s="1"/>
  <c r="N2040" i="1"/>
  <c r="M2040" i="1"/>
  <c r="O2039" i="1" a="1"/>
  <c r="O2039" i="1" s="1"/>
  <c r="N2039" i="1"/>
  <c r="M2039" i="1"/>
  <c r="O2038" i="1" a="1"/>
  <c r="O2038" i="1" s="1"/>
  <c r="N2038" i="1"/>
  <c r="M2038" i="1"/>
  <c r="O2037" i="1" a="1"/>
  <c r="O2037" i="1" s="1"/>
  <c r="N2037" i="1"/>
  <c r="M2037" i="1"/>
  <c r="O2036" i="1" a="1"/>
  <c r="O2036" i="1" s="1"/>
  <c r="N2036" i="1"/>
  <c r="M2036" i="1"/>
  <c r="O2035" i="1" a="1"/>
  <c r="O2035" i="1" s="1"/>
  <c r="N2035" i="1"/>
  <c r="M2035" i="1"/>
  <c r="O2034" i="1" a="1"/>
  <c r="O2034" i="1" s="1"/>
  <c r="N2034" i="1"/>
  <c r="M2034" i="1"/>
  <c r="O2033" i="1" a="1"/>
  <c r="O2033" i="1" s="1"/>
  <c r="N2033" i="1"/>
  <c r="M2033" i="1"/>
  <c r="O2032" i="1" a="1"/>
  <c r="O2032" i="1" s="1"/>
  <c r="N2032" i="1"/>
  <c r="M2032" i="1"/>
  <c r="O2031" i="1" a="1"/>
  <c r="O2031" i="1" s="1"/>
  <c r="N2031" i="1"/>
  <c r="M2031" i="1"/>
  <c r="O2030" i="1" a="1"/>
  <c r="O2030" i="1" s="1"/>
  <c r="N2030" i="1"/>
  <c r="M2030" i="1"/>
  <c r="O2029" i="1" a="1"/>
  <c r="O2029" i="1" s="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a="1"/>
  <c r="O2021" i="1" s="1"/>
  <c r="N2021" i="1"/>
  <c r="M2021" i="1"/>
  <c r="O2020" i="1" a="1"/>
  <c r="O2020" i="1" s="1"/>
  <c r="N2020" i="1"/>
  <c r="M2020" i="1"/>
  <c r="O2019" i="1" a="1"/>
  <c r="O2019" i="1" s="1"/>
  <c r="N2019" i="1"/>
  <c r="M2019" i="1"/>
  <c r="O2018" i="1" a="1"/>
  <c r="O2018" i="1" s="1"/>
  <c r="N2018" i="1"/>
  <c r="M2018" i="1"/>
  <c r="O2017" i="1" a="1"/>
  <c r="O2017" i="1" s="1"/>
  <c r="N2017" i="1"/>
  <c r="M2017" i="1"/>
  <c r="O2016" i="1" a="1"/>
  <c r="O2016" i="1" s="1"/>
  <c r="N2016" i="1"/>
  <c r="M2016" i="1"/>
  <c r="O2015" i="1" a="1"/>
  <c r="O2015" i="1" s="1"/>
  <c r="N2015" i="1"/>
  <c r="M2015" i="1"/>
  <c r="O2014" i="1" a="1"/>
  <c r="O2014" i="1" s="1"/>
  <c r="N2014" i="1"/>
  <c r="M2014" i="1"/>
  <c r="O2013" i="1" a="1"/>
  <c r="O2013" i="1" s="1"/>
  <c r="N2013" i="1"/>
  <c r="M2013" i="1"/>
  <c r="O2012" i="1" a="1"/>
  <c r="O2012" i="1" s="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a="1"/>
  <c r="O2005" i="1" s="1"/>
  <c r="N2005" i="1"/>
  <c r="M2005" i="1"/>
  <c r="O2004" i="1" a="1"/>
  <c r="O2004" i="1" s="1"/>
  <c r="N2004" i="1"/>
  <c r="M2004" i="1"/>
  <c r="O2003" i="1" a="1"/>
  <c r="O2003" i="1" s="1"/>
  <c r="N2003" i="1"/>
  <c r="M2003" i="1"/>
  <c r="O2002" i="1" a="1"/>
  <c r="O2002" i="1" s="1"/>
  <c r="N2002" i="1"/>
  <c r="M2002" i="1"/>
  <c r="O2001" i="1" a="1"/>
  <c r="O2001" i="1" s="1"/>
  <c r="N2001" i="1"/>
  <c r="M2001" i="1"/>
  <c r="O2000" i="1" a="1"/>
  <c r="O2000" i="1" s="1"/>
  <c r="N2000" i="1"/>
  <c r="M2000" i="1"/>
  <c r="O1999" i="1" a="1"/>
  <c r="O1999" i="1" s="1"/>
  <c r="N1999" i="1"/>
  <c r="M1999" i="1"/>
  <c r="O1998" i="1" a="1"/>
  <c r="O1998" i="1" s="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a="1"/>
  <c r="O1992" i="1" s="1"/>
  <c r="N1992" i="1"/>
  <c r="M1992" i="1"/>
  <c r="O1991" i="1" a="1"/>
  <c r="O1991" i="1" s="1"/>
  <c r="N1991" i="1"/>
  <c r="M1991" i="1"/>
  <c r="O1990" i="1" a="1"/>
  <c r="O1990" i="1" s="1"/>
  <c r="N1990" i="1"/>
  <c r="M1990" i="1"/>
  <c r="O1989" i="1" a="1"/>
  <c r="O1989" i="1" s="1"/>
  <c r="N1989" i="1"/>
  <c r="M1989" i="1"/>
  <c r="O1988" i="1" a="1"/>
  <c r="O1988" i="1" s="1"/>
  <c r="N1988" i="1"/>
  <c r="M1988" i="1"/>
  <c r="O1987" i="1" a="1"/>
  <c r="O1987" i="1" s="1"/>
  <c r="N1987" i="1"/>
  <c r="M1987" i="1"/>
  <c r="O1986" i="1" a="1"/>
  <c r="O1986" i="1" s="1"/>
  <c r="N1986" i="1"/>
  <c r="M1986" i="1"/>
  <c r="O1985" i="1" a="1"/>
  <c r="O1985" i="1" s="1"/>
  <c r="N1985" i="1"/>
  <c r="M1985" i="1"/>
  <c r="O1984" i="1" a="1"/>
  <c r="O1984" i="1" s="1"/>
  <c r="N1984" i="1"/>
  <c r="M1984" i="1"/>
  <c r="O1983" i="1" a="1"/>
  <c r="O1983" i="1" s="1"/>
  <c r="N1983" i="1"/>
  <c r="M1983" i="1"/>
  <c r="O1982" i="1" a="1"/>
  <c r="O1982" i="1" s="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a="1"/>
  <c r="O1973" i="1" s="1"/>
  <c r="N1973" i="1"/>
  <c r="M1973" i="1"/>
  <c r="O1972" i="1" a="1"/>
  <c r="O1972" i="1" s="1"/>
  <c r="N1972" i="1"/>
  <c r="M1972" i="1"/>
  <c r="O1971" i="1" a="1"/>
  <c r="O1971" i="1" s="1"/>
  <c r="N1971" i="1"/>
  <c r="M1971" i="1"/>
  <c r="O1970" i="1" a="1"/>
  <c r="O1970" i="1" s="1"/>
  <c r="N1970" i="1"/>
  <c r="M1970" i="1"/>
  <c r="O1969" i="1" a="1"/>
  <c r="O1969" i="1" s="1"/>
  <c r="N1969" i="1"/>
  <c r="M1969" i="1"/>
  <c r="O1968" i="1" a="1"/>
  <c r="O1968" i="1" s="1"/>
  <c r="N1968" i="1"/>
  <c r="M1968" i="1"/>
  <c r="O1967" i="1" a="1"/>
  <c r="O1967" i="1" s="1"/>
  <c r="N1967" i="1"/>
  <c r="M1967" i="1"/>
  <c r="O1966" i="1" a="1"/>
  <c r="O1966" i="1" s="1"/>
  <c r="N1966" i="1"/>
  <c r="M1966" i="1"/>
  <c r="O1965" i="1" a="1"/>
  <c r="O1965" i="1" s="1"/>
  <c r="N1965" i="1"/>
  <c r="M1965" i="1"/>
  <c r="O1964" i="1" a="1"/>
  <c r="O1964" i="1" s="1"/>
  <c r="N1964" i="1"/>
  <c r="M1964" i="1"/>
  <c r="O1963" i="1" a="1"/>
  <c r="O1963" i="1" s="1"/>
  <c r="N1963" i="1"/>
  <c r="M1963" i="1"/>
  <c r="O1962" i="1" a="1"/>
  <c r="O1962" i="1" s="1"/>
  <c r="N1962" i="1"/>
  <c r="M1962" i="1"/>
  <c r="O1961" i="1" a="1"/>
  <c r="O1961" i="1" s="1"/>
  <c r="N1961" i="1"/>
  <c r="M1961" i="1"/>
  <c r="O1960" i="1" a="1"/>
  <c r="O1960" i="1" s="1"/>
  <c r="N1960" i="1"/>
  <c r="M1960" i="1"/>
  <c r="O1959" i="1" a="1"/>
  <c r="O1959" i="1" s="1"/>
  <c r="N1959" i="1"/>
  <c r="M1959" i="1"/>
  <c r="O1958" i="1" a="1"/>
  <c r="O1958" i="1" s="1"/>
  <c r="N1958" i="1"/>
  <c r="M1958" i="1"/>
  <c r="O1957" i="1" a="1"/>
  <c r="O1957" i="1" s="1"/>
  <c r="N1957" i="1"/>
  <c r="M1957" i="1"/>
  <c r="O1956" i="1" a="1"/>
  <c r="O1956" i="1" s="1"/>
  <c r="N1956" i="1"/>
  <c r="M1956" i="1"/>
  <c r="O1955" i="1" a="1"/>
  <c r="O1955" i="1" s="1"/>
  <c r="N1955" i="1"/>
  <c r="M1955" i="1"/>
  <c r="O1954" i="1" a="1"/>
  <c r="O1954" i="1" s="1"/>
  <c r="N1954" i="1"/>
  <c r="M1954" i="1"/>
  <c r="O1953" i="1" a="1"/>
  <c r="O1953" i="1" s="1"/>
  <c r="N1953" i="1"/>
  <c r="M1953" i="1"/>
  <c r="O1952" i="1" a="1"/>
  <c r="O1952" i="1" s="1"/>
  <c r="N1952" i="1"/>
  <c r="M1952" i="1"/>
  <c r="O1951" i="1" a="1"/>
  <c r="O1951" i="1" s="1"/>
  <c r="N1951" i="1"/>
  <c r="M1951" i="1"/>
  <c r="O1950" i="1" a="1"/>
  <c r="O1950" i="1" s="1"/>
  <c r="N1950" i="1"/>
  <c r="M1950" i="1"/>
  <c r="O1949" i="1" a="1"/>
  <c r="O1949" i="1" s="1"/>
  <c r="N1949" i="1"/>
  <c r="M1949" i="1"/>
  <c r="O1948" i="1" a="1"/>
  <c r="O1948" i="1" s="1"/>
  <c r="N1948" i="1"/>
  <c r="M1948" i="1"/>
  <c r="O1947" i="1" a="1"/>
  <c r="O1947" i="1" s="1"/>
  <c r="N1947" i="1"/>
  <c r="M1947" i="1"/>
  <c r="O1946" i="1" a="1"/>
  <c r="O1946" i="1" s="1"/>
  <c r="N1946" i="1"/>
  <c r="M1946" i="1"/>
  <c r="O1945" i="1" a="1"/>
  <c r="O1945" i="1" s="1"/>
  <c r="N1945" i="1"/>
  <c r="M1945" i="1"/>
  <c r="O1944" i="1" a="1"/>
  <c r="O1944" i="1" s="1"/>
  <c r="N1944" i="1"/>
  <c r="M1944" i="1"/>
  <c r="O1943" i="1" a="1"/>
  <c r="O1943" i="1" s="1"/>
  <c r="N1943" i="1"/>
  <c r="M1943" i="1"/>
  <c r="O1942" i="1" a="1"/>
  <c r="O1942" i="1" s="1"/>
  <c r="N1942" i="1"/>
  <c r="M1942" i="1"/>
  <c r="O1941" i="1" a="1"/>
  <c r="O1941" i="1" s="1"/>
  <c r="N1941" i="1"/>
  <c r="M1941" i="1"/>
  <c r="O1940" i="1" a="1"/>
  <c r="O1940" i="1" s="1"/>
  <c r="N1940" i="1"/>
  <c r="M1940" i="1"/>
  <c r="O1939" i="1" a="1"/>
  <c r="O1939" i="1" s="1"/>
  <c r="N1939" i="1"/>
  <c r="M1939" i="1"/>
  <c r="O1938" i="1" a="1"/>
  <c r="O1938" i="1" s="1"/>
  <c r="N1938" i="1"/>
  <c r="M1938" i="1"/>
  <c r="O1937" i="1" a="1"/>
  <c r="O1937" i="1" s="1"/>
  <c r="N1937" i="1"/>
  <c r="M1937" i="1"/>
  <c r="O1936" i="1" a="1"/>
  <c r="O1936" i="1" s="1"/>
  <c r="N1936" i="1"/>
  <c r="M1936" i="1"/>
  <c r="O1935" i="1" a="1"/>
  <c r="O1935" i="1" s="1"/>
  <c r="N1935" i="1"/>
  <c r="M1935" i="1"/>
  <c r="O1934" i="1" a="1"/>
  <c r="O1934" i="1" s="1"/>
  <c r="N1934" i="1"/>
  <c r="M1934" i="1"/>
  <c r="O1933" i="1" a="1"/>
  <c r="O1933" i="1" s="1"/>
  <c r="N1933" i="1"/>
  <c r="M1933" i="1"/>
  <c r="O1932" i="1" a="1"/>
  <c r="O1932" i="1" s="1"/>
  <c r="N1932" i="1"/>
  <c r="M1932" i="1"/>
  <c r="O1931" i="1" a="1"/>
  <c r="O1931" i="1" s="1"/>
  <c r="N1931" i="1"/>
  <c r="M1931" i="1"/>
  <c r="O1930" i="1" a="1"/>
  <c r="O1930" i="1" s="1"/>
  <c r="N1930" i="1"/>
  <c r="M1930" i="1"/>
  <c r="O1929" i="1" a="1"/>
  <c r="O1929" i="1" s="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a="1"/>
  <c r="O1922" i="1" s="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a="1"/>
  <c r="O1914" i="1" s="1"/>
  <c r="N1914" i="1"/>
  <c r="M1914" i="1"/>
  <c r="O1913" i="1" a="1"/>
  <c r="O1913" i="1" s="1"/>
  <c r="N1913" i="1"/>
  <c r="M1913" i="1"/>
  <c r="O1912" i="1" a="1"/>
  <c r="O1912" i="1" s="1"/>
  <c r="N1912" i="1"/>
  <c r="M1912" i="1"/>
  <c r="O1911" i="1" a="1"/>
  <c r="O1911" i="1" s="1"/>
  <c r="N1911" i="1"/>
  <c r="M1911" i="1"/>
  <c r="O1910" i="1" a="1"/>
  <c r="O1910" i="1" s="1"/>
  <c r="N1910" i="1"/>
  <c r="M1910" i="1"/>
  <c r="O1909" i="1" a="1"/>
  <c r="O1909" i="1" s="1"/>
  <c r="N1909" i="1"/>
  <c r="M1909" i="1"/>
  <c r="O1908" i="1" a="1"/>
  <c r="O1908" i="1" s="1"/>
  <c r="N1908" i="1"/>
  <c r="M1908" i="1"/>
  <c r="O1907" i="1" a="1"/>
  <c r="O1907" i="1" s="1"/>
  <c r="N1907" i="1"/>
  <c r="M1907" i="1"/>
  <c r="O1906" i="1" a="1"/>
  <c r="O1906" i="1" s="1"/>
  <c r="N1906" i="1"/>
  <c r="M1906" i="1"/>
  <c r="O1905" i="1" a="1"/>
  <c r="O1905" i="1" s="1"/>
  <c r="N1905" i="1"/>
  <c r="M1905" i="1"/>
  <c r="O1904" i="1" a="1"/>
  <c r="O1904" i="1" s="1"/>
  <c r="N1904" i="1"/>
  <c r="M1904" i="1"/>
  <c r="O1903" i="1" a="1"/>
  <c r="O1903" i="1" s="1"/>
  <c r="N1903" i="1"/>
  <c r="M1903" i="1"/>
  <c r="O1902" i="1" a="1"/>
  <c r="O1902" i="1" s="1"/>
  <c r="N1902" i="1"/>
  <c r="M1902" i="1"/>
  <c r="O1901" i="1" a="1"/>
  <c r="O1901" i="1" s="1"/>
  <c r="N1901" i="1"/>
  <c r="M1901" i="1"/>
  <c r="O1900" i="1" a="1"/>
  <c r="O1900" i="1" s="1"/>
  <c r="N1900" i="1"/>
  <c r="M1900" i="1"/>
  <c r="O1899" i="1" a="1"/>
  <c r="O1899" i="1" s="1"/>
  <c r="N1899" i="1"/>
  <c r="M1899" i="1"/>
  <c r="O1898" i="1" a="1"/>
  <c r="O1898" i="1" s="1"/>
  <c r="N1898" i="1"/>
  <c r="M1898" i="1"/>
  <c r="O1897" i="1" a="1"/>
  <c r="O1897" i="1" s="1"/>
  <c r="N1897" i="1"/>
  <c r="M1897" i="1"/>
  <c r="O1896" i="1" a="1"/>
  <c r="O1896" i="1" s="1"/>
  <c r="N1896" i="1"/>
  <c r="M1896" i="1"/>
  <c r="O1895" i="1" a="1"/>
  <c r="O1895" i="1" s="1"/>
  <c r="N1895" i="1"/>
  <c r="M1895" i="1"/>
  <c r="O1894" i="1" a="1"/>
  <c r="O1894" i="1" s="1"/>
  <c r="N1894" i="1"/>
  <c r="M1894" i="1"/>
  <c r="O1893" i="1" a="1"/>
  <c r="O1893" i="1" s="1"/>
  <c r="N1893" i="1"/>
  <c r="M1893" i="1"/>
  <c r="O1892" i="1" a="1"/>
  <c r="O1892" i="1" s="1"/>
  <c r="N1892" i="1"/>
  <c r="M1892" i="1"/>
  <c r="O1891" i="1" a="1"/>
  <c r="O1891" i="1" s="1"/>
  <c r="N1891" i="1"/>
  <c r="M1891" i="1"/>
  <c r="O1890" i="1" a="1"/>
  <c r="O1890" i="1" s="1"/>
  <c r="N1890" i="1"/>
  <c r="M1890" i="1"/>
  <c r="O1889" i="1" a="1"/>
  <c r="O1889" i="1" s="1"/>
  <c r="N1889" i="1"/>
  <c r="M1889" i="1"/>
  <c r="O1888" i="1" a="1"/>
  <c r="O1888" i="1" s="1"/>
  <c r="N1888" i="1"/>
  <c r="M1888" i="1"/>
  <c r="O1887" i="1" a="1"/>
  <c r="O1887" i="1" s="1"/>
  <c r="N1887" i="1"/>
  <c r="M1887" i="1"/>
  <c r="O1886" i="1" a="1"/>
  <c r="O1886" i="1" s="1"/>
  <c r="N1886" i="1"/>
  <c r="M1886" i="1"/>
  <c r="O1885" i="1" a="1"/>
  <c r="O1885" i="1" s="1"/>
  <c r="N1885" i="1"/>
  <c r="M1885" i="1"/>
  <c r="O1884" i="1" a="1"/>
  <c r="O1884" i="1" s="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a="1"/>
  <c r="O1877" i="1" s="1"/>
  <c r="N1877" i="1"/>
  <c r="M1877" i="1"/>
  <c r="O1876" i="1" a="1"/>
  <c r="O1876" i="1" s="1"/>
  <c r="N1876" i="1"/>
  <c r="M1876" i="1"/>
  <c r="O1875" i="1" a="1"/>
  <c r="O1875" i="1" s="1"/>
  <c r="N1875" i="1"/>
  <c r="M1875" i="1"/>
  <c r="O1874" i="1" a="1"/>
  <c r="O1874" i="1" s="1"/>
  <c r="N1874" i="1"/>
  <c r="M1874" i="1"/>
  <c r="O1873" i="1" a="1"/>
  <c r="O1873" i="1" s="1"/>
  <c r="N1873" i="1"/>
  <c r="M1873" i="1"/>
  <c r="O1872" i="1" a="1"/>
  <c r="O1872" i="1" s="1"/>
  <c r="N1872" i="1"/>
  <c r="M1872" i="1"/>
  <c r="O1871" i="1" a="1"/>
  <c r="O1871" i="1" s="1"/>
  <c r="N1871" i="1"/>
  <c r="M1871" i="1"/>
  <c r="O1870" i="1" a="1"/>
  <c r="O1870" i="1" s="1"/>
  <c r="N1870" i="1"/>
  <c r="M1870" i="1"/>
  <c r="O1869" i="1" a="1"/>
  <c r="O1869" i="1" s="1"/>
  <c r="N1869" i="1"/>
  <c r="M1869" i="1"/>
  <c r="O1868" i="1" a="1"/>
  <c r="O1868" i="1" s="1"/>
  <c r="N1868" i="1"/>
  <c r="M1868" i="1"/>
  <c r="O1867" i="1" a="1"/>
  <c r="O1867" i="1" s="1"/>
  <c r="N1867" i="1"/>
  <c r="M1867" i="1"/>
  <c r="O1866" i="1" a="1"/>
  <c r="O1866" i="1" s="1"/>
  <c r="N1866" i="1"/>
  <c r="M1866" i="1"/>
  <c r="O1865" i="1" a="1"/>
  <c r="O1865" i="1" s="1"/>
  <c r="N1865" i="1"/>
  <c r="M1865" i="1"/>
  <c r="O1864" i="1" a="1"/>
  <c r="O1864" i="1" s="1"/>
  <c r="N1864" i="1"/>
  <c r="M1864" i="1"/>
  <c r="O1863" i="1" a="1"/>
  <c r="O1863" i="1" s="1"/>
  <c r="N1863" i="1"/>
  <c r="M1863" i="1"/>
  <c r="O1862" i="1" a="1"/>
  <c r="O1862" i="1" s="1"/>
  <c r="N1862" i="1"/>
  <c r="M1862" i="1"/>
  <c r="O1861" i="1" a="1"/>
  <c r="O1861" i="1" s="1"/>
  <c r="N1861" i="1"/>
  <c r="M1861" i="1"/>
  <c r="O1860" i="1" a="1"/>
  <c r="O1860" i="1" s="1"/>
  <c r="N1860" i="1"/>
  <c r="M1860" i="1"/>
  <c r="O1859" i="1" a="1"/>
  <c r="O1859" i="1" s="1"/>
  <c r="N1859" i="1"/>
  <c r="M1859" i="1"/>
  <c r="O1858" i="1" a="1"/>
  <c r="O1858" i="1" s="1"/>
  <c r="N1858" i="1"/>
  <c r="M1858" i="1"/>
  <c r="O1857" i="1" a="1"/>
  <c r="O1857" i="1" s="1"/>
  <c r="N1857" i="1"/>
  <c r="M1857" i="1"/>
  <c r="O1856" i="1" a="1"/>
  <c r="O1856" i="1" s="1"/>
  <c r="N1856" i="1"/>
  <c r="M1856" i="1"/>
  <c r="O1855" i="1" a="1"/>
  <c r="O1855" i="1" s="1"/>
  <c r="N1855" i="1"/>
  <c r="M1855" i="1"/>
  <c r="O1854" i="1" a="1"/>
  <c r="O1854" i="1" s="1"/>
  <c r="N1854" i="1"/>
  <c r="M1854" i="1"/>
  <c r="O1853" i="1" a="1"/>
  <c r="O1853" i="1" s="1"/>
  <c r="N1853" i="1"/>
  <c r="M1853" i="1"/>
  <c r="O1852" i="1" a="1"/>
  <c r="O1852" i="1" s="1"/>
  <c r="N1852" i="1"/>
  <c r="M1852" i="1"/>
  <c r="O1851" i="1" a="1"/>
  <c r="O1851" i="1" s="1"/>
  <c r="N1851" i="1"/>
  <c r="M1851" i="1"/>
  <c r="O1850" i="1" a="1"/>
  <c r="O1850" i="1" s="1"/>
  <c r="N1850" i="1"/>
  <c r="M1850" i="1"/>
  <c r="O1849" i="1" a="1"/>
  <c r="O1849" i="1" s="1"/>
  <c r="N1849" i="1"/>
  <c r="M1849" i="1"/>
  <c r="O1848" i="1" a="1"/>
  <c r="O1848" i="1" s="1"/>
  <c r="N1848" i="1"/>
  <c r="M1848" i="1"/>
  <c r="O1847" i="1" a="1"/>
  <c r="O1847" i="1" s="1"/>
  <c r="N1847" i="1"/>
  <c r="M1847" i="1"/>
  <c r="O1846" i="1" a="1"/>
  <c r="O1846" i="1" s="1"/>
  <c r="N1846" i="1"/>
  <c r="M1846" i="1"/>
  <c r="O1845" i="1" a="1"/>
  <c r="O1845" i="1" s="1"/>
  <c r="N1845" i="1"/>
  <c r="M1845" i="1"/>
  <c r="O1844" i="1" a="1"/>
  <c r="O1844" i="1" s="1"/>
  <c r="N1844" i="1"/>
  <c r="M1844" i="1"/>
  <c r="O1843" i="1" a="1"/>
  <c r="O1843" i="1" s="1"/>
  <c r="N1843" i="1"/>
  <c r="M1843" i="1"/>
  <c r="O1842" i="1" a="1"/>
  <c r="O1842" i="1" s="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a="1"/>
  <c r="O1836" i="1" s="1"/>
  <c r="N1836" i="1"/>
  <c r="M1836" i="1"/>
  <c r="O1835" i="1" a="1"/>
  <c r="O1835" i="1" s="1"/>
  <c r="N1835" i="1"/>
  <c r="M1835" i="1"/>
  <c r="O1834" i="1" a="1"/>
  <c r="O1834" i="1" s="1"/>
  <c r="N1834" i="1"/>
  <c r="M1834" i="1"/>
  <c r="O1833" i="1" a="1"/>
  <c r="O1833" i="1" s="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a="1"/>
  <c r="O1825" i="1" s="1"/>
  <c r="N1825" i="1"/>
  <c r="M1825" i="1"/>
  <c r="O1824" i="1" a="1"/>
  <c r="O1824" i="1" s="1"/>
  <c r="N1824" i="1"/>
  <c r="M1824" i="1"/>
  <c r="O1823" i="1" a="1"/>
  <c r="O1823" i="1" s="1"/>
  <c r="N1823" i="1"/>
  <c r="M1823" i="1"/>
  <c r="O1822" i="1" a="1"/>
  <c r="O1822" i="1" s="1"/>
  <c r="N1822" i="1"/>
  <c r="M1822" i="1"/>
  <c r="O1821" i="1" a="1"/>
  <c r="O1821" i="1" s="1"/>
  <c r="N1821" i="1"/>
  <c r="M1821" i="1"/>
  <c r="O1820" i="1" a="1"/>
  <c r="O1820" i="1" s="1"/>
  <c r="N1820" i="1"/>
  <c r="M1820" i="1"/>
  <c r="O1819" i="1" a="1"/>
  <c r="O1819" i="1" s="1"/>
  <c r="N1819" i="1"/>
  <c r="M1819" i="1"/>
  <c r="O1818" i="1" a="1"/>
  <c r="O1818" i="1" s="1"/>
  <c r="N1818" i="1"/>
  <c r="M1818" i="1"/>
  <c r="O1817" i="1" a="1"/>
  <c r="O1817" i="1" s="1"/>
  <c r="N1817" i="1"/>
  <c r="M1817" i="1"/>
  <c r="O1816" i="1" a="1"/>
  <c r="O1816" i="1" s="1"/>
  <c r="N1816" i="1"/>
  <c r="M1816" i="1"/>
  <c r="O1815" i="1" a="1"/>
  <c r="O1815" i="1" s="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a="1"/>
  <c r="O1806" i="1" s="1"/>
  <c r="N1806" i="1"/>
  <c r="M1806" i="1"/>
  <c r="O1805" i="1" a="1"/>
  <c r="O1805" i="1" s="1"/>
  <c r="N1805" i="1"/>
  <c r="M1805" i="1"/>
  <c r="O1804" i="1" a="1"/>
  <c r="O1804" i="1" s="1"/>
  <c r="N1804" i="1"/>
  <c r="M1804" i="1"/>
  <c r="O1803" i="1" a="1"/>
  <c r="O1803" i="1" s="1"/>
  <c r="N1803" i="1"/>
  <c r="M1803" i="1"/>
  <c r="O1802" i="1" a="1"/>
  <c r="O1802" i="1" s="1"/>
  <c r="N1802" i="1"/>
  <c r="M1802" i="1"/>
  <c r="O1801" i="1" a="1"/>
  <c r="O1801" i="1" s="1"/>
  <c r="N1801" i="1"/>
  <c r="M1801" i="1"/>
  <c r="O1800" i="1" a="1"/>
  <c r="O1800" i="1" s="1"/>
  <c r="N1800" i="1"/>
  <c r="M1800" i="1"/>
  <c r="O1799" i="1" a="1"/>
  <c r="O1799" i="1" s="1"/>
  <c r="N1799" i="1"/>
  <c r="M1799" i="1"/>
  <c r="O1798" i="1" a="1"/>
  <c r="O1798" i="1" s="1"/>
  <c r="N1798" i="1"/>
  <c r="M1798" i="1"/>
  <c r="O1797" i="1" a="1"/>
  <c r="O1797" i="1" s="1"/>
  <c r="N1797" i="1"/>
  <c r="M1797" i="1"/>
  <c r="O1796" i="1" a="1"/>
  <c r="O1796" i="1" s="1"/>
  <c r="N1796" i="1"/>
  <c r="M1796" i="1"/>
  <c r="O1795" i="1" a="1"/>
  <c r="O1795" i="1" s="1"/>
  <c r="N1795" i="1"/>
  <c r="M1795" i="1"/>
  <c r="O1794" i="1" a="1"/>
  <c r="O1794" i="1" s="1"/>
  <c r="N1794" i="1"/>
  <c r="M1794" i="1"/>
  <c r="O1793" i="1" a="1"/>
  <c r="O1793" i="1" s="1"/>
  <c r="N1793" i="1"/>
  <c r="M1793" i="1"/>
  <c r="O1792" i="1" a="1"/>
  <c r="O1792" i="1" s="1"/>
  <c r="N1792" i="1"/>
  <c r="M1792" i="1"/>
  <c r="O1791" i="1" a="1"/>
  <c r="O1791" i="1" s="1"/>
  <c r="N1791" i="1"/>
  <c r="M1791" i="1"/>
  <c r="O1790" i="1" a="1"/>
  <c r="O1790" i="1" s="1"/>
  <c r="N1790" i="1"/>
  <c r="M1790" i="1"/>
  <c r="O1789" i="1" a="1"/>
  <c r="O1789" i="1" s="1"/>
  <c r="N1789" i="1"/>
  <c r="M1789" i="1"/>
  <c r="O1788" i="1" a="1"/>
  <c r="O1788" i="1" s="1"/>
  <c r="N1788" i="1"/>
  <c r="M1788" i="1"/>
  <c r="O1787" i="1" a="1"/>
  <c r="O1787" i="1" s="1"/>
  <c r="N1787" i="1"/>
  <c r="M1787" i="1"/>
  <c r="O1786" i="1" a="1"/>
  <c r="O1786" i="1" s="1"/>
  <c r="N1786" i="1"/>
  <c r="M1786" i="1"/>
  <c r="O1785" i="1" a="1"/>
  <c r="O1785" i="1" s="1"/>
  <c r="N1785" i="1"/>
  <c r="M1785" i="1"/>
  <c r="O1784" i="1" a="1"/>
  <c r="O1784" i="1" s="1"/>
  <c r="N1784" i="1"/>
  <c r="M1784" i="1"/>
  <c r="O1783" i="1" a="1"/>
  <c r="O1783" i="1" s="1"/>
  <c r="N1783" i="1"/>
  <c r="M1783" i="1"/>
  <c r="O1782" i="1" a="1"/>
  <c r="O1782" i="1" s="1"/>
  <c r="N1782" i="1"/>
  <c r="M1782" i="1"/>
  <c r="O1781" i="1" a="1"/>
  <c r="O1781" i="1" s="1"/>
  <c r="N1781" i="1"/>
  <c r="M1781" i="1"/>
  <c r="O1780" i="1" a="1"/>
  <c r="O1780" i="1" s="1"/>
  <c r="N1780" i="1"/>
  <c r="M1780" i="1"/>
  <c r="O1779" i="1" a="1"/>
  <c r="O1779" i="1" s="1"/>
  <c r="N1779" i="1"/>
  <c r="M1779" i="1"/>
  <c r="O1778" i="1" a="1"/>
  <c r="O1778" i="1" s="1"/>
  <c r="N1778" i="1"/>
  <c r="M1778" i="1"/>
  <c r="O1777" i="1" a="1"/>
  <c r="O1777" i="1" s="1"/>
  <c r="N1777" i="1"/>
  <c r="M1777" i="1"/>
  <c r="O1776" i="1" a="1"/>
  <c r="O1776" i="1" s="1"/>
  <c r="N1776" i="1"/>
  <c r="M1776" i="1"/>
  <c r="O1775" i="1" a="1"/>
  <c r="O1775" i="1" s="1"/>
  <c r="N1775" i="1"/>
  <c r="M1775" i="1"/>
  <c r="O1774" i="1" a="1"/>
  <c r="O1774" i="1" s="1"/>
  <c r="N1774" i="1"/>
  <c r="M1774" i="1"/>
  <c r="O1773" i="1" a="1"/>
  <c r="O1773" i="1" s="1"/>
  <c r="N1773" i="1"/>
  <c r="M1773" i="1"/>
  <c r="O1772" i="1" a="1"/>
  <c r="O1772" i="1" s="1"/>
  <c r="N1772" i="1"/>
  <c r="M1772" i="1"/>
  <c r="O1771" i="1" a="1"/>
  <c r="O1771" i="1" s="1"/>
  <c r="N1771" i="1"/>
  <c r="M1771" i="1"/>
  <c r="O1770" i="1" a="1"/>
  <c r="O1770" i="1" s="1"/>
  <c r="N1770" i="1"/>
  <c r="M1770" i="1"/>
  <c r="O1769" i="1" a="1"/>
  <c r="O1769" i="1" s="1"/>
  <c r="N1769" i="1"/>
  <c r="M1769" i="1"/>
  <c r="O1768" i="1" a="1"/>
  <c r="O1768" i="1" s="1"/>
  <c r="N1768" i="1"/>
  <c r="M1768" i="1"/>
  <c r="O1767" i="1" a="1"/>
  <c r="O1767" i="1" s="1"/>
  <c r="N1767" i="1"/>
  <c r="M1767" i="1"/>
  <c r="O1766" i="1" a="1"/>
  <c r="O1766" i="1" s="1"/>
  <c r="N1766" i="1"/>
  <c r="M1766" i="1"/>
  <c r="O1765" i="1" a="1"/>
  <c r="O1765" i="1" s="1"/>
  <c r="N1765" i="1"/>
  <c r="M1765" i="1"/>
  <c r="O1764" i="1" a="1"/>
  <c r="O1764" i="1" s="1"/>
  <c r="N1764" i="1"/>
  <c r="M1764" i="1"/>
  <c r="O1763" i="1" a="1"/>
  <c r="O1763" i="1" s="1"/>
  <c r="N1763" i="1"/>
  <c r="M1763" i="1"/>
  <c r="O1762" i="1" a="1"/>
  <c r="O1762" i="1" s="1"/>
  <c r="N1762" i="1"/>
  <c r="M1762" i="1"/>
  <c r="O1761" i="1" a="1"/>
  <c r="O1761" i="1" s="1"/>
  <c r="N1761" i="1"/>
  <c r="M1761" i="1"/>
  <c r="O1760" i="1" a="1"/>
  <c r="O1760" i="1" s="1"/>
  <c r="N1760" i="1"/>
  <c r="M1760" i="1"/>
  <c r="O1759" i="1" a="1"/>
  <c r="O1759" i="1" s="1"/>
  <c r="N1759" i="1"/>
  <c r="M1759" i="1"/>
  <c r="O1758" i="1" a="1"/>
  <c r="O1758" i="1" s="1"/>
  <c r="N1758" i="1"/>
  <c r="M1758" i="1"/>
  <c r="O1757" i="1" a="1"/>
  <c r="O1757" i="1" s="1"/>
  <c r="N1757" i="1"/>
  <c r="M1757" i="1"/>
  <c r="O1756" i="1" a="1"/>
  <c r="O1756" i="1" s="1"/>
  <c r="N1756" i="1"/>
  <c r="M1756" i="1"/>
  <c r="O1755" i="1" a="1"/>
  <c r="O1755" i="1" s="1"/>
  <c r="N1755" i="1"/>
  <c r="M1755" i="1"/>
  <c r="O1754" i="1" a="1"/>
  <c r="O1754" i="1" s="1"/>
  <c r="N1754" i="1"/>
  <c r="M1754" i="1"/>
  <c r="O1753" i="1" a="1"/>
  <c r="O1753" i="1" s="1"/>
  <c r="N1753" i="1"/>
  <c r="M1753" i="1"/>
  <c r="O1752" i="1" a="1"/>
  <c r="O1752" i="1" s="1"/>
  <c r="N1752" i="1"/>
  <c r="M1752" i="1"/>
  <c r="O1751" i="1" a="1"/>
  <c r="O1751" i="1" s="1"/>
  <c r="N1751" i="1"/>
  <c r="M1751" i="1"/>
  <c r="O1750" i="1" a="1"/>
  <c r="O1750" i="1" s="1"/>
  <c r="N1750" i="1"/>
  <c r="M1750" i="1"/>
  <c r="O1749" i="1" a="1"/>
  <c r="O1749" i="1" s="1"/>
  <c r="N1749" i="1"/>
  <c r="M1749" i="1"/>
  <c r="O1748" i="1" a="1"/>
  <c r="O1748" i="1" s="1"/>
  <c r="N1748" i="1"/>
  <c r="M1748" i="1"/>
  <c r="O1747" i="1" a="1"/>
  <c r="O1747" i="1" s="1"/>
  <c r="N1747" i="1"/>
  <c r="M1747" i="1"/>
  <c r="O1746" i="1" a="1"/>
  <c r="O1746" i="1" s="1"/>
  <c r="N1746" i="1"/>
  <c r="M1746" i="1"/>
  <c r="O1745" i="1" a="1"/>
  <c r="O1745" i="1" s="1"/>
  <c r="N1745" i="1"/>
  <c r="M1745" i="1"/>
  <c r="O1744" i="1" a="1"/>
  <c r="O1744" i="1" s="1"/>
  <c r="N1744" i="1"/>
  <c r="M1744" i="1"/>
  <c r="O1743" i="1" a="1"/>
  <c r="O1743" i="1" s="1"/>
  <c r="N1743" i="1"/>
  <c r="M1743" i="1"/>
  <c r="O1742" i="1" a="1"/>
  <c r="O1742" i="1" s="1"/>
  <c r="N1742" i="1"/>
  <c r="M1742" i="1"/>
  <c r="O1741" i="1" a="1"/>
  <c r="O1741" i="1" s="1"/>
  <c r="N1741" i="1"/>
  <c r="M1741" i="1"/>
  <c r="O1740" i="1" a="1"/>
  <c r="O1740" i="1" s="1"/>
  <c r="N1740" i="1"/>
  <c r="M1740" i="1"/>
  <c r="O1739" i="1" a="1"/>
  <c r="O1739" i="1" s="1"/>
  <c r="N1739" i="1"/>
  <c r="M1739" i="1"/>
  <c r="O1738" i="1" a="1"/>
  <c r="O1738" i="1" s="1"/>
  <c r="N1738" i="1"/>
  <c r="M1738" i="1"/>
  <c r="O1737" i="1" a="1"/>
  <c r="O1737" i="1" s="1"/>
  <c r="N1737" i="1"/>
  <c r="M1737" i="1"/>
  <c r="O1736" i="1" a="1"/>
  <c r="O1736" i="1" s="1"/>
  <c r="N1736" i="1"/>
  <c r="M1736" i="1"/>
  <c r="O1735" i="1" a="1"/>
  <c r="O1735" i="1" s="1"/>
  <c r="N1735" i="1"/>
  <c r="M1735" i="1"/>
  <c r="O1734" i="1" a="1"/>
  <c r="O1734" i="1" s="1"/>
  <c r="N1734" i="1"/>
  <c r="M1734" i="1"/>
  <c r="O1733" i="1" a="1"/>
  <c r="O1733" i="1" s="1"/>
  <c r="N1733" i="1"/>
  <c r="M1733" i="1"/>
  <c r="O1732" i="1" a="1"/>
  <c r="O1732" i="1" s="1"/>
  <c r="N1732" i="1"/>
  <c r="M1732" i="1"/>
  <c r="O1731" i="1" a="1"/>
  <c r="O1731" i="1" s="1"/>
  <c r="N1731" i="1"/>
  <c r="M1731" i="1"/>
  <c r="O1730" i="1" a="1"/>
  <c r="O1730" i="1" s="1"/>
  <c r="N1730" i="1"/>
  <c r="M1730" i="1"/>
  <c r="O1729" i="1" a="1"/>
  <c r="O1729" i="1" s="1"/>
  <c r="N1729" i="1"/>
  <c r="M1729" i="1"/>
  <c r="O1728" i="1" a="1"/>
  <c r="O1728" i="1" s="1"/>
  <c r="N1728" i="1"/>
  <c r="M1728" i="1"/>
  <c r="O1727" i="1" a="1"/>
  <c r="O1727" i="1" s="1"/>
  <c r="N1727" i="1"/>
  <c r="M1727" i="1"/>
  <c r="O1726" i="1" a="1"/>
  <c r="O1726" i="1" s="1"/>
  <c r="N1726" i="1"/>
  <c r="M1726" i="1"/>
  <c r="O1725" i="1" a="1"/>
  <c r="O1725" i="1" s="1"/>
  <c r="N1725" i="1"/>
  <c r="M1725" i="1"/>
  <c r="O1724" i="1" a="1"/>
  <c r="O1724" i="1" s="1"/>
  <c r="N1724" i="1"/>
  <c r="M1724" i="1"/>
  <c r="O1723" i="1" a="1"/>
  <c r="O1723" i="1" s="1"/>
  <c r="N1723" i="1"/>
  <c r="M1723" i="1"/>
  <c r="O1722" i="1" a="1"/>
  <c r="O1722" i="1" s="1"/>
  <c r="N1722" i="1"/>
  <c r="M1722" i="1"/>
  <c r="O1721" i="1" a="1"/>
  <c r="O1721" i="1" s="1"/>
  <c r="N1721" i="1"/>
  <c r="M1721" i="1"/>
  <c r="O1720" i="1" a="1"/>
  <c r="O1720" i="1" s="1"/>
  <c r="N1720" i="1"/>
  <c r="M1720" i="1"/>
  <c r="O1719" i="1" a="1"/>
  <c r="O1719" i="1" s="1"/>
  <c r="N1719" i="1"/>
  <c r="M1719" i="1"/>
  <c r="O1718" i="1" a="1"/>
  <c r="O1718" i="1" s="1"/>
  <c r="N1718" i="1"/>
  <c r="M1718" i="1"/>
  <c r="O1717" i="1" a="1"/>
  <c r="O1717" i="1" s="1"/>
  <c r="N1717" i="1"/>
  <c r="M1717" i="1"/>
  <c r="O1716" i="1" a="1"/>
  <c r="O1716" i="1" s="1"/>
  <c r="N1716" i="1"/>
  <c r="M1716" i="1"/>
  <c r="O1715" i="1" a="1"/>
  <c r="O1715" i="1" s="1"/>
  <c r="N1715" i="1"/>
  <c r="M1715" i="1"/>
  <c r="O1714" i="1" a="1"/>
  <c r="O1714" i="1" s="1"/>
  <c r="N1714" i="1"/>
  <c r="M1714" i="1"/>
  <c r="O1713" i="1" a="1"/>
  <c r="O1713" i="1" s="1"/>
  <c r="N1713" i="1"/>
  <c r="M1713" i="1"/>
  <c r="O1712" i="1" a="1"/>
  <c r="O1712" i="1" s="1"/>
  <c r="N1712" i="1"/>
  <c r="M1712" i="1"/>
  <c r="O1711" i="1" a="1"/>
  <c r="O1711" i="1" s="1"/>
  <c r="N1711" i="1"/>
  <c r="M1711" i="1"/>
  <c r="O1710" i="1" a="1"/>
  <c r="O1710" i="1" s="1"/>
  <c r="N1710" i="1"/>
  <c r="M1710" i="1"/>
  <c r="O1709" i="1" a="1"/>
  <c r="O1709" i="1" s="1"/>
  <c r="N1709" i="1"/>
  <c r="M1709" i="1"/>
  <c r="O1708" i="1" a="1"/>
  <c r="O1708" i="1" s="1"/>
  <c r="N1708" i="1"/>
  <c r="M1708" i="1"/>
  <c r="O1707" i="1" a="1"/>
  <c r="O1707" i="1" s="1"/>
  <c r="N1707" i="1"/>
  <c r="M1707" i="1"/>
  <c r="O1706" i="1" a="1"/>
  <c r="O1706" i="1" s="1"/>
  <c r="N1706" i="1"/>
  <c r="M1706" i="1"/>
  <c r="O1705" i="1" a="1"/>
  <c r="O1705" i="1" s="1"/>
  <c r="N1705" i="1"/>
  <c r="M1705" i="1"/>
  <c r="O1704" i="1" a="1"/>
  <c r="O1704" i="1" s="1"/>
  <c r="N1704" i="1"/>
  <c r="M1704" i="1"/>
  <c r="O1703" i="1" a="1"/>
  <c r="O1703" i="1" s="1"/>
  <c r="N1703" i="1"/>
  <c r="M1703" i="1"/>
  <c r="O1702" i="1" a="1"/>
  <c r="O1702" i="1" s="1"/>
  <c r="N1702" i="1"/>
  <c r="M1702" i="1"/>
  <c r="O1701" i="1" a="1"/>
  <c r="O1701" i="1" s="1"/>
  <c r="N1701" i="1"/>
  <c r="M1701" i="1"/>
  <c r="O1700" i="1" a="1"/>
  <c r="O1700" i="1" s="1"/>
  <c r="N1700" i="1"/>
  <c r="M1700" i="1"/>
  <c r="O1699" i="1" a="1"/>
  <c r="O1699" i="1" s="1"/>
  <c r="N1699" i="1"/>
  <c r="M1699" i="1"/>
  <c r="O1698" i="1" a="1"/>
  <c r="O1698" i="1" s="1"/>
  <c r="N1698" i="1"/>
  <c r="M1698" i="1"/>
  <c r="O1697" i="1" a="1"/>
  <c r="O1697" i="1" s="1"/>
  <c r="N1697" i="1"/>
  <c r="M1697" i="1"/>
  <c r="O1696" i="1" a="1"/>
  <c r="O1696" i="1" s="1"/>
  <c r="N1696" i="1"/>
  <c r="M1696" i="1"/>
  <c r="O1695" i="1" a="1"/>
  <c r="O1695" i="1" s="1"/>
  <c r="N1695" i="1"/>
  <c r="M1695" i="1"/>
  <c r="O1694" i="1" a="1"/>
  <c r="O1694" i="1" s="1"/>
  <c r="N1694" i="1"/>
  <c r="M1694" i="1"/>
  <c r="O1693" i="1" a="1"/>
  <c r="O1693" i="1" s="1"/>
  <c r="N1693" i="1"/>
  <c r="M1693" i="1"/>
  <c r="O1692" i="1" a="1"/>
  <c r="O1692" i="1" s="1"/>
  <c r="N1692" i="1"/>
  <c r="M1692" i="1"/>
  <c r="O1691" i="1" a="1"/>
  <c r="O1691" i="1" s="1"/>
  <c r="N1691" i="1"/>
  <c r="M1691" i="1"/>
  <c r="O1690" i="1" a="1"/>
  <c r="O1690" i="1" s="1"/>
  <c r="N1690" i="1"/>
  <c r="M1690" i="1"/>
  <c r="O1689" i="1" a="1"/>
  <c r="O1689" i="1" s="1"/>
  <c r="N1689" i="1"/>
  <c r="M1689" i="1"/>
  <c r="O1688" i="1" a="1"/>
  <c r="O1688" i="1" s="1"/>
  <c r="N1688" i="1"/>
  <c r="M1688" i="1"/>
  <c r="O1687" i="1" a="1"/>
  <c r="O1687" i="1" s="1"/>
  <c r="N1687" i="1"/>
  <c r="M1687" i="1"/>
  <c r="O1686" i="1" a="1"/>
  <c r="O1686" i="1" s="1"/>
  <c r="N1686" i="1"/>
  <c r="M1686" i="1"/>
  <c r="O1685" i="1" a="1"/>
  <c r="O1685" i="1" s="1"/>
  <c r="N1685" i="1"/>
  <c r="M1685" i="1"/>
  <c r="O1684" i="1" a="1"/>
  <c r="O1684" i="1" s="1"/>
  <c r="N1684" i="1"/>
  <c r="M1684" i="1"/>
  <c r="O1683" i="1" a="1"/>
  <c r="O1683" i="1" s="1"/>
  <c r="N1683" i="1"/>
  <c r="M1683" i="1"/>
  <c r="O1682" i="1" a="1"/>
  <c r="O1682" i="1" s="1"/>
  <c r="N1682" i="1"/>
  <c r="M1682" i="1"/>
  <c r="O1681" i="1" a="1"/>
  <c r="O1681" i="1" s="1"/>
  <c r="N1681" i="1"/>
  <c r="M1681" i="1"/>
  <c r="O1680" i="1" a="1"/>
  <c r="O1680" i="1" s="1"/>
  <c r="N1680" i="1"/>
  <c r="M1680" i="1"/>
  <c r="O1679" i="1" a="1"/>
  <c r="O1679" i="1" s="1"/>
  <c r="N1679" i="1"/>
  <c r="M1679" i="1"/>
  <c r="O1678" i="1" a="1"/>
  <c r="O1678" i="1" s="1"/>
  <c r="N1678" i="1"/>
  <c r="M1678" i="1"/>
  <c r="O1677" i="1" a="1"/>
  <c r="O1677" i="1" s="1"/>
  <c r="N1677" i="1"/>
  <c r="M1677" i="1"/>
  <c r="O1676" i="1" a="1"/>
  <c r="O1676" i="1" s="1"/>
  <c r="N1676" i="1"/>
  <c r="M1676" i="1"/>
  <c r="O1675" i="1" a="1"/>
  <c r="O1675" i="1" s="1"/>
  <c r="N1675" i="1"/>
  <c r="M1675" i="1"/>
  <c r="O1674" i="1" a="1"/>
  <c r="O1674" i="1" s="1"/>
  <c r="N1674" i="1"/>
  <c r="M1674" i="1"/>
  <c r="O1673" i="1" a="1"/>
  <c r="O1673" i="1" s="1"/>
  <c r="N1673" i="1"/>
  <c r="M1673" i="1"/>
  <c r="O1672" i="1" a="1"/>
  <c r="O1672" i="1" s="1"/>
  <c r="N1672" i="1"/>
  <c r="M1672" i="1"/>
  <c r="O1671" i="1" a="1"/>
  <c r="O1671" i="1" s="1"/>
  <c r="N1671" i="1"/>
  <c r="M1671" i="1"/>
  <c r="O1670" i="1" a="1"/>
  <c r="O1670" i="1" s="1"/>
  <c r="N1670" i="1"/>
  <c r="M1670" i="1"/>
  <c r="O1669" i="1" a="1"/>
  <c r="O1669" i="1" s="1"/>
  <c r="N1669" i="1"/>
  <c r="M1669" i="1"/>
  <c r="O1668" i="1" a="1"/>
  <c r="O1668" i="1" s="1"/>
  <c r="N1668" i="1"/>
  <c r="M1668" i="1"/>
  <c r="O1667" i="1" a="1"/>
  <c r="O1667" i="1" s="1"/>
  <c r="N1667" i="1"/>
  <c r="M1667" i="1"/>
  <c r="O1666" i="1" a="1"/>
  <c r="O1666" i="1" s="1"/>
  <c r="N1666" i="1"/>
  <c r="M1666" i="1"/>
  <c r="O1665" i="1" a="1"/>
  <c r="O1665" i="1" s="1"/>
  <c r="N1665" i="1"/>
  <c r="M1665" i="1"/>
  <c r="O1664" i="1" a="1"/>
  <c r="O1664" i="1" s="1"/>
  <c r="N1664" i="1"/>
  <c r="M1664" i="1"/>
  <c r="O1663" i="1" a="1"/>
  <c r="O1663" i="1" s="1"/>
  <c r="N1663" i="1"/>
  <c r="M1663" i="1"/>
  <c r="O1662" i="1" a="1"/>
  <c r="O1662" i="1" s="1"/>
  <c r="N1662" i="1"/>
  <c r="M1662" i="1"/>
  <c r="O1661" i="1" a="1"/>
  <c r="O1661" i="1" s="1"/>
  <c r="N1661" i="1"/>
  <c r="M1661" i="1"/>
  <c r="O1660" i="1" a="1"/>
  <c r="O1660" i="1" s="1"/>
  <c r="N1660" i="1"/>
  <c r="M1660" i="1"/>
  <c r="O1659" i="1" a="1"/>
  <c r="O1659" i="1" s="1"/>
  <c r="N1659" i="1"/>
  <c r="M1659" i="1"/>
  <c r="O1658" i="1" a="1"/>
  <c r="O1658" i="1" s="1"/>
  <c r="N1658" i="1"/>
  <c r="M1658" i="1"/>
  <c r="O1657" i="1" a="1"/>
  <c r="O1657" i="1" s="1"/>
  <c r="N1657" i="1"/>
  <c r="M1657" i="1"/>
  <c r="O1656" i="1" a="1"/>
  <c r="O1656" i="1" s="1"/>
  <c r="N1656" i="1"/>
  <c r="M1656" i="1"/>
  <c r="O1655" i="1" a="1"/>
  <c r="O1655" i="1" s="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a="1"/>
  <c r="O1645" i="1" s="1"/>
  <c r="N1645" i="1"/>
  <c r="M1645" i="1"/>
  <c r="O1644" i="1" a="1"/>
  <c r="O1644" i="1" s="1"/>
  <c r="N1644" i="1"/>
  <c r="M1644" i="1"/>
  <c r="O1643" i="1" a="1"/>
  <c r="O1643" i="1" s="1"/>
  <c r="N1643" i="1"/>
  <c r="M1643" i="1"/>
  <c r="O1642" i="1" a="1"/>
  <c r="O1642" i="1" s="1"/>
  <c r="N1642" i="1"/>
  <c r="M1642" i="1"/>
  <c r="O1641" i="1" a="1"/>
  <c r="O1641" i="1" s="1"/>
  <c r="N1641" i="1"/>
  <c r="M1641" i="1"/>
  <c r="O1640" i="1" a="1"/>
  <c r="O1640" i="1" s="1"/>
  <c r="N1640" i="1"/>
  <c r="M1640" i="1"/>
  <c r="O1639" i="1" a="1"/>
  <c r="O1639" i="1" s="1"/>
  <c r="N1639" i="1"/>
  <c r="M1639" i="1"/>
  <c r="O1638" i="1" a="1"/>
  <c r="O1638" i="1" s="1"/>
  <c r="N1638" i="1"/>
  <c r="M1638" i="1"/>
  <c r="O1637" i="1" a="1"/>
  <c r="O1637" i="1" s="1"/>
  <c r="N1637" i="1"/>
  <c r="M1637" i="1"/>
  <c r="O1636" i="1" a="1"/>
  <c r="O1636" i="1" s="1"/>
  <c r="N1636" i="1"/>
  <c r="M1636" i="1"/>
  <c r="O1635" i="1" a="1"/>
  <c r="O1635" i="1" s="1"/>
  <c r="N1635" i="1"/>
  <c r="M1635" i="1"/>
  <c r="O1634" i="1" a="1"/>
  <c r="O1634" i="1" s="1"/>
  <c r="N1634" i="1"/>
  <c r="M1634" i="1"/>
  <c r="O1633" i="1" a="1"/>
  <c r="O1633" i="1" s="1"/>
  <c r="N1633" i="1"/>
  <c r="M1633" i="1"/>
  <c r="O1632" i="1" a="1"/>
  <c r="O1632" i="1" s="1"/>
  <c r="N1632" i="1"/>
  <c r="M1632" i="1"/>
  <c r="O1631" i="1" a="1"/>
  <c r="O1631" i="1" s="1"/>
  <c r="N1631" i="1"/>
  <c r="M1631" i="1"/>
  <c r="O1630" i="1" a="1"/>
  <c r="O1630" i="1" s="1"/>
  <c r="N1630" i="1"/>
  <c r="M1630" i="1"/>
  <c r="O1629" i="1" a="1"/>
  <c r="O1629" i="1" s="1"/>
  <c r="N1629" i="1"/>
  <c r="M1629" i="1"/>
  <c r="O1628" i="1" a="1"/>
  <c r="O1628" i="1" s="1"/>
  <c r="N1628" i="1"/>
  <c r="M1628" i="1"/>
  <c r="O1627" i="1" a="1"/>
  <c r="O1627" i="1" s="1"/>
  <c r="N1627" i="1"/>
  <c r="M1627" i="1"/>
  <c r="O1626" i="1" a="1"/>
  <c r="O1626" i="1" s="1"/>
  <c r="N1626" i="1"/>
  <c r="M1626" i="1"/>
  <c r="O1625" i="1" a="1"/>
  <c r="O1625" i="1" s="1"/>
  <c r="N1625" i="1"/>
  <c r="M1625" i="1"/>
  <c r="O1624" i="1" a="1"/>
  <c r="O1624" i="1" s="1"/>
  <c r="N1624" i="1"/>
  <c r="M1624" i="1"/>
  <c r="O1623" i="1" a="1"/>
  <c r="O1623" i="1" s="1"/>
  <c r="N1623" i="1"/>
  <c r="M1623" i="1"/>
  <c r="O1622" i="1" a="1"/>
  <c r="O1622" i="1" s="1"/>
  <c r="N1622" i="1"/>
  <c r="M1622" i="1"/>
  <c r="O1621" i="1" a="1"/>
  <c r="O1621" i="1" s="1"/>
  <c r="N1621" i="1"/>
  <c r="M1621" i="1"/>
  <c r="O1620" i="1" a="1"/>
  <c r="O1620" i="1" s="1"/>
  <c r="N1620" i="1"/>
  <c r="M1620" i="1"/>
  <c r="O1619" i="1" a="1"/>
  <c r="O1619" i="1" s="1"/>
  <c r="N1619" i="1"/>
  <c r="M1619" i="1"/>
  <c r="O1618" i="1" a="1"/>
  <c r="O1618" i="1" s="1"/>
  <c r="N1618" i="1"/>
  <c r="M1618" i="1"/>
  <c r="O1617" i="1" a="1"/>
  <c r="O1617" i="1" s="1"/>
  <c r="N1617" i="1"/>
  <c r="M1617" i="1"/>
  <c r="O1616" i="1" a="1"/>
  <c r="O1616" i="1" s="1"/>
  <c r="N1616" i="1"/>
  <c r="M1616" i="1"/>
  <c r="O1615" i="1" a="1"/>
  <c r="O1615" i="1" s="1"/>
  <c r="N1615" i="1"/>
  <c r="M1615" i="1"/>
  <c r="O1614" i="1" a="1"/>
  <c r="O1614" i="1" s="1"/>
  <c r="N1614" i="1"/>
  <c r="M1614" i="1"/>
  <c r="O1613" i="1" a="1"/>
  <c r="O1613" i="1" s="1"/>
  <c r="N1613" i="1"/>
  <c r="M1613" i="1"/>
  <c r="O1612" i="1" a="1"/>
  <c r="O1612" i="1" s="1"/>
  <c r="N1612" i="1"/>
  <c r="M1612" i="1"/>
  <c r="O1611" i="1" a="1"/>
  <c r="O1611" i="1" s="1"/>
  <c r="N1611" i="1"/>
  <c r="M1611" i="1"/>
  <c r="O1610" i="1" a="1"/>
  <c r="O1610" i="1" s="1"/>
  <c r="N1610" i="1"/>
  <c r="M1610" i="1"/>
  <c r="O1609" i="1" a="1"/>
  <c r="O1609" i="1" s="1"/>
  <c r="N1609" i="1"/>
  <c r="M1609" i="1"/>
  <c r="O1608" i="1" a="1"/>
  <c r="O1608" i="1" s="1"/>
  <c r="N1608" i="1"/>
  <c r="M1608" i="1"/>
  <c r="O1607" i="1" a="1"/>
  <c r="O1607" i="1" s="1"/>
  <c r="N1607" i="1"/>
  <c r="M1607" i="1"/>
  <c r="O1606" i="1" a="1"/>
  <c r="O1606" i="1" s="1"/>
  <c r="N1606" i="1"/>
  <c r="M1606" i="1"/>
  <c r="O1605" i="1" a="1"/>
  <c r="O1605" i="1" s="1"/>
  <c r="N1605" i="1"/>
  <c r="M1605" i="1"/>
  <c r="O1604" i="1" a="1"/>
  <c r="O1604" i="1" s="1"/>
  <c r="N1604" i="1"/>
  <c r="M1604" i="1"/>
  <c r="O1603" i="1" a="1"/>
  <c r="O1603" i="1" s="1"/>
  <c r="N1603" i="1"/>
  <c r="M1603" i="1"/>
  <c r="O1602" i="1" a="1"/>
  <c r="O1602" i="1" s="1"/>
  <c r="N1602" i="1"/>
  <c r="M1602" i="1"/>
  <c r="O1601" i="1" a="1"/>
  <c r="O1601" i="1" s="1"/>
  <c r="N1601" i="1"/>
  <c r="M1601" i="1"/>
  <c r="O1600" i="1" a="1"/>
  <c r="O1600" i="1" s="1"/>
  <c r="N1600" i="1"/>
  <c r="M1600" i="1"/>
  <c r="O1599" i="1" a="1"/>
  <c r="O1599" i="1" s="1"/>
  <c r="N1599" i="1"/>
  <c r="M1599" i="1"/>
  <c r="O1598" i="1" a="1"/>
  <c r="O1598" i="1" s="1"/>
  <c r="N1598" i="1"/>
  <c r="M1598" i="1"/>
  <c r="O1597" i="1" a="1"/>
  <c r="O1597" i="1" s="1"/>
  <c r="N1597" i="1"/>
  <c r="M1597" i="1"/>
  <c r="O1596" i="1" a="1"/>
  <c r="O1596" i="1" s="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a="1"/>
  <c r="O1589" i="1" s="1"/>
  <c r="N1589" i="1"/>
  <c r="M1589" i="1"/>
  <c r="O1588" i="1" a="1"/>
  <c r="O1588" i="1" s="1"/>
  <c r="N1588" i="1"/>
  <c r="M1588" i="1"/>
  <c r="O1587" i="1" a="1"/>
  <c r="O1587" i="1" s="1"/>
  <c r="N1587" i="1"/>
  <c r="M1587" i="1"/>
  <c r="O1586" i="1" a="1"/>
  <c r="O1586" i="1" s="1"/>
  <c r="N1586" i="1"/>
  <c r="M1586" i="1"/>
  <c r="O1585" i="1" a="1"/>
  <c r="O1585" i="1" s="1"/>
  <c r="N1585" i="1"/>
  <c r="M1585" i="1"/>
  <c r="O1584" i="1" a="1"/>
  <c r="O1584" i="1" s="1"/>
  <c r="N1584" i="1"/>
  <c r="M1584" i="1"/>
  <c r="O1583" i="1" a="1"/>
  <c r="O1583" i="1" s="1"/>
  <c r="N1583" i="1"/>
  <c r="M1583" i="1"/>
  <c r="O1582" i="1" a="1"/>
  <c r="O1582" i="1" s="1"/>
  <c r="N1582" i="1"/>
  <c r="M1582" i="1"/>
  <c r="O1581" i="1" a="1"/>
  <c r="O1581" i="1" s="1"/>
  <c r="N1581" i="1"/>
  <c r="M1581" i="1"/>
  <c r="O1580" i="1" a="1"/>
  <c r="O1580" i="1" s="1"/>
  <c r="N1580" i="1"/>
  <c r="M1580" i="1"/>
  <c r="O1579" i="1" a="1"/>
  <c r="O1579" i="1" s="1"/>
  <c r="N1579" i="1"/>
  <c r="M1579" i="1"/>
  <c r="O1578" i="1" a="1"/>
  <c r="O1578" i="1" s="1"/>
  <c r="N1578" i="1"/>
  <c r="M1578" i="1"/>
  <c r="O1577" i="1" a="1"/>
  <c r="O1577" i="1" s="1"/>
  <c r="N1577" i="1"/>
  <c r="M1577" i="1"/>
  <c r="O1576" i="1" a="1"/>
  <c r="O1576" i="1" s="1"/>
  <c r="N1576" i="1"/>
  <c r="M1576" i="1"/>
  <c r="O1575" i="1" a="1"/>
  <c r="O1575" i="1" s="1"/>
  <c r="N1575" i="1"/>
  <c r="M1575" i="1"/>
  <c r="O1574" i="1" a="1"/>
  <c r="O1574" i="1" s="1"/>
  <c r="N1574" i="1"/>
  <c r="M1574" i="1"/>
  <c r="O1573" i="1" a="1"/>
  <c r="O1573" i="1" s="1"/>
  <c r="N1573" i="1"/>
  <c r="M1573" i="1"/>
  <c r="O1572" i="1" a="1"/>
  <c r="O1572" i="1" s="1"/>
  <c r="N1572" i="1"/>
  <c r="M1572" i="1"/>
  <c r="O1571" i="1" a="1"/>
  <c r="O1571" i="1" s="1"/>
  <c r="N1571" i="1"/>
  <c r="M1571" i="1"/>
  <c r="O1570" i="1" a="1"/>
  <c r="O1570" i="1" s="1"/>
  <c r="N1570" i="1"/>
  <c r="M1570" i="1"/>
  <c r="O1569" i="1" a="1"/>
  <c r="O1569" i="1" s="1"/>
  <c r="N1569" i="1"/>
  <c r="M1569" i="1"/>
  <c r="O1568" i="1" a="1"/>
  <c r="O1568" i="1" s="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a="1"/>
  <c r="O1561" i="1" s="1"/>
  <c r="N1561" i="1"/>
  <c r="M1561" i="1"/>
  <c r="O1560" i="1" a="1"/>
  <c r="O1560" i="1" s="1"/>
  <c r="N1560" i="1"/>
  <c r="M1560" i="1"/>
  <c r="O1559" i="1" a="1"/>
  <c r="O1559" i="1" s="1"/>
  <c r="N1559" i="1"/>
  <c r="M1559" i="1"/>
  <c r="O1558" i="1" a="1"/>
  <c r="O1558" i="1" s="1"/>
  <c r="N1558" i="1"/>
  <c r="M1558" i="1"/>
  <c r="O1557" i="1" a="1"/>
  <c r="O1557" i="1" s="1"/>
  <c r="N1557" i="1"/>
  <c r="M1557" i="1"/>
  <c r="O1556" i="1" a="1"/>
  <c r="O1556" i="1" s="1"/>
  <c r="N1556" i="1"/>
  <c r="M1556" i="1"/>
  <c r="O1555" i="1" a="1"/>
  <c r="O1555" i="1" s="1"/>
  <c r="N1555" i="1"/>
  <c r="M1555" i="1"/>
  <c r="O1554" i="1" a="1"/>
  <c r="O1554" i="1" s="1"/>
  <c r="N1554" i="1"/>
  <c r="M1554" i="1"/>
  <c r="O1553" i="1" a="1"/>
  <c r="O1553" i="1" s="1"/>
  <c r="N1553" i="1"/>
  <c r="M1553" i="1"/>
  <c r="O1552" i="1" a="1"/>
  <c r="O1552" i="1" s="1"/>
  <c r="N1552" i="1"/>
  <c r="M1552" i="1"/>
  <c r="O1551" i="1" a="1"/>
  <c r="O1551" i="1" s="1"/>
  <c r="N1551" i="1"/>
  <c r="M1551" i="1"/>
  <c r="O1550" i="1" a="1"/>
  <c r="O1550" i="1" s="1"/>
  <c r="N1550" i="1"/>
  <c r="M1550" i="1"/>
  <c r="O1549" i="1" a="1"/>
  <c r="O1549" i="1" s="1"/>
  <c r="N1549" i="1"/>
  <c r="M1549" i="1"/>
  <c r="O1548" i="1" a="1"/>
  <c r="O1548" i="1" s="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a="1"/>
  <c r="O1540" i="1" s="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a="1"/>
  <c r="O1533" i="1" s="1"/>
  <c r="N1533" i="1"/>
  <c r="M1533" i="1"/>
  <c r="O1532" i="1" a="1"/>
  <c r="O1532" i="1" s="1"/>
  <c r="N1532" i="1"/>
  <c r="M1532" i="1"/>
  <c r="O1531" i="1" a="1"/>
  <c r="O1531" i="1" s="1"/>
  <c r="N1531" i="1"/>
  <c r="M1531" i="1"/>
  <c r="O1530" i="1" a="1"/>
  <c r="O1530" i="1" s="1"/>
  <c r="N1530" i="1"/>
  <c r="M1530" i="1"/>
  <c r="O1529" i="1" a="1"/>
  <c r="O1529" i="1" s="1"/>
  <c r="N1529" i="1"/>
  <c r="M1529" i="1"/>
  <c r="O1528" i="1" a="1"/>
  <c r="O1528" i="1" s="1"/>
  <c r="N1528" i="1"/>
  <c r="M1528" i="1"/>
  <c r="O1527" i="1" a="1"/>
  <c r="O1527" i="1" s="1"/>
  <c r="N1527" i="1"/>
  <c r="M1527" i="1"/>
  <c r="O1526" i="1" a="1"/>
  <c r="O1526" i="1" s="1"/>
  <c r="N1526" i="1"/>
  <c r="M1526" i="1"/>
  <c r="O1525" i="1" a="1"/>
  <c r="O1525" i="1" s="1"/>
  <c r="N1525" i="1"/>
  <c r="M1525" i="1"/>
  <c r="O1524" i="1" a="1"/>
  <c r="O1524" i="1" s="1"/>
  <c r="N1524" i="1"/>
  <c r="M1524" i="1"/>
  <c r="O1523" i="1" a="1"/>
  <c r="O1523" i="1" s="1"/>
  <c r="N1523" i="1"/>
  <c r="M1523" i="1"/>
  <c r="O1522" i="1" a="1"/>
  <c r="O1522" i="1" s="1"/>
  <c r="N1522" i="1"/>
  <c r="M1522" i="1"/>
  <c r="O1521" i="1" a="1"/>
  <c r="O1521" i="1" s="1"/>
  <c r="N1521" i="1"/>
  <c r="M1521" i="1"/>
  <c r="O1520" i="1" a="1"/>
  <c r="O1520" i="1" s="1"/>
  <c r="N1520" i="1"/>
  <c r="M1520" i="1"/>
  <c r="O1519" i="1" a="1"/>
  <c r="O1519" i="1" s="1"/>
  <c r="N1519" i="1"/>
  <c r="M1519" i="1"/>
  <c r="O1518" i="1" a="1"/>
  <c r="O1518" i="1" s="1"/>
  <c r="N1518" i="1"/>
  <c r="M1518" i="1"/>
  <c r="O1517" i="1" a="1"/>
  <c r="O1517" i="1" s="1"/>
  <c r="N1517" i="1"/>
  <c r="M1517" i="1"/>
  <c r="O1516" i="1" a="1"/>
  <c r="O1516" i="1" s="1"/>
  <c r="N1516" i="1"/>
  <c r="M1516" i="1"/>
  <c r="O1515" i="1" a="1"/>
  <c r="O1515" i="1" s="1"/>
  <c r="N1515" i="1"/>
  <c r="M1515" i="1"/>
  <c r="O1514" i="1" a="1"/>
  <c r="O1514" i="1" s="1"/>
  <c r="N1514" i="1"/>
  <c r="M1514" i="1"/>
  <c r="O1513" i="1" a="1"/>
  <c r="O1513" i="1" s="1"/>
  <c r="N1513" i="1"/>
  <c r="M1513" i="1"/>
  <c r="O1512" i="1" a="1"/>
  <c r="O1512" i="1" s="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a="1"/>
  <c r="O1505" i="1" s="1"/>
  <c r="N1505" i="1"/>
  <c r="M1505" i="1"/>
  <c r="O1504" i="1" a="1"/>
  <c r="O1504" i="1" s="1"/>
  <c r="N1504" i="1"/>
  <c r="M1504" i="1"/>
  <c r="O1503" i="1" a="1"/>
  <c r="O1503" i="1" s="1"/>
  <c r="N1503" i="1"/>
  <c r="M1503" i="1"/>
  <c r="O1502" i="1" a="1"/>
  <c r="O1502" i="1" s="1"/>
  <c r="N1502" i="1"/>
  <c r="M1502" i="1"/>
  <c r="O1501" i="1" a="1"/>
  <c r="O1501" i="1" s="1"/>
  <c r="N1501" i="1"/>
  <c r="M1501" i="1"/>
  <c r="O1500" i="1" a="1"/>
  <c r="O1500" i="1" s="1"/>
  <c r="N1500" i="1"/>
  <c r="M1500" i="1"/>
  <c r="O1499" i="1" a="1"/>
  <c r="O1499" i="1" s="1"/>
  <c r="N1499" i="1"/>
  <c r="M1499" i="1"/>
  <c r="O1498" i="1" a="1"/>
  <c r="O1498" i="1" s="1"/>
  <c r="N1498" i="1"/>
  <c r="M1498" i="1"/>
  <c r="O1497" i="1" a="1"/>
  <c r="O1497" i="1" s="1"/>
  <c r="N1497" i="1"/>
  <c r="M1497" i="1"/>
  <c r="O1496" i="1" a="1"/>
  <c r="O1496" i="1" s="1"/>
  <c r="N1496" i="1"/>
  <c r="M1496" i="1"/>
  <c r="O1495" i="1" a="1"/>
  <c r="O1495" i="1" s="1"/>
  <c r="N1495" i="1"/>
  <c r="M1495" i="1"/>
  <c r="O1494" i="1" a="1"/>
  <c r="O1494" i="1" s="1"/>
  <c r="N1494" i="1"/>
  <c r="M1494" i="1"/>
  <c r="O1493" i="1" a="1"/>
  <c r="O1493" i="1" s="1"/>
  <c r="N1493" i="1"/>
  <c r="M1493" i="1"/>
  <c r="O1492" i="1" a="1"/>
  <c r="O1492" i="1" s="1"/>
  <c r="N1492" i="1"/>
  <c r="M1492" i="1"/>
  <c r="O1491" i="1" a="1"/>
  <c r="O1491" i="1" s="1"/>
  <c r="N1491" i="1"/>
  <c r="M1491" i="1"/>
  <c r="O1490" i="1" a="1"/>
  <c r="O1490" i="1" s="1"/>
  <c r="N1490" i="1"/>
  <c r="M1490" i="1"/>
  <c r="O1489" i="1" a="1"/>
  <c r="O1489" i="1" s="1"/>
  <c r="N1489" i="1"/>
  <c r="M1489" i="1"/>
  <c r="O1488" i="1" a="1"/>
  <c r="O1488" i="1" s="1"/>
  <c r="N1488" i="1"/>
  <c r="M1488" i="1"/>
  <c r="O1487" i="1" a="1"/>
  <c r="O1487" i="1" s="1"/>
  <c r="N1487" i="1"/>
  <c r="M1487" i="1"/>
  <c r="O1486" i="1" a="1"/>
  <c r="O1486" i="1" s="1"/>
  <c r="N1486" i="1"/>
  <c r="M1486" i="1"/>
  <c r="O1485" i="1" a="1"/>
  <c r="O1485" i="1" s="1"/>
  <c r="N1485" i="1"/>
  <c r="M1485" i="1"/>
  <c r="O1484" i="1" a="1"/>
  <c r="O1484" i="1" s="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a="1"/>
  <c r="O1477" i="1" s="1"/>
  <c r="N1477" i="1"/>
  <c r="M1477" i="1"/>
  <c r="O1476" i="1" a="1"/>
  <c r="O1476" i="1" s="1"/>
  <c r="N1476" i="1"/>
  <c r="M1476" i="1"/>
  <c r="O1475" i="1" a="1"/>
  <c r="O1475" i="1" s="1"/>
  <c r="N1475" i="1"/>
  <c r="M1475" i="1"/>
  <c r="O1474" i="1" a="1"/>
  <c r="O1474" i="1" s="1"/>
  <c r="N1474" i="1"/>
  <c r="M1474" i="1"/>
  <c r="O1473" i="1" a="1"/>
  <c r="O1473" i="1" s="1"/>
  <c r="N1473" i="1"/>
  <c r="M1473" i="1"/>
  <c r="O1472" i="1" a="1"/>
  <c r="O1472" i="1" s="1"/>
  <c r="N1472" i="1"/>
  <c r="M1472" i="1"/>
  <c r="O1471" i="1" a="1"/>
  <c r="O1471" i="1" s="1"/>
  <c r="N1471" i="1"/>
  <c r="M1471" i="1"/>
  <c r="O1470" i="1" a="1"/>
  <c r="O1470" i="1" s="1"/>
  <c r="N1470" i="1"/>
  <c r="M1470" i="1"/>
  <c r="O1469" i="1" a="1"/>
  <c r="O1469" i="1" s="1"/>
  <c r="N1469" i="1"/>
  <c r="M1469" i="1"/>
  <c r="O1468" i="1" a="1"/>
  <c r="O1468" i="1" s="1"/>
  <c r="N1468" i="1"/>
  <c r="M1468" i="1"/>
  <c r="O1467" i="1" a="1"/>
  <c r="O1467" i="1" s="1"/>
  <c r="N1467" i="1"/>
  <c r="M1467" i="1"/>
  <c r="O1466" i="1" a="1"/>
  <c r="O1466" i="1" s="1"/>
  <c r="N1466" i="1"/>
  <c r="M1466" i="1"/>
  <c r="O1465" i="1" a="1"/>
  <c r="O1465" i="1" s="1"/>
  <c r="N1465" i="1"/>
  <c r="M1465" i="1"/>
  <c r="O1464" i="1" a="1"/>
  <c r="O1464" i="1" s="1"/>
  <c r="N1464" i="1"/>
  <c r="M1464" i="1"/>
  <c r="O1463" i="1" a="1"/>
  <c r="O1463" i="1" s="1"/>
  <c r="N1463" i="1"/>
  <c r="M1463" i="1"/>
  <c r="O1462" i="1" a="1"/>
  <c r="O1462" i="1" s="1"/>
  <c r="N1462" i="1"/>
  <c r="M1462" i="1"/>
  <c r="O1461" i="1" a="1"/>
  <c r="O1461" i="1" s="1"/>
  <c r="N1461" i="1"/>
  <c r="M1461" i="1"/>
  <c r="O1460" i="1" a="1"/>
  <c r="O1460" i="1" s="1"/>
  <c r="N1460" i="1"/>
  <c r="M1460" i="1"/>
  <c r="O1459" i="1" a="1"/>
  <c r="O1459" i="1" s="1"/>
  <c r="N1459" i="1"/>
  <c r="M1459" i="1"/>
  <c r="O1458" i="1" a="1"/>
  <c r="O1458" i="1" s="1"/>
  <c r="N1458" i="1"/>
  <c r="M1458" i="1"/>
  <c r="O1457" i="1" a="1"/>
  <c r="O1457" i="1" s="1"/>
  <c r="N1457" i="1"/>
  <c r="M1457" i="1"/>
  <c r="O1456" i="1" a="1"/>
  <c r="O1456" i="1" s="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a="1"/>
  <c r="O1449" i="1" s="1"/>
  <c r="N1449" i="1"/>
  <c r="M1449" i="1"/>
  <c r="O1448" i="1" a="1"/>
  <c r="O1448" i="1" s="1"/>
  <c r="N1448" i="1"/>
  <c r="M1448" i="1"/>
  <c r="O1447" i="1" a="1"/>
  <c r="O1447" i="1" s="1"/>
  <c r="N1447" i="1"/>
  <c r="M1447" i="1"/>
  <c r="O1446" i="1" a="1"/>
  <c r="O1446" i="1" s="1"/>
  <c r="N1446" i="1"/>
  <c r="M1446" i="1"/>
  <c r="O1445" i="1" a="1"/>
  <c r="O1445" i="1" s="1"/>
  <c r="N1445" i="1"/>
  <c r="M1445" i="1"/>
  <c r="O1444" i="1" a="1"/>
  <c r="O1444" i="1" s="1"/>
  <c r="N1444" i="1"/>
  <c r="M1444" i="1"/>
  <c r="O1443" i="1" a="1"/>
  <c r="O1443" i="1" s="1"/>
  <c r="N1443" i="1"/>
  <c r="M1443" i="1"/>
  <c r="O1442" i="1" a="1"/>
  <c r="O1442" i="1" s="1"/>
  <c r="N1442" i="1"/>
  <c r="M1442" i="1"/>
  <c r="O1441" i="1" a="1"/>
  <c r="O1441" i="1" s="1"/>
  <c r="N1441" i="1"/>
  <c r="M1441" i="1"/>
  <c r="O1440" i="1" a="1"/>
  <c r="O1440" i="1" s="1"/>
  <c r="N1440" i="1"/>
  <c r="M1440" i="1"/>
  <c r="O1439" i="1" a="1"/>
  <c r="O1439" i="1" s="1"/>
  <c r="N1439" i="1"/>
  <c r="M1439" i="1"/>
  <c r="O1438" i="1" a="1"/>
  <c r="O1438" i="1" s="1"/>
  <c r="N1438" i="1"/>
  <c r="M1438" i="1"/>
  <c r="O1437" i="1" a="1"/>
  <c r="O1437" i="1" s="1"/>
  <c r="N1437" i="1"/>
  <c r="M1437" i="1"/>
  <c r="O1436" i="1" a="1"/>
  <c r="O1436" i="1" s="1"/>
  <c r="N1436" i="1"/>
  <c r="M1436" i="1"/>
  <c r="O1435" i="1" a="1"/>
  <c r="O1435" i="1" s="1"/>
  <c r="N1435" i="1"/>
  <c r="M1435" i="1"/>
  <c r="O1434" i="1" a="1"/>
  <c r="O1434" i="1" s="1"/>
  <c r="N1434" i="1"/>
  <c r="M1434" i="1"/>
  <c r="O1433" i="1" a="1"/>
  <c r="O1433" i="1" s="1"/>
  <c r="N1433" i="1"/>
  <c r="M1433" i="1"/>
  <c r="O1432" i="1" a="1"/>
  <c r="O1432" i="1" s="1"/>
  <c r="N1432" i="1"/>
  <c r="M1432" i="1"/>
  <c r="O1431" i="1" a="1"/>
  <c r="O1431" i="1" s="1"/>
  <c r="N1431" i="1"/>
  <c r="M1431" i="1"/>
  <c r="O1430" i="1" a="1"/>
  <c r="O1430" i="1" s="1"/>
  <c r="N1430" i="1"/>
  <c r="M1430" i="1"/>
  <c r="O1429" i="1" a="1"/>
  <c r="O1429" i="1" s="1"/>
  <c r="N1429" i="1"/>
  <c r="M1429" i="1"/>
  <c r="O1428" i="1" a="1"/>
  <c r="O1428" i="1" s="1"/>
  <c r="N1428" i="1"/>
  <c r="M1428" i="1"/>
  <c r="O1427" i="1" a="1"/>
  <c r="O1427" i="1" s="1"/>
  <c r="N1427" i="1"/>
  <c r="M1427" i="1"/>
  <c r="O1426" i="1" a="1"/>
  <c r="O1426" i="1" s="1"/>
  <c r="N1426" i="1"/>
  <c r="M1426" i="1"/>
  <c r="O1425" i="1" a="1"/>
  <c r="O1425" i="1" s="1"/>
  <c r="N1425" i="1"/>
  <c r="M1425" i="1"/>
  <c r="O1424" i="1" a="1"/>
  <c r="O1424" i="1" s="1"/>
  <c r="N1424" i="1"/>
  <c r="M1424" i="1"/>
  <c r="O1423" i="1" a="1"/>
  <c r="O1423" i="1" s="1"/>
  <c r="N1423" i="1"/>
  <c r="M1423" i="1"/>
  <c r="O1422" i="1" a="1"/>
  <c r="O1422" i="1" s="1"/>
  <c r="N1422" i="1"/>
  <c r="M1422" i="1"/>
  <c r="O1421" i="1" a="1"/>
  <c r="O1421" i="1" s="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a="1"/>
  <c r="O1414" i="1" s="1"/>
  <c r="N1414" i="1"/>
  <c r="M1414" i="1"/>
  <c r="O1413" i="1" a="1"/>
  <c r="O1413" i="1" s="1"/>
  <c r="N1413" i="1"/>
  <c r="M1413" i="1"/>
  <c r="O1412" i="1" a="1"/>
  <c r="O1412" i="1" s="1"/>
  <c r="N1412" i="1"/>
  <c r="M1412" i="1"/>
  <c r="O1411" i="1" a="1"/>
  <c r="O1411" i="1" s="1"/>
  <c r="N1411" i="1"/>
  <c r="M1411" i="1"/>
  <c r="O1410" i="1" a="1"/>
  <c r="O1410" i="1" s="1"/>
  <c r="N1410" i="1"/>
  <c r="M1410" i="1"/>
  <c r="O1409" i="1" a="1"/>
  <c r="O1409" i="1" s="1"/>
  <c r="N1409" i="1"/>
  <c r="M1409" i="1"/>
  <c r="O1408" i="1" a="1"/>
  <c r="O1408" i="1" s="1"/>
  <c r="N1408" i="1"/>
  <c r="M1408" i="1"/>
  <c r="O1407" i="1" a="1"/>
  <c r="O1407" i="1" s="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a="1"/>
  <c r="O1401" i="1" s="1"/>
  <c r="N1401" i="1"/>
  <c r="M1401" i="1"/>
  <c r="O1400" i="1" a="1"/>
  <c r="O1400" i="1" s="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a="1"/>
  <c r="O1394" i="1" s="1"/>
  <c r="N1394" i="1"/>
  <c r="M1394" i="1"/>
  <c r="O1393" i="1" a="1"/>
  <c r="O1393" i="1" s="1"/>
  <c r="N1393" i="1"/>
  <c r="M1393" i="1"/>
  <c r="O1392" i="1" a="1"/>
  <c r="O1392" i="1" s="1"/>
  <c r="N1392" i="1"/>
  <c r="M1392" i="1"/>
  <c r="O1391" i="1" a="1"/>
  <c r="O1391" i="1" s="1"/>
  <c r="N1391" i="1"/>
  <c r="M1391" i="1"/>
  <c r="O1390" i="1" a="1"/>
  <c r="O1390" i="1" s="1"/>
  <c r="N1390" i="1"/>
  <c r="M1390" i="1"/>
  <c r="O1389" i="1" a="1"/>
  <c r="O1389" i="1" s="1"/>
  <c r="N1389" i="1"/>
  <c r="M1389" i="1"/>
  <c r="O1388" i="1" a="1"/>
  <c r="O1388" i="1" s="1"/>
  <c r="N1388" i="1"/>
  <c r="M1388" i="1"/>
  <c r="O1387" i="1" a="1"/>
  <c r="O1387" i="1" s="1"/>
  <c r="N1387" i="1"/>
  <c r="M1387" i="1"/>
  <c r="O1386" i="1" a="1"/>
  <c r="O1386" i="1" s="1"/>
  <c r="N1386" i="1"/>
  <c r="M1386" i="1"/>
  <c r="O1385" i="1" a="1"/>
  <c r="O1385" i="1" s="1"/>
  <c r="N1385" i="1"/>
  <c r="M1385" i="1"/>
  <c r="O1384" i="1" a="1"/>
  <c r="O1384" i="1" s="1"/>
  <c r="N1384" i="1"/>
  <c r="M1384" i="1"/>
  <c r="O1383" i="1" a="1"/>
  <c r="O1383" i="1" s="1"/>
  <c r="N1383" i="1"/>
  <c r="M1383" i="1"/>
  <c r="O1382" i="1" a="1"/>
  <c r="O1382" i="1" s="1"/>
  <c r="N1382" i="1"/>
  <c r="M1382" i="1"/>
  <c r="O1381" i="1" a="1"/>
  <c r="O1381" i="1" s="1"/>
  <c r="N1381" i="1"/>
  <c r="M1381" i="1"/>
  <c r="O1380" i="1" a="1"/>
  <c r="O1380" i="1" s="1"/>
  <c r="N1380" i="1"/>
  <c r="M1380" i="1"/>
  <c r="O1379" i="1" a="1"/>
  <c r="O1379" i="1" s="1"/>
  <c r="N1379" i="1"/>
  <c r="M1379" i="1"/>
  <c r="O1378" i="1" a="1"/>
  <c r="O1378" i="1" s="1"/>
  <c r="N1378" i="1"/>
  <c r="M1378" i="1"/>
  <c r="O1377" i="1" a="1"/>
  <c r="O1377" i="1" s="1"/>
  <c r="N1377" i="1"/>
  <c r="M1377" i="1"/>
  <c r="O1376" i="1" a="1"/>
  <c r="O1376" i="1" s="1"/>
  <c r="N1376" i="1"/>
  <c r="M1376" i="1"/>
  <c r="O1375" i="1" a="1"/>
  <c r="O1375" i="1" s="1"/>
  <c r="N1375" i="1"/>
  <c r="M1375" i="1"/>
  <c r="O1374" i="1" a="1"/>
  <c r="O1374" i="1" s="1"/>
  <c r="N1374" i="1"/>
  <c r="M1374" i="1"/>
  <c r="O1373" i="1" a="1"/>
  <c r="O1373" i="1" s="1"/>
  <c r="N1373" i="1"/>
  <c r="M1373" i="1"/>
  <c r="O1372" i="1" a="1"/>
  <c r="O1372" i="1" s="1"/>
  <c r="N1372" i="1"/>
  <c r="M1372" i="1"/>
  <c r="O1371" i="1" a="1"/>
  <c r="O1371" i="1" s="1"/>
  <c r="N1371" i="1"/>
  <c r="M1371" i="1"/>
  <c r="O1370" i="1" a="1"/>
  <c r="O1370" i="1" s="1"/>
  <c r="N1370" i="1"/>
  <c r="M1370" i="1"/>
  <c r="O1369" i="1" a="1"/>
  <c r="O1369" i="1" s="1"/>
  <c r="N1369" i="1"/>
  <c r="M1369" i="1"/>
  <c r="O1368" i="1" a="1"/>
  <c r="O1368" i="1" s="1"/>
  <c r="N1368" i="1"/>
  <c r="M1368" i="1"/>
  <c r="O1367" i="1" a="1"/>
  <c r="O1367" i="1" s="1"/>
  <c r="N1367" i="1"/>
  <c r="M1367" i="1"/>
  <c r="O1366" i="1" a="1"/>
  <c r="O1366" i="1" s="1"/>
  <c r="N1366" i="1"/>
  <c r="M1366" i="1"/>
  <c r="O1365" i="1" a="1"/>
  <c r="O1365" i="1" s="1"/>
  <c r="N1365" i="1"/>
  <c r="M1365" i="1"/>
  <c r="O1364" i="1" a="1"/>
  <c r="O1364" i="1" s="1"/>
  <c r="N1364" i="1"/>
  <c r="M1364" i="1"/>
  <c r="O1363" i="1" a="1"/>
  <c r="O1363" i="1" s="1"/>
  <c r="N1363" i="1"/>
  <c r="M1363" i="1"/>
  <c r="O1362" i="1" a="1"/>
  <c r="O1362" i="1" s="1"/>
  <c r="N1362" i="1"/>
  <c r="M1362" i="1"/>
  <c r="O1361" i="1" a="1"/>
  <c r="O1361" i="1" s="1"/>
  <c r="N1361" i="1"/>
  <c r="M1361" i="1"/>
  <c r="O1360" i="1" a="1"/>
  <c r="O1360" i="1" s="1"/>
  <c r="N1360" i="1"/>
  <c r="M1360" i="1"/>
  <c r="O1359" i="1" a="1"/>
  <c r="O1359" i="1" s="1"/>
  <c r="N1359" i="1"/>
  <c r="M1359" i="1"/>
  <c r="O1358" i="1" a="1"/>
  <c r="O1358" i="1" s="1"/>
  <c r="N1358" i="1"/>
  <c r="M1358" i="1"/>
  <c r="O1357" i="1" a="1"/>
  <c r="O1357" i="1" s="1"/>
  <c r="N1357" i="1"/>
  <c r="M1357" i="1"/>
  <c r="O1356" i="1" a="1"/>
  <c r="O1356" i="1" s="1"/>
  <c r="N1356" i="1"/>
  <c r="M1356" i="1"/>
  <c r="O1355" i="1" a="1"/>
  <c r="O1355" i="1" s="1"/>
  <c r="N1355" i="1"/>
  <c r="M1355" i="1"/>
  <c r="O1354" i="1" a="1"/>
  <c r="O1354" i="1" s="1"/>
  <c r="N1354" i="1"/>
  <c r="M1354" i="1"/>
  <c r="O1353" i="1" a="1"/>
  <c r="O1353" i="1" s="1"/>
  <c r="N1353" i="1"/>
  <c r="M1353" i="1"/>
  <c r="O1352" i="1" a="1"/>
  <c r="O1352" i="1" s="1"/>
  <c r="N1352" i="1"/>
  <c r="M1352" i="1"/>
  <c r="O1351" i="1" a="1"/>
  <c r="O1351" i="1" s="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a="1"/>
  <c r="O1344" i="1" s="1"/>
  <c r="N1344" i="1"/>
  <c r="M1344" i="1"/>
  <c r="O1343" i="1" a="1"/>
  <c r="O1343" i="1" s="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a="1"/>
  <c r="O1337" i="1" s="1"/>
  <c r="N1337" i="1"/>
  <c r="M1337" i="1"/>
  <c r="O1336" i="1" a="1"/>
  <c r="O1336" i="1" s="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a="1"/>
  <c r="O1330" i="1" s="1"/>
  <c r="N1330" i="1"/>
  <c r="M1330" i="1"/>
  <c r="O1329" i="1" a="1"/>
  <c r="O1329" i="1" s="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a="1"/>
  <c r="O1323" i="1" s="1"/>
  <c r="N1323" i="1"/>
  <c r="M1323" i="1"/>
  <c r="O1322" i="1" a="1"/>
  <c r="O1322" i="1" s="1"/>
  <c r="N1322" i="1"/>
  <c r="M1322" i="1"/>
  <c r="O1321" i="1" a="1"/>
  <c r="O1321" i="1" s="1"/>
  <c r="N1321" i="1"/>
  <c r="M1321" i="1"/>
  <c r="O1320" i="1" a="1"/>
  <c r="O1320" i="1" s="1"/>
  <c r="N1320" i="1"/>
  <c r="M1320" i="1"/>
  <c r="O1319" i="1" a="1"/>
  <c r="O1319" i="1" s="1"/>
  <c r="N1319" i="1"/>
  <c r="M1319" i="1"/>
  <c r="O1318" i="1" a="1"/>
  <c r="O1318" i="1" s="1"/>
  <c r="N1318" i="1"/>
  <c r="M1318" i="1"/>
  <c r="O1317" i="1" a="1"/>
  <c r="O1317" i="1" s="1"/>
  <c r="N1317" i="1"/>
  <c r="M1317" i="1"/>
  <c r="O1316" i="1" a="1"/>
  <c r="O1316" i="1" s="1"/>
  <c r="N1316" i="1"/>
  <c r="M1316" i="1"/>
  <c r="O1315" i="1" a="1"/>
  <c r="O1315" i="1" s="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a="1"/>
  <c r="O1309" i="1" s="1"/>
  <c r="N1309" i="1"/>
  <c r="M1309" i="1"/>
  <c r="O1308" i="1" a="1"/>
  <c r="O1308" i="1" s="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a="1"/>
  <c r="O1302" i="1" s="1"/>
  <c r="N1302" i="1"/>
  <c r="M1302" i="1"/>
  <c r="O1301" i="1" a="1"/>
  <c r="O1301" i="1" s="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a="1"/>
  <c r="O1295" i="1" s="1"/>
  <c r="N1295" i="1"/>
  <c r="M1295" i="1"/>
  <c r="O1294" i="1" a="1"/>
  <c r="O1294" i="1" s="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a="1"/>
  <c r="O1288" i="1" s="1"/>
  <c r="N1288" i="1"/>
  <c r="M1288" i="1"/>
  <c r="O1287" i="1" a="1"/>
  <c r="O1287" i="1" s="1"/>
  <c r="N1287" i="1"/>
  <c r="M1287" i="1"/>
  <c r="O1286" i="1" a="1"/>
  <c r="O1286" i="1" s="1"/>
  <c r="N1286" i="1"/>
  <c r="M1286" i="1"/>
  <c r="O1285" i="1" a="1"/>
  <c r="O1285" i="1" s="1"/>
  <c r="N1285" i="1"/>
  <c r="M1285" i="1"/>
  <c r="O1284" i="1" a="1"/>
  <c r="O1284" i="1" s="1"/>
  <c r="N1284" i="1"/>
  <c r="M1284" i="1"/>
  <c r="O1283" i="1" a="1"/>
  <c r="O1283" i="1" s="1"/>
  <c r="N1283" i="1"/>
  <c r="M1283" i="1"/>
  <c r="O1282" i="1" a="1"/>
  <c r="O1282" i="1" s="1"/>
  <c r="N1282" i="1"/>
  <c r="M1282" i="1"/>
  <c r="O1281" i="1" a="1"/>
  <c r="O1281" i="1" s="1"/>
  <c r="N1281" i="1"/>
  <c r="M1281" i="1"/>
  <c r="O1280" i="1" a="1"/>
  <c r="O1280" i="1" s="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a="1"/>
  <c r="O1274" i="1" s="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a="1"/>
  <c r="O1267" i="1" s="1"/>
  <c r="N1267" i="1"/>
  <c r="M1267" i="1"/>
  <c r="O1266" i="1" a="1"/>
  <c r="O1266" i="1" s="1"/>
  <c r="N1266" i="1"/>
  <c r="M1266" i="1"/>
  <c r="O1265" i="1" a="1"/>
  <c r="O1265" i="1" s="1"/>
  <c r="N1265" i="1"/>
  <c r="M1265" i="1"/>
  <c r="O1264" i="1" a="1"/>
  <c r="O1264" i="1" s="1"/>
  <c r="N1264" i="1"/>
  <c r="M1264" i="1"/>
  <c r="O1263" i="1" a="1"/>
  <c r="O1263" i="1" s="1"/>
  <c r="N1263" i="1"/>
  <c r="M1263" i="1"/>
  <c r="O1262" i="1" a="1"/>
  <c r="O1262" i="1" s="1"/>
  <c r="N1262" i="1"/>
  <c r="M1262" i="1"/>
  <c r="O1261" i="1" a="1"/>
  <c r="O1261" i="1" s="1"/>
  <c r="N1261" i="1"/>
  <c r="M1261" i="1"/>
  <c r="O1260" i="1" a="1"/>
  <c r="O1260" i="1" s="1"/>
  <c r="N1260" i="1"/>
  <c r="M1260" i="1"/>
  <c r="O1259" i="1" a="1"/>
  <c r="O1259" i="1" s="1"/>
  <c r="N1259" i="1"/>
  <c r="M1259" i="1"/>
  <c r="O1258" i="1" a="1"/>
  <c r="O1258" i="1" s="1"/>
  <c r="N1258" i="1"/>
  <c r="M1258" i="1"/>
  <c r="O1257" i="1" a="1"/>
  <c r="O1257" i="1" s="1"/>
  <c r="N1257" i="1"/>
  <c r="M1257" i="1"/>
  <c r="O1256" i="1" a="1"/>
  <c r="O1256" i="1" s="1"/>
  <c r="N1256" i="1"/>
  <c r="M1256" i="1"/>
  <c r="O1255" i="1" a="1"/>
  <c r="O1255" i="1" s="1"/>
  <c r="N1255" i="1"/>
  <c r="M1255" i="1"/>
  <c r="O1254" i="1" a="1"/>
  <c r="O1254" i="1" s="1"/>
  <c r="N1254" i="1"/>
  <c r="M1254" i="1"/>
  <c r="O1253" i="1" a="1"/>
  <c r="O1253" i="1" s="1"/>
  <c r="N1253" i="1"/>
  <c r="M1253" i="1"/>
  <c r="O1252" i="1" a="1"/>
  <c r="O1252" i="1" s="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a="1"/>
  <c r="O1246" i="1" s="1"/>
  <c r="N1246" i="1"/>
  <c r="M1246" i="1"/>
  <c r="O1245" i="1" a="1"/>
  <c r="O1245" i="1" s="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a="1"/>
  <c r="O1239" i="1" s="1"/>
  <c r="N1239" i="1"/>
  <c r="M1239" i="1"/>
  <c r="O1238" i="1" a="1"/>
  <c r="O1238" i="1" s="1"/>
  <c r="N1238" i="1"/>
  <c r="M1238" i="1"/>
  <c r="O1237" i="1" a="1"/>
  <c r="O1237" i="1" s="1"/>
  <c r="N1237" i="1"/>
  <c r="M1237" i="1"/>
  <c r="O1236" i="1" a="1"/>
  <c r="O1236" i="1" s="1"/>
  <c r="N1236" i="1"/>
  <c r="M1236" i="1"/>
  <c r="O1235" i="1" a="1"/>
  <c r="O1235" i="1" s="1"/>
  <c r="N1235" i="1"/>
  <c r="M1235" i="1"/>
  <c r="O1234" i="1" a="1"/>
  <c r="O1234" i="1" s="1"/>
  <c r="N1234" i="1"/>
  <c r="M1234" i="1"/>
  <c r="O1233" i="1" a="1"/>
  <c r="O1233" i="1" s="1"/>
  <c r="N1233" i="1"/>
  <c r="M1233" i="1"/>
  <c r="O1232" i="1" a="1"/>
  <c r="O1232" i="1" s="1"/>
  <c r="N1232" i="1"/>
  <c r="M1232" i="1"/>
  <c r="O1231" i="1" a="1"/>
  <c r="O1231" i="1" s="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a="1"/>
  <c r="O1225" i="1" s="1"/>
  <c r="N1225" i="1"/>
  <c r="M1225" i="1"/>
  <c r="O1224" i="1" a="1"/>
  <c r="O1224" i="1" s="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a="1"/>
  <c r="O1218" i="1" s="1"/>
  <c r="N1218" i="1"/>
  <c r="M1218" i="1"/>
  <c r="O1217" i="1" a="1"/>
  <c r="O1217" i="1" s="1"/>
  <c r="N1217" i="1"/>
  <c r="M1217" i="1"/>
  <c r="O1216" i="1" a="1"/>
  <c r="O1216" i="1" s="1"/>
  <c r="N1216" i="1"/>
  <c r="M1216" i="1"/>
  <c r="O1215" i="1" a="1"/>
  <c r="O1215" i="1" s="1"/>
  <c r="N1215" i="1"/>
  <c r="M1215" i="1"/>
  <c r="O1214" i="1" a="1"/>
  <c r="O1214" i="1" s="1"/>
  <c r="N1214" i="1"/>
  <c r="M1214" i="1"/>
  <c r="O1213" i="1" a="1"/>
  <c r="O1213" i="1" s="1"/>
  <c r="N1213" i="1"/>
  <c r="M1213" i="1"/>
  <c r="O1212" i="1" a="1"/>
  <c r="O1212" i="1" s="1"/>
  <c r="N1212" i="1"/>
  <c r="M1212" i="1"/>
  <c r="O1211" i="1" a="1"/>
  <c r="O1211" i="1" s="1"/>
  <c r="N1211" i="1"/>
  <c r="M1211" i="1"/>
  <c r="O1210" i="1" a="1"/>
  <c r="O1210" i="1" s="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a="1"/>
  <c r="O1204" i="1" s="1"/>
  <c r="N1204" i="1"/>
  <c r="M1204" i="1"/>
  <c r="O1203" i="1" a="1"/>
  <c r="O1203" i="1" s="1"/>
  <c r="N1203" i="1"/>
  <c r="M1203" i="1"/>
  <c r="O1202" i="1" a="1"/>
  <c r="O1202" i="1" s="1"/>
  <c r="N1202" i="1"/>
  <c r="M1202" i="1"/>
  <c r="O1201" i="1" a="1"/>
  <c r="O1201" i="1" s="1"/>
  <c r="N1201" i="1"/>
  <c r="M1201" i="1"/>
  <c r="O1200" i="1" a="1"/>
  <c r="O1200" i="1" s="1"/>
  <c r="N1200" i="1"/>
  <c r="M1200" i="1"/>
  <c r="O1199" i="1" a="1"/>
  <c r="O1199" i="1" s="1"/>
  <c r="N1199" i="1"/>
  <c r="M1199" i="1"/>
  <c r="O1198" i="1" a="1"/>
  <c r="O1198" i="1" s="1"/>
  <c r="N1198" i="1"/>
  <c r="M1198" i="1"/>
  <c r="O1197" i="1" a="1"/>
  <c r="O1197" i="1" s="1"/>
  <c r="N1197" i="1"/>
  <c r="M1197" i="1"/>
  <c r="O1196" i="1" a="1"/>
  <c r="O1196" i="1" s="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a="1"/>
  <c r="O1190" i="1" s="1"/>
  <c r="N1190" i="1"/>
  <c r="M1190" i="1"/>
  <c r="O1189" i="1" a="1"/>
  <c r="O1189" i="1" s="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a="1"/>
  <c r="O1183" i="1" s="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a="1"/>
  <c r="O1176" i="1" s="1"/>
  <c r="N1176" i="1"/>
  <c r="M1176" i="1"/>
  <c r="O1175" i="1" a="1"/>
  <c r="O1175" i="1" s="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a="1"/>
  <c r="O1168" i="1" s="1"/>
  <c r="N1168" i="1"/>
  <c r="M1168" i="1"/>
  <c r="O1167" i="1" a="1"/>
  <c r="O1167" i="1" s="1"/>
  <c r="N1167" i="1"/>
  <c r="M1167" i="1"/>
  <c r="O1166" i="1" a="1"/>
  <c r="O1166" i="1" s="1"/>
  <c r="N1166" i="1"/>
  <c r="M1166" i="1"/>
  <c r="O1165" i="1" a="1"/>
  <c r="O1165" i="1" s="1"/>
  <c r="N1165" i="1"/>
  <c r="M1165" i="1"/>
  <c r="O1164" i="1" a="1"/>
  <c r="O1164" i="1" s="1"/>
  <c r="N1164" i="1"/>
  <c r="M1164" i="1"/>
  <c r="O1163" i="1" a="1"/>
  <c r="O1163" i="1" s="1"/>
  <c r="N1163" i="1"/>
  <c r="M1163" i="1"/>
  <c r="O1162" i="1" a="1"/>
  <c r="O1162" i="1" s="1"/>
  <c r="N1162" i="1"/>
  <c r="M1162" i="1"/>
  <c r="O1161" i="1" a="1"/>
  <c r="O1161" i="1" s="1"/>
  <c r="N1161" i="1"/>
  <c r="M1161" i="1"/>
  <c r="O1160" i="1" a="1"/>
  <c r="O1160" i="1" s="1"/>
  <c r="N1160" i="1"/>
  <c r="M1160" i="1"/>
  <c r="O1159" i="1" a="1"/>
  <c r="O1159" i="1" s="1"/>
  <c r="N1159" i="1"/>
  <c r="M1159" i="1"/>
  <c r="O1158" i="1" a="1"/>
  <c r="O1158" i="1" s="1"/>
  <c r="N1158" i="1"/>
  <c r="M1158" i="1"/>
  <c r="O1157" i="1" a="1"/>
  <c r="O1157" i="1" s="1"/>
  <c r="N1157" i="1"/>
  <c r="M1157" i="1"/>
  <c r="O1156" i="1" a="1"/>
  <c r="O1156" i="1" s="1"/>
  <c r="N1156" i="1"/>
  <c r="M1156" i="1"/>
  <c r="O1155" i="1" a="1"/>
  <c r="O1155" i="1" s="1"/>
  <c r="N1155" i="1"/>
  <c r="M1155" i="1"/>
  <c r="O1154" i="1" a="1"/>
  <c r="O1154" i="1" s="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a="1"/>
  <c r="O1148" i="1" s="1"/>
  <c r="N1148" i="1"/>
  <c r="M1148" i="1"/>
  <c r="O1147" i="1" a="1"/>
  <c r="O1147" i="1" s="1"/>
  <c r="N1147" i="1"/>
  <c r="M1147" i="1"/>
  <c r="O1146" i="1" a="1"/>
  <c r="O1146" i="1" s="1"/>
  <c r="N1146" i="1"/>
  <c r="M1146" i="1"/>
  <c r="O1145" i="1" a="1"/>
  <c r="O1145" i="1" s="1"/>
  <c r="N1145" i="1"/>
  <c r="M1145" i="1"/>
  <c r="O1144" i="1" a="1"/>
  <c r="O1144" i="1" s="1"/>
  <c r="N1144" i="1"/>
  <c r="M1144" i="1"/>
  <c r="O1143" i="1" a="1"/>
  <c r="O1143" i="1" s="1"/>
  <c r="N1143" i="1"/>
  <c r="M1143" i="1"/>
  <c r="O1142" i="1" a="1"/>
  <c r="O1142" i="1" s="1"/>
  <c r="N1142" i="1"/>
  <c r="M1142" i="1"/>
  <c r="O1141" i="1" a="1"/>
  <c r="O1141" i="1" s="1"/>
  <c r="N1141" i="1"/>
  <c r="M1141" i="1"/>
  <c r="O1140" i="1" a="1"/>
  <c r="O1140" i="1" s="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a="1"/>
  <c r="O1134" i="1" s="1"/>
  <c r="N1134" i="1"/>
  <c r="M1134" i="1"/>
  <c r="O1133" i="1" a="1"/>
  <c r="O1133" i="1" s="1"/>
  <c r="N1133" i="1"/>
  <c r="M1133" i="1"/>
  <c r="O1132" i="1" a="1"/>
  <c r="O1132" i="1" s="1"/>
  <c r="N1132" i="1"/>
  <c r="M1132" i="1"/>
  <c r="O1131" i="1" a="1"/>
  <c r="O1131" i="1" s="1"/>
  <c r="N1131" i="1"/>
  <c r="M1131" i="1"/>
  <c r="O1130" i="1" a="1"/>
  <c r="O1130" i="1" s="1"/>
  <c r="N1130" i="1"/>
  <c r="M1130" i="1"/>
  <c r="O1129" i="1" a="1"/>
  <c r="O1129" i="1" s="1"/>
  <c r="N1129" i="1"/>
  <c r="M1129" i="1"/>
  <c r="O1128" i="1" a="1"/>
  <c r="O1128" i="1" s="1"/>
  <c r="N1128" i="1"/>
  <c r="M1128" i="1"/>
  <c r="O1127" i="1" a="1"/>
  <c r="O1127" i="1" s="1"/>
  <c r="N1127" i="1"/>
  <c r="M1127" i="1"/>
  <c r="O1126" i="1" a="1"/>
  <c r="O1126" i="1" s="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a="1"/>
  <c r="O1120" i="1" s="1"/>
  <c r="N1120" i="1"/>
  <c r="M1120" i="1"/>
  <c r="O1119" i="1" a="1"/>
  <c r="O1119" i="1" s="1"/>
  <c r="N1119" i="1"/>
  <c r="M1119" i="1"/>
  <c r="O1118" i="1" a="1"/>
  <c r="O1118" i="1" s="1"/>
  <c r="N1118" i="1"/>
  <c r="M1118" i="1"/>
  <c r="O1117" i="1" a="1"/>
  <c r="O1117" i="1" s="1"/>
  <c r="N1117" i="1"/>
  <c r="M1117" i="1"/>
  <c r="O1116" i="1" a="1"/>
  <c r="O1116" i="1" s="1"/>
  <c r="N1116" i="1"/>
  <c r="M1116" i="1"/>
  <c r="O1115" i="1" a="1"/>
  <c r="O1115" i="1" s="1"/>
  <c r="N1115" i="1"/>
  <c r="M1115" i="1"/>
  <c r="O1114" i="1" a="1"/>
  <c r="O1114" i="1" s="1"/>
  <c r="N1114" i="1"/>
  <c r="M1114" i="1"/>
  <c r="O1113" i="1" a="1"/>
  <c r="O1113" i="1" s="1"/>
  <c r="N1113" i="1"/>
  <c r="M1113" i="1"/>
  <c r="O1112" i="1" a="1"/>
  <c r="O1112" i="1" s="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a="1"/>
  <c r="O1106" i="1" s="1"/>
  <c r="N1106" i="1"/>
  <c r="M1106" i="1"/>
  <c r="O1105" i="1" a="1"/>
  <c r="O1105" i="1" s="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a="1"/>
  <c r="O1099" i="1" s="1"/>
  <c r="N1099" i="1"/>
  <c r="M1099" i="1"/>
  <c r="O1098" i="1" a="1"/>
  <c r="O1098" i="1" s="1"/>
  <c r="N1098" i="1"/>
  <c r="M1098" i="1"/>
  <c r="O1097" i="1" a="1"/>
  <c r="O1097" i="1" s="1"/>
  <c r="N1097" i="1"/>
  <c r="M1097" i="1"/>
  <c r="O1096" i="1" a="1"/>
  <c r="O1096" i="1" s="1"/>
  <c r="N1096" i="1"/>
  <c r="M1096" i="1"/>
  <c r="O1095" i="1" a="1"/>
  <c r="O1095" i="1" s="1"/>
  <c r="N1095" i="1"/>
  <c r="M1095" i="1"/>
  <c r="O1094" i="1" a="1"/>
  <c r="O1094" i="1" s="1"/>
  <c r="N1094" i="1"/>
  <c r="M1094" i="1"/>
  <c r="O1093" i="1" a="1"/>
  <c r="O1093" i="1" s="1"/>
  <c r="N1093" i="1"/>
  <c r="M1093" i="1"/>
  <c r="O1092" i="1" a="1"/>
  <c r="O1092" i="1" s="1"/>
  <c r="N1092" i="1"/>
  <c r="M1092" i="1"/>
  <c r="O1091" i="1" a="1"/>
  <c r="O1091" i="1" s="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a="1"/>
  <c r="O1085" i="1" s="1"/>
  <c r="N1085" i="1"/>
  <c r="M1085" i="1"/>
  <c r="O1084" i="1" a="1"/>
  <c r="O1084" i="1" s="1"/>
  <c r="N1084" i="1"/>
  <c r="M1084" i="1"/>
  <c r="O1083" i="1" a="1"/>
  <c r="O1083" i="1" s="1"/>
  <c r="N1083" i="1"/>
  <c r="M1083" i="1"/>
  <c r="O1082" i="1" a="1"/>
  <c r="O1082" i="1" s="1"/>
  <c r="N1082" i="1"/>
  <c r="M1082" i="1"/>
  <c r="O1081" i="1" a="1"/>
  <c r="O1081" i="1" s="1"/>
  <c r="N1081" i="1"/>
  <c r="M1081" i="1"/>
  <c r="O1080" i="1" a="1"/>
  <c r="O1080" i="1" s="1"/>
  <c r="N1080" i="1"/>
  <c r="M1080" i="1"/>
  <c r="O1079" i="1" a="1"/>
  <c r="O1079" i="1" s="1"/>
  <c r="N1079" i="1"/>
  <c r="M1079" i="1"/>
  <c r="O1078" i="1" a="1"/>
  <c r="O1078" i="1" s="1"/>
  <c r="N1078" i="1"/>
  <c r="M1078" i="1"/>
  <c r="O1077" i="1" a="1"/>
  <c r="O1077" i="1" s="1"/>
  <c r="N1077" i="1"/>
  <c r="M1077" i="1"/>
  <c r="O1076" i="1" a="1"/>
  <c r="O1076" i="1" s="1"/>
  <c r="N1076" i="1"/>
  <c r="M1076" i="1"/>
  <c r="O1075" i="1" a="1"/>
  <c r="O1075" i="1" s="1"/>
  <c r="N1075" i="1"/>
  <c r="M1075" i="1"/>
  <c r="O1074" i="1" a="1"/>
  <c r="O1074" i="1" s="1"/>
  <c r="N1074" i="1"/>
  <c r="M1074" i="1"/>
  <c r="O1073" i="1" a="1"/>
  <c r="O1073" i="1" s="1"/>
  <c r="N1073" i="1"/>
  <c r="M1073" i="1"/>
  <c r="O1072" i="1" a="1"/>
  <c r="O1072" i="1" s="1"/>
  <c r="N1072" i="1"/>
  <c r="M1072" i="1"/>
  <c r="O1071" i="1" a="1"/>
  <c r="O1071" i="1" s="1"/>
  <c r="N1071" i="1"/>
  <c r="M1071" i="1"/>
  <c r="O1070" i="1" a="1"/>
  <c r="O1070" i="1" s="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a="1"/>
  <c r="O1064" i="1" s="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a="1"/>
  <c r="O1056" i="1" s="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a="1"/>
  <c r="O1028" i="1" s="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a="1"/>
  <c r="O1021" i="1" s="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a="1"/>
  <c r="O1014" i="1" s="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a="1"/>
  <c r="O1007" i="1" s="1"/>
  <c r="N1007" i="1"/>
  <c r="M1007" i="1"/>
  <c r="O1006" i="1" a="1"/>
  <c r="O1006" i="1" s="1"/>
  <c r="N1006" i="1"/>
  <c r="M1006" i="1"/>
  <c r="O1005" i="1" a="1"/>
  <c r="O1005" i="1" s="1"/>
  <c r="N1005" i="1"/>
  <c r="M1005" i="1"/>
  <c r="O1004" i="1" a="1"/>
  <c r="O1004" i="1" s="1"/>
  <c r="N1004" i="1"/>
  <c r="M1004" i="1"/>
  <c r="O1003" i="1" a="1"/>
  <c r="O1003" i="1" s="1"/>
  <c r="N1003" i="1"/>
  <c r="M1003" i="1"/>
  <c r="O1002" i="1" a="1"/>
  <c r="O1002" i="1" s="1"/>
  <c r="N1002" i="1"/>
  <c r="M1002" i="1"/>
  <c r="O1001" i="1" a="1"/>
  <c r="O1001" i="1" s="1"/>
  <c r="N1001" i="1"/>
  <c r="M1001"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a="1"/>
  <c r="O994" i="1" s="1"/>
  <c r="N994" i="1"/>
  <c r="M994" i="1"/>
  <c r="O993" i="1" a="1"/>
  <c r="O993" i="1" s="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a="1"/>
  <c r="O986" i="1" s="1"/>
  <c r="N986" i="1"/>
  <c r="M986" i="1"/>
  <c r="O985" i="1" a="1"/>
  <c r="O985" i="1" s="1"/>
  <c r="N985" i="1"/>
  <c r="M985" i="1"/>
  <c r="O984" i="1" a="1"/>
  <c r="O984" i="1" s="1"/>
  <c r="N984" i="1"/>
  <c r="M984" i="1"/>
  <c r="O983" i="1" a="1"/>
  <c r="O983" i="1" s="1"/>
  <c r="N983" i="1"/>
  <c r="M983" i="1"/>
  <c r="O982" i="1" a="1"/>
  <c r="O982" i="1" s="1"/>
  <c r="N982" i="1"/>
  <c r="M982" i="1"/>
  <c r="O981" i="1" a="1"/>
  <c r="O981" i="1" s="1"/>
  <c r="N981" i="1"/>
  <c r="M981" i="1"/>
  <c r="O980" i="1" a="1"/>
  <c r="O980" i="1" s="1"/>
  <c r="N980" i="1"/>
  <c r="M980" i="1"/>
  <c r="O979" i="1" a="1"/>
  <c r="O979" i="1" s="1"/>
  <c r="N979" i="1"/>
  <c r="M979" i="1"/>
  <c r="O978" i="1" a="1"/>
  <c r="O978" i="1" s="1"/>
  <c r="N978" i="1"/>
  <c r="M978" i="1"/>
  <c r="O977" i="1" a="1"/>
  <c r="O977" i="1" s="1"/>
  <c r="N977" i="1"/>
  <c r="M977" i="1"/>
  <c r="O976" i="1" a="1"/>
  <c r="O976" i="1" s="1"/>
  <c r="N976" i="1"/>
  <c r="M976" i="1"/>
  <c r="O975" i="1" a="1"/>
  <c r="O975" i="1" s="1"/>
  <c r="N975" i="1"/>
  <c r="M975" i="1"/>
  <c r="O974" i="1" a="1"/>
  <c r="O974" i="1" s="1"/>
  <c r="N974" i="1"/>
  <c r="M974" i="1"/>
  <c r="O973" i="1" a="1"/>
  <c r="O973" i="1" s="1"/>
  <c r="N973" i="1"/>
  <c r="M973" i="1"/>
  <c r="O972" i="1" a="1"/>
  <c r="O972" i="1" s="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a="1"/>
  <c r="O958" i="1" s="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a="1"/>
  <c r="O951" i="1" s="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a="1"/>
  <c r="O944" i="1" s="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a="1"/>
  <c r="O937" i="1" s="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a="1"/>
  <c r="O930" i="1" s="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a="1"/>
  <c r="O916" i="1" s="1"/>
  <c r="N916" i="1"/>
  <c r="M916" i="1"/>
  <c r="O915" i="1" a="1"/>
  <c r="O915" i="1" s="1"/>
  <c r="N915" i="1"/>
  <c r="M915" i="1"/>
  <c r="O914" i="1" a="1"/>
  <c r="O914" i="1" s="1"/>
  <c r="N914" i="1"/>
  <c r="M914" i="1"/>
  <c r="O913" i="1" a="1"/>
  <c r="O913" i="1" s="1"/>
  <c r="N913" i="1"/>
  <c r="M913" i="1"/>
  <c r="O912" i="1" a="1"/>
  <c r="O912" i="1" s="1"/>
  <c r="N912" i="1"/>
  <c r="M912" i="1"/>
  <c r="O911" i="1" a="1"/>
  <c r="O911" i="1" s="1"/>
  <c r="N911" i="1"/>
  <c r="M911" i="1"/>
  <c r="O910" i="1" a="1"/>
  <c r="O910" i="1" s="1"/>
  <c r="N910" i="1"/>
  <c r="M910" i="1"/>
  <c r="O909" i="1" a="1"/>
  <c r="O909" i="1" s="1"/>
  <c r="N909" i="1"/>
  <c r="M909" i="1"/>
  <c r="O908" i="1" a="1"/>
  <c r="O908" i="1" s="1"/>
  <c r="N908" i="1"/>
  <c r="M908" i="1"/>
  <c r="O907" i="1" a="1"/>
  <c r="O907" i="1" s="1"/>
  <c r="N907" i="1"/>
  <c r="M907" i="1"/>
  <c r="O906" i="1" a="1"/>
  <c r="O906" i="1" s="1"/>
  <c r="N906" i="1"/>
  <c r="M906" i="1"/>
  <c r="O905" i="1" a="1"/>
  <c r="O905" i="1" s="1"/>
  <c r="N905" i="1"/>
  <c r="M905" i="1"/>
  <c r="O904" i="1" a="1"/>
  <c r="O904" i="1" s="1"/>
  <c r="N904" i="1"/>
  <c r="M904" i="1"/>
  <c r="O903" i="1" a="1"/>
  <c r="O903" i="1" s="1"/>
  <c r="N903" i="1"/>
  <c r="M903" i="1"/>
  <c r="O902" i="1" a="1"/>
  <c r="O902" i="1" s="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a="1"/>
  <c r="O896" i="1" s="1"/>
  <c r="N896" i="1"/>
  <c r="M896" i="1"/>
  <c r="O895" i="1" a="1"/>
  <c r="O895" i="1" s="1"/>
  <c r="N895" i="1"/>
  <c r="M895" i="1"/>
  <c r="O894" i="1" a="1"/>
  <c r="O894" i="1" s="1"/>
  <c r="N894" i="1"/>
  <c r="M894" i="1"/>
  <c r="O893" i="1" a="1"/>
  <c r="O893" i="1" s="1"/>
  <c r="N893" i="1"/>
  <c r="M893" i="1"/>
  <c r="O892" i="1" a="1"/>
  <c r="O892" i="1" s="1"/>
  <c r="N892" i="1"/>
  <c r="M892" i="1"/>
  <c r="O891" i="1" a="1"/>
  <c r="O891" i="1" s="1"/>
  <c r="N891" i="1"/>
  <c r="M891" i="1"/>
  <c r="O890" i="1" a="1"/>
  <c r="O890" i="1" s="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a="1"/>
  <c r="O881" i="1" s="1"/>
  <c r="N881" i="1"/>
  <c r="M881" i="1"/>
  <c r="O880" i="1" a="1"/>
  <c r="O880" i="1" s="1"/>
  <c r="N880" i="1"/>
  <c r="M880" i="1"/>
  <c r="O879" i="1" a="1"/>
  <c r="O879" i="1" s="1"/>
  <c r="N879" i="1"/>
  <c r="M879" i="1"/>
  <c r="O878" i="1" a="1"/>
  <c r="O878" i="1" s="1"/>
  <c r="N878" i="1"/>
  <c r="M878" i="1"/>
  <c r="O877" i="1" a="1"/>
  <c r="O877" i="1" s="1"/>
  <c r="N877" i="1"/>
  <c r="M877" i="1"/>
  <c r="O876" i="1" a="1"/>
  <c r="O876" i="1" s="1"/>
  <c r="N876" i="1"/>
  <c r="M876" i="1"/>
  <c r="O875" i="1"/>
  <c r="O875" i="1" a="1"/>
  <c r="N875" i="1"/>
  <c r="M875" i="1"/>
  <c r="O874" i="1" a="1"/>
  <c r="O874" i="1" s="1"/>
  <c r="N874" i="1"/>
  <c r="M874" i="1"/>
  <c r="O873" i="1" a="1"/>
  <c r="O873" i="1" s="1"/>
  <c r="N873" i="1"/>
  <c r="M873" i="1"/>
  <c r="O872" i="1" a="1"/>
  <c r="O872" i="1" s="1"/>
  <c r="N872" i="1"/>
  <c r="M872" i="1"/>
  <c r="O871" i="1" a="1"/>
  <c r="O871" i="1" s="1"/>
  <c r="N871" i="1"/>
  <c r="M871" i="1"/>
  <c r="O870" i="1" a="1"/>
  <c r="O870" i="1" s="1"/>
  <c r="N870" i="1"/>
  <c r="M870" i="1"/>
  <c r="O869" i="1" a="1"/>
  <c r="O869" i="1" s="1"/>
  <c r="N869" i="1"/>
  <c r="M869" i="1"/>
  <c r="O868" i="1" a="1"/>
  <c r="O868" i="1" s="1"/>
  <c r="N868" i="1"/>
  <c r="M868" i="1"/>
  <c r="O867" i="1" a="1"/>
  <c r="O867" i="1" s="1"/>
  <c r="N867" i="1"/>
  <c r="M867" i="1"/>
  <c r="O866" i="1" a="1"/>
  <c r="O866" i="1" s="1"/>
  <c r="N866" i="1"/>
  <c r="M866" i="1"/>
  <c r="O865" i="1" a="1"/>
  <c r="O865" i="1" s="1"/>
  <c r="N865" i="1"/>
  <c r="M865" i="1"/>
  <c r="O864" i="1" a="1"/>
  <c r="O864" i="1" s="1"/>
  <c r="N864" i="1"/>
  <c r="M864" i="1"/>
  <c r="O863" i="1" a="1"/>
  <c r="O863" i="1" s="1"/>
  <c r="N863" i="1"/>
  <c r="M863" i="1"/>
  <c r="O862" i="1" a="1"/>
  <c r="O862" i="1" s="1"/>
  <c r="N862" i="1"/>
  <c r="M862" i="1"/>
  <c r="O861" i="1" a="1"/>
  <c r="O861" i="1" s="1"/>
  <c r="N861" i="1"/>
  <c r="M861" i="1"/>
  <c r="O860" i="1" a="1"/>
  <c r="O860" i="1" s="1"/>
  <c r="N860" i="1"/>
  <c r="M860" i="1"/>
  <c r="O859" i="1" a="1"/>
  <c r="O859" i="1" s="1"/>
  <c r="N859" i="1"/>
  <c r="M859" i="1"/>
  <c r="O858" i="1" a="1"/>
  <c r="O858" i="1" s="1"/>
  <c r="N858" i="1"/>
  <c r="M858" i="1"/>
  <c r="O857" i="1" a="1"/>
  <c r="O857" i="1" s="1"/>
  <c r="N857" i="1"/>
  <c r="M857" i="1"/>
  <c r="O856" i="1" a="1"/>
  <c r="O856" i="1" s="1"/>
  <c r="N856" i="1"/>
  <c r="M856" i="1"/>
  <c r="O855" i="1" a="1"/>
  <c r="O855" i="1" s="1"/>
  <c r="N855" i="1"/>
  <c r="M855" i="1"/>
  <c r="O854" i="1" a="1"/>
  <c r="O854" i="1" s="1"/>
  <c r="N854" i="1"/>
  <c r="M854" i="1"/>
  <c r="O853" i="1" a="1"/>
  <c r="O853" i="1" s="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a="1"/>
  <c r="O838" i="1" s="1"/>
  <c r="N838" i="1"/>
  <c r="M838" i="1"/>
  <c r="O837" i="1" a="1"/>
  <c r="O837" i="1" s="1"/>
  <c r="N837" i="1"/>
  <c r="M837" i="1"/>
  <c r="O836" i="1" a="1"/>
  <c r="O836" i="1" s="1"/>
  <c r="N836" i="1"/>
  <c r="M836" i="1"/>
  <c r="O835" i="1" a="1"/>
  <c r="O835" i="1" s="1"/>
  <c r="N835" i="1"/>
  <c r="M835" i="1"/>
  <c r="O834" i="1" a="1"/>
  <c r="O834" i="1" s="1"/>
  <c r="N834" i="1"/>
  <c r="M834" i="1"/>
  <c r="O833" i="1" a="1"/>
  <c r="O833" i="1" s="1"/>
  <c r="N833" i="1"/>
  <c r="M833" i="1"/>
  <c r="O832" i="1" a="1"/>
  <c r="O832" i="1" s="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a="1"/>
  <c r="O825" i="1" s="1"/>
  <c r="N825" i="1"/>
  <c r="M825" i="1"/>
  <c r="O824" i="1" a="1"/>
  <c r="O824" i="1" s="1"/>
  <c r="N824" i="1"/>
  <c r="M824" i="1"/>
  <c r="O823" i="1" a="1"/>
  <c r="O823" i="1" s="1"/>
  <c r="N823" i="1"/>
  <c r="M823" i="1"/>
  <c r="O822" i="1" a="1"/>
  <c r="O822" i="1" s="1"/>
  <c r="N822" i="1"/>
  <c r="M822" i="1"/>
  <c r="O821" i="1" a="1"/>
  <c r="O821" i="1" s="1"/>
  <c r="N821" i="1"/>
  <c r="M821" i="1"/>
  <c r="O820" i="1" a="1"/>
  <c r="O820" i="1" s="1"/>
  <c r="N820" i="1"/>
  <c r="M820" i="1"/>
  <c r="O819" i="1" a="1"/>
  <c r="O819" i="1" s="1"/>
  <c r="N819" i="1"/>
  <c r="M819" i="1"/>
  <c r="O818" i="1"/>
  <c r="O818" i="1" a="1"/>
  <c r="N818" i="1"/>
  <c r="M818" i="1"/>
  <c r="O817" i="1" a="1"/>
  <c r="O817" i="1" s="1"/>
  <c r="N817" i="1"/>
  <c r="M817" i="1"/>
  <c r="O816" i="1" a="1"/>
  <c r="O816" i="1" s="1"/>
  <c r="N816" i="1"/>
  <c r="M816" i="1"/>
  <c r="O815" i="1" a="1"/>
  <c r="O815" i="1" s="1"/>
  <c r="N815" i="1"/>
  <c r="M815" i="1"/>
  <c r="O814" i="1" a="1"/>
  <c r="O814" i="1" s="1"/>
  <c r="N814" i="1"/>
  <c r="M814" i="1"/>
  <c r="O813" i="1" a="1"/>
  <c r="O813" i="1" s="1"/>
  <c r="N813" i="1"/>
  <c r="M813" i="1"/>
  <c r="O812" i="1" a="1"/>
  <c r="O812" i="1" s="1"/>
  <c r="N812" i="1"/>
  <c r="M812" i="1"/>
  <c r="O811" i="1" a="1"/>
  <c r="O811" i="1" s="1"/>
  <c r="N811" i="1"/>
  <c r="M811" i="1"/>
  <c r="O810" i="1" a="1"/>
  <c r="O810" i="1" s="1"/>
  <c r="N810" i="1"/>
  <c r="M810" i="1"/>
  <c r="O809" i="1" a="1"/>
  <c r="O809" i="1" s="1"/>
  <c r="N809" i="1"/>
  <c r="M809" i="1"/>
  <c r="O808" i="1" a="1"/>
  <c r="O808" i="1" s="1"/>
  <c r="N808" i="1"/>
  <c r="M808" i="1"/>
  <c r="O807" i="1" a="1"/>
  <c r="O807" i="1" s="1"/>
  <c r="N807" i="1"/>
  <c r="M807" i="1"/>
  <c r="O806" i="1" a="1"/>
  <c r="O806" i="1" s="1"/>
  <c r="N806" i="1"/>
  <c r="M806" i="1"/>
  <c r="O805" i="1" a="1"/>
  <c r="O805" i="1" s="1"/>
  <c r="N805" i="1"/>
  <c r="M805" i="1"/>
  <c r="O804" i="1" a="1"/>
  <c r="O804" i="1" s="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a="1"/>
  <c r="O796" i="1" s="1"/>
  <c r="N796" i="1"/>
  <c r="M796" i="1"/>
  <c r="O795" i="1" a="1"/>
  <c r="O795" i="1" s="1"/>
  <c r="N795" i="1"/>
  <c r="M795" i="1"/>
  <c r="O794" i="1" a="1"/>
  <c r="O794" i="1" s="1"/>
  <c r="N794" i="1"/>
  <c r="M794" i="1"/>
  <c r="O793" i="1" a="1"/>
  <c r="O793" i="1" s="1"/>
  <c r="N793" i="1"/>
  <c r="M793" i="1"/>
  <c r="O792" i="1" a="1"/>
  <c r="O792" i="1" s="1"/>
  <c r="N792" i="1"/>
  <c r="M792" i="1"/>
  <c r="O791" i="1" a="1"/>
  <c r="O791" i="1" s="1"/>
  <c r="N791" i="1"/>
  <c r="M791" i="1"/>
  <c r="O790" i="1" a="1"/>
  <c r="O790" i="1" s="1"/>
  <c r="N790" i="1"/>
  <c r="M790" i="1"/>
  <c r="O789" i="1" a="1"/>
  <c r="O789" i="1" s="1"/>
  <c r="N789" i="1"/>
  <c r="M789" i="1"/>
  <c r="O788" i="1" a="1"/>
  <c r="O788" i="1" s="1"/>
  <c r="N788" i="1"/>
  <c r="M788" i="1"/>
  <c r="O787" i="1" a="1"/>
  <c r="O787" i="1" s="1"/>
  <c r="N787" i="1"/>
  <c r="M787" i="1"/>
  <c r="O786" i="1" a="1"/>
  <c r="O786" i="1" s="1"/>
  <c r="N786" i="1"/>
  <c r="M786" i="1"/>
  <c r="O785" i="1" a="1"/>
  <c r="O785" i="1" s="1"/>
  <c r="N785" i="1"/>
  <c r="M785" i="1"/>
  <c r="O784" i="1" a="1"/>
  <c r="O784" i="1" s="1"/>
  <c r="N784" i="1"/>
  <c r="M784" i="1"/>
  <c r="O783" i="1" a="1"/>
  <c r="O783" i="1" s="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a="1"/>
  <c r="O770" i="1" s="1"/>
  <c r="N770" i="1"/>
  <c r="M770" i="1"/>
  <c r="O769" i="1" a="1"/>
  <c r="O769" i="1" s="1"/>
  <c r="N769" i="1"/>
  <c r="M769" i="1"/>
  <c r="O768" i="1" a="1"/>
  <c r="O768" i="1" s="1"/>
  <c r="N768" i="1"/>
  <c r="M768" i="1"/>
  <c r="O767" i="1" a="1"/>
  <c r="O767" i="1" s="1"/>
  <c r="N767" i="1"/>
  <c r="M767" i="1"/>
  <c r="O766" i="1" a="1"/>
  <c r="O766" i="1" s="1"/>
  <c r="N766" i="1"/>
  <c r="M766" i="1"/>
  <c r="O765" i="1" a="1"/>
  <c r="O765" i="1" s="1"/>
  <c r="N765" i="1"/>
  <c r="M765" i="1"/>
  <c r="O764" i="1" a="1"/>
  <c r="O764" i="1" s="1"/>
  <c r="N764" i="1"/>
  <c r="M764" i="1"/>
  <c r="O763" i="1" a="1"/>
  <c r="O763" i="1" s="1"/>
  <c r="N763" i="1"/>
  <c r="M763" i="1"/>
  <c r="O762" i="1" a="1"/>
  <c r="O762" i="1" s="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a="1"/>
  <c r="O756" i="1" s="1"/>
  <c r="N756" i="1"/>
  <c r="M756" i="1"/>
  <c r="O755" i="1" a="1"/>
  <c r="O755" i="1" s="1"/>
  <c r="N755" i="1"/>
  <c r="M755" i="1"/>
  <c r="O754" i="1" a="1"/>
  <c r="O754" i="1" s="1"/>
  <c r="N754" i="1"/>
  <c r="M754" i="1"/>
  <c r="O753" i="1" a="1"/>
  <c r="O753" i="1" s="1"/>
  <c r="N753" i="1"/>
  <c r="M753" i="1"/>
  <c r="O752" i="1" a="1"/>
  <c r="O752" i="1" s="1"/>
  <c r="N752" i="1"/>
  <c r="M752" i="1"/>
  <c r="O751" i="1" a="1"/>
  <c r="O751" i="1" s="1"/>
  <c r="N751" i="1"/>
  <c r="M751" i="1"/>
  <c r="O750" i="1" a="1"/>
  <c r="O750" i="1" s="1"/>
  <c r="N750" i="1"/>
  <c r="M750" i="1"/>
  <c r="O749" i="1" a="1"/>
  <c r="O749" i="1" s="1"/>
  <c r="N749" i="1"/>
  <c r="M749" i="1"/>
  <c r="O748" i="1" a="1"/>
  <c r="O748" i="1" s="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a="1"/>
  <c r="O737" i="1" s="1"/>
  <c r="N737" i="1"/>
  <c r="M737" i="1"/>
  <c r="O736" i="1" a="1"/>
  <c r="O736" i="1" s="1"/>
  <c r="N736" i="1"/>
  <c r="M736" i="1"/>
  <c r="O735" i="1" a="1"/>
  <c r="O735" i="1" s="1"/>
  <c r="N735" i="1"/>
  <c r="M735" i="1"/>
  <c r="O734" i="1" a="1"/>
  <c r="O734" i="1" s="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a="1"/>
  <c r="O726" i="1" s="1"/>
  <c r="N726" i="1"/>
  <c r="M726" i="1"/>
  <c r="O725" i="1" a="1"/>
  <c r="O725" i="1" s="1"/>
  <c r="N725" i="1"/>
  <c r="M725" i="1"/>
  <c r="O724" i="1" a="1"/>
  <c r="O724" i="1" s="1"/>
  <c r="N724" i="1"/>
  <c r="M724" i="1"/>
  <c r="O723" i="1" a="1"/>
  <c r="O723" i="1" s="1"/>
  <c r="N723" i="1"/>
  <c r="M723" i="1"/>
  <c r="O722" i="1" a="1"/>
  <c r="O722" i="1" s="1"/>
  <c r="N722" i="1"/>
  <c r="M722" i="1"/>
  <c r="O721" i="1" a="1"/>
  <c r="O721" i="1" s="1"/>
  <c r="N721" i="1"/>
  <c r="M721" i="1"/>
  <c r="O720" i="1" a="1"/>
  <c r="O720" i="1" s="1"/>
  <c r="N720" i="1"/>
  <c r="M720" i="1"/>
  <c r="O719" i="1" a="1"/>
  <c r="O719" i="1" s="1"/>
  <c r="N719" i="1"/>
  <c r="M719" i="1"/>
  <c r="O718" i="1" a="1"/>
  <c r="O718" i="1" s="1"/>
  <c r="N718" i="1"/>
  <c r="M718" i="1"/>
  <c r="O717" i="1" a="1"/>
  <c r="O717" i="1" s="1"/>
  <c r="N717" i="1"/>
  <c r="M717" i="1"/>
  <c r="O716" i="1" a="1"/>
  <c r="O716" i="1" s="1"/>
  <c r="N716" i="1"/>
  <c r="M716" i="1"/>
  <c r="O715" i="1" a="1"/>
  <c r="O715" i="1" s="1"/>
  <c r="N715" i="1"/>
  <c r="M715" i="1"/>
  <c r="O714" i="1" a="1"/>
  <c r="O714" i="1" s="1"/>
  <c r="N714" i="1"/>
  <c r="M714" i="1"/>
  <c r="O713" i="1" a="1"/>
  <c r="O713" i="1" s="1"/>
  <c r="N713" i="1"/>
  <c r="M713" i="1"/>
  <c r="O712" i="1" a="1"/>
  <c r="O712" i="1" s="1"/>
  <c r="N712" i="1"/>
  <c r="M712" i="1"/>
  <c r="O711" i="1" a="1"/>
  <c r="O711" i="1" s="1"/>
  <c r="N711" i="1"/>
  <c r="M711" i="1"/>
  <c r="O710" i="1" a="1"/>
  <c r="O710" i="1" s="1"/>
  <c r="N710" i="1"/>
  <c r="M710" i="1"/>
  <c r="O709" i="1" a="1"/>
  <c r="O709" i="1" s="1"/>
  <c r="N709" i="1"/>
  <c r="M709" i="1"/>
  <c r="O708" i="1" a="1"/>
  <c r="O708" i="1" s="1"/>
  <c r="N708" i="1"/>
  <c r="M708" i="1"/>
  <c r="O707" i="1"/>
  <c r="O707" i="1" a="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a="1"/>
  <c r="O699" i="1" s="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a="1"/>
  <c r="O693" i="1" s="1"/>
  <c r="N693" i="1"/>
  <c r="M693" i="1"/>
  <c r="O692" i="1" a="1"/>
  <c r="O692" i="1" s="1"/>
  <c r="N692" i="1"/>
  <c r="M692" i="1"/>
  <c r="O691" i="1" a="1"/>
  <c r="O691" i="1" s="1"/>
  <c r="N691" i="1"/>
  <c r="M691" i="1"/>
  <c r="O690" i="1" a="1"/>
  <c r="O690" i="1" s="1"/>
  <c r="N690" i="1"/>
  <c r="M690" i="1"/>
  <c r="O689" i="1" a="1"/>
  <c r="O689" i="1" s="1"/>
  <c r="N689" i="1"/>
  <c r="M689" i="1"/>
  <c r="O688" i="1" a="1"/>
  <c r="O688" i="1" s="1"/>
  <c r="N688" i="1"/>
  <c r="M688" i="1"/>
  <c r="O687" i="1" a="1"/>
  <c r="O687" i="1" s="1"/>
  <c r="N687" i="1"/>
  <c r="M687" i="1"/>
  <c r="O686" i="1" a="1"/>
  <c r="O686" i="1" s="1"/>
  <c r="N686" i="1"/>
  <c r="M686" i="1"/>
  <c r="O685" i="1" a="1"/>
  <c r="O685" i="1" s="1"/>
  <c r="N685" i="1"/>
  <c r="M685" i="1"/>
  <c r="O684" i="1" a="1"/>
  <c r="O684" i="1" s="1"/>
  <c r="N684" i="1"/>
  <c r="M684" i="1"/>
  <c r="O683" i="1" a="1"/>
  <c r="O683" i="1" s="1"/>
  <c r="N683" i="1"/>
  <c r="M683" i="1"/>
  <c r="O682" i="1" a="1"/>
  <c r="O682" i="1" s="1"/>
  <c r="N682" i="1"/>
  <c r="M682" i="1"/>
  <c r="O681" i="1" a="1"/>
  <c r="O681" i="1" s="1"/>
  <c r="N681" i="1"/>
  <c r="M681" i="1"/>
  <c r="O680" i="1" a="1"/>
  <c r="O680" i="1" s="1"/>
  <c r="N680" i="1"/>
  <c r="M680" i="1"/>
  <c r="O679" i="1" a="1"/>
  <c r="O679" i="1" s="1"/>
  <c r="N679" i="1"/>
  <c r="M679" i="1"/>
  <c r="O678" i="1" a="1"/>
  <c r="O678" i="1" s="1"/>
  <c r="N678" i="1"/>
  <c r="M678" i="1"/>
  <c r="O677" i="1" a="1"/>
  <c r="O677" i="1" s="1"/>
  <c r="N677" i="1"/>
  <c r="M677" i="1"/>
  <c r="O676" i="1" a="1"/>
  <c r="O676" i="1" s="1"/>
  <c r="N676" i="1"/>
  <c r="M676" i="1"/>
  <c r="O675" i="1" a="1"/>
  <c r="O675" i="1" s="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a="1"/>
  <c r="O668" i="1" s="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a="1"/>
  <c r="O658" i="1" s="1"/>
  <c r="N658" i="1"/>
  <c r="M658" i="1"/>
  <c r="O657" i="1" a="1"/>
  <c r="O657" i="1" s="1"/>
  <c r="N657" i="1"/>
  <c r="M657" i="1"/>
  <c r="O656" i="1" a="1"/>
  <c r="O656" i="1" s="1"/>
  <c r="N656" i="1"/>
  <c r="M656" i="1"/>
  <c r="O655" i="1" a="1"/>
  <c r="O655" i="1" s="1"/>
  <c r="N655" i="1"/>
  <c r="M655" i="1"/>
  <c r="O654" i="1" a="1"/>
  <c r="O654" i="1" s="1"/>
  <c r="N654" i="1"/>
  <c r="M654" i="1"/>
  <c r="O653" i="1" a="1"/>
  <c r="O653" i="1" s="1"/>
  <c r="N653" i="1"/>
  <c r="M653" i="1"/>
  <c r="O652" i="1" a="1"/>
  <c r="O652" i="1" s="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a="1"/>
  <c r="O629" i="1" s="1"/>
  <c r="N629" i="1"/>
  <c r="M629" i="1"/>
  <c r="O628" i="1" a="1"/>
  <c r="O628" i="1" s="1"/>
  <c r="N628" i="1"/>
  <c r="M628" i="1"/>
  <c r="O627" i="1" a="1"/>
  <c r="O627" i="1" s="1"/>
  <c r="N627" i="1"/>
  <c r="M627" i="1"/>
  <c r="O626" i="1" a="1"/>
  <c r="O626" i="1" s="1"/>
  <c r="N626" i="1"/>
  <c r="M626" i="1"/>
  <c r="O625" i="1" a="1"/>
  <c r="O625" i="1" s="1"/>
  <c r="N625" i="1"/>
  <c r="M625" i="1"/>
  <c r="O624" i="1" a="1"/>
  <c r="O624" i="1" s="1"/>
  <c r="N624" i="1"/>
  <c r="M624" i="1"/>
  <c r="O623" i="1" a="1"/>
  <c r="O623" i="1" s="1"/>
  <c r="N623" i="1"/>
  <c r="M623" i="1"/>
  <c r="O622" i="1" a="1"/>
  <c r="O622" i="1" s="1"/>
  <c r="N622" i="1"/>
  <c r="M622" i="1"/>
  <c r="O621" i="1" a="1"/>
  <c r="O621" i="1" s="1"/>
  <c r="N621" i="1"/>
  <c r="M621" i="1"/>
  <c r="O620" i="1" a="1"/>
  <c r="O620" i="1" s="1"/>
  <c r="N620" i="1"/>
  <c r="M620" i="1"/>
  <c r="O619" i="1" a="1"/>
  <c r="O619" i="1" s="1"/>
  <c r="N619" i="1"/>
  <c r="M619" i="1"/>
  <c r="O618" i="1" a="1"/>
  <c r="O618" i="1" s="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a="1"/>
  <c r="O599" i="1" s="1"/>
  <c r="N599" i="1"/>
  <c r="M599" i="1"/>
  <c r="O598" i="1" a="1"/>
  <c r="O598" i="1" s="1"/>
  <c r="N598" i="1"/>
  <c r="M598" i="1"/>
  <c r="O597" i="1" a="1"/>
  <c r="O597" i="1" s="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a="1"/>
  <c r="O581" i="1" s="1"/>
  <c r="N581" i="1"/>
  <c r="M581" i="1"/>
  <c r="O580" i="1"/>
  <c r="O580" i="1" a="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a="1"/>
  <c r="O573" i="1" s="1"/>
  <c r="N573" i="1"/>
  <c r="M573" i="1"/>
  <c r="O572" i="1" a="1"/>
  <c r="O572" i="1" s="1"/>
  <c r="N572" i="1"/>
  <c r="M572" i="1"/>
  <c r="O571" i="1" a="1"/>
  <c r="O571" i="1" s="1"/>
  <c r="N571" i="1"/>
  <c r="M571" i="1"/>
  <c r="O570" i="1" a="1"/>
  <c r="O570" i="1" s="1"/>
  <c r="N570" i="1"/>
  <c r="M570" i="1"/>
  <c r="O569" i="1" a="1"/>
  <c r="O569" i="1" s="1"/>
  <c r="N569" i="1"/>
  <c r="M569" i="1"/>
  <c r="O568" i="1" a="1"/>
  <c r="O568" i="1" s="1"/>
  <c r="N568" i="1"/>
  <c r="M568" i="1"/>
  <c r="O567" i="1" a="1"/>
  <c r="O567" i="1" s="1"/>
  <c r="N567" i="1"/>
  <c r="M567" i="1"/>
  <c r="O566" i="1" a="1"/>
  <c r="O566" i="1" s="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a="1"/>
  <c r="O560" i="1" s="1"/>
  <c r="N560" i="1"/>
  <c r="M560" i="1"/>
  <c r="O559" i="1" a="1"/>
  <c r="O559" i="1" s="1"/>
  <c r="N559" i="1"/>
  <c r="M559" i="1"/>
  <c r="O558" i="1" a="1"/>
  <c r="O558" i="1" s="1"/>
  <c r="N558" i="1"/>
  <c r="M558" i="1"/>
  <c r="O557" i="1" a="1"/>
  <c r="O557" i="1" s="1"/>
  <c r="N557" i="1"/>
  <c r="M557" i="1"/>
  <c r="O556" i="1" a="1"/>
  <c r="O556" i="1" s="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a="1"/>
  <c r="O543" i="1" s="1"/>
  <c r="N543" i="1"/>
  <c r="M543" i="1"/>
  <c r="O542" i="1" a="1"/>
  <c r="O542" i="1" s="1"/>
  <c r="N542" i="1"/>
  <c r="M542" i="1"/>
  <c r="O541" i="1" a="1"/>
  <c r="O541" i="1" s="1"/>
  <c r="N541" i="1"/>
  <c r="M541" i="1"/>
  <c r="O540" i="1" a="1"/>
  <c r="O540" i="1" s="1"/>
  <c r="N540" i="1"/>
  <c r="M540" i="1"/>
  <c r="O539" i="1" a="1"/>
  <c r="O539" i="1" s="1"/>
  <c r="N539" i="1"/>
  <c r="M539" i="1"/>
  <c r="O538" i="1" a="1"/>
  <c r="O538" i="1" s="1"/>
  <c r="N538" i="1"/>
  <c r="M538" i="1"/>
  <c r="O537" i="1" a="1"/>
  <c r="O537" i="1" s="1"/>
  <c r="N537" i="1"/>
  <c r="M537" i="1"/>
  <c r="O536" i="1" a="1"/>
  <c r="O536" i="1" s="1"/>
  <c r="N536" i="1"/>
  <c r="M536" i="1"/>
  <c r="O535" i="1" a="1"/>
  <c r="O535" i="1" s="1"/>
  <c r="N535" i="1"/>
  <c r="M535" i="1"/>
  <c r="O534" i="1" a="1"/>
  <c r="O534" i="1" s="1"/>
  <c r="N534" i="1"/>
  <c r="M534" i="1"/>
  <c r="O533" i="1" a="1"/>
  <c r="O533" i="1" s="1"/>
  <c r="N533" i="1"/>
  <c r="M533" i="1"/>
  <c r="O532" i="1" a="1"/>
  <c r="O532" i="1" s="1"/>
  <c r="N532" i="1"/>
  <c r="M532" i="1"/>
  <c r="O531" i="1" a="1"/>
  <c r="O531" i="1" s="1"/>
  <c r="N531" i="1"/>
  <c r="M531" i="1"/>
  <c r="O530" i="1" a="1"/>
  <c r="O530" i="1" s="1"/>
  <c r="N530" i="1"/>
  <c r="M530" i="1"/>
  <c r="O529" i="1" a="1"/>
  <c r="O529" i="1" s="1"/>
  <c r="N529" i="1"/>
  <c r="M529" i="1"/>
  <c r="O528" i="1" a="1"/>
  <c r="O528" i="1" s="1"/>
  <c r="N528" i="1"/>
  <c r="M528" i="1"/>
  <c r="O527" i="1" a="1"/>
  <c r="O527" i="1" s="1"/>
  <c r="N527" i="1"/>
  <c r="M527" i="1"/>
  <c r="O526" i="1" a="1"/>
  <c r="O526" i="1" s="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a="1"/>
  <c r="O515" i="1" s="1"/>
  <c r="N515" i="1"/>
  <c r="M515" i="1"/>
  <c r="O514" i="1" a="1"/>
  <c r="O514" i="1" s="1"/>
  <c r="N514" i="1"/>
  <c r="M514" i="1"/>
  <c r="O513" i="1" a="1"/>
  <c r="O513" i="1" s="1"/>
  <c r="N513" i="1"/>
  <c r="M513" i="1"/>
  <c r="O512" i="1" a="1"/>
  <c r="O512" i="1" s="1"/>
  <c r="N512" i="1"/>
  <c r="M512" i="1"/>
  <c r="O511" i="1" a="1"/>
  <c r="O511" i="1" s="1"/>
  <c r="N511" i="1"/>
  <c r="M511" i="1"/>
  <c r="O510" i="1" a="1"/>
  <c r="O510" i="1" s="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a="1"/>
  <c r="O497" i="1" s="1"/>
  <c r="N497" i="1"/>
  <c r="M497" i="1"/>
  <c r="O496" i="1" a="1"/>
  <c r="O496" i="1" s="1"/>
  <c r="N496" i="1"/>
  <c r="M496" i="1"/>
  <c r="O495" i="1" a="1"/>
  <c r="O495" i="1" s="1"/>
  <c r="N495" i="1"/>
  <c r="M495" i="1"/>
  <c r="O494" i="1" a="1"/>
  <c r="O494" i="1" s="1"/>
  <c r="N494" i="1"/>
  <c r="M494" i="1"/>
  <c r="O493" i="1" a="1"/>
  <c r="O493" i="1" s="1"/>
  <c r="N493" i="1"/>
  <c r="M493" i="1"/>
  <c r="O492" i="1" a="1"/>
  <c r="O492" i="1" s="1"/>
  <c r="N492" i="1"/>
  <c r="M492" i="1"/>
  <c r="O491" i="1" a="1"/>
  <c r="O491" i="1" s="1"/>
  <c r="N491" i="1"/>
  <c r="M491" i="1"/>
  <c r="O490" i="1" a="1"/>
  <c r="O490" i="1" s="1"/>
  <c r="N490" i="1"/>
  <c r="M490" i="1"/>
  <c r="O489" i="1" a="1"/>
  <c r="O489" i="1" s="1"/>
  <c r="N489" i="1"/>
  <c r="M489" i="1"/>
  <c r="O488" i="1" a="1"/>
  <c r="O488" i="1" s="1"/>
  <c r="N488" i="1"/>
  <c r="M488" i="1"/>
  <c r="O487" i="1" a="1"/>
  <c r="O487" i="1" s="1"/>
  <c r="N487" i="1"/>
  <c r="M487" i="1"/>
  <c r="O486" i="1" a="1"/>
  <c r="O486" i="1" s="1"/>
  <c r="N486" i="1"/>
  <c r="M486" i="1"/>
  <c r="O485" i="1" a="1"/>
  <c r="O485" i="1" s="1"/>
  <c r="N485" i="1"/>
  <c r="M485" i="1"/>
  <c r="O484" i="1" a="1"/>
  <c r="O484" i="1" s="1"/>
  <c r="N484" i="1"/>
  <c r="M484" i="1"/>
  <c r="O483" i="1" a="1"/>
  <c r="O483" i="1" s="1"/>
  <c r="N483" i="1"/>
  <c r="M483" i="1"/>
  <c r="O482" i="1" a="1"/>
  <c r="O482" i="1" s="1"/>
  <c r="N482" i="1"/>
  <c r="M482" i="1"/>
  <c r="O481" i="1" a="1"/>
  <c r="O481" i="1" s="1"/>
  <c r="N481" i="1"/>
  <c r="M481" i="1"/>
  <c r="O480" i="1" a="1"/>
  <c r="O480" i="1" s="1"/>
  <c r="N480" i="1"/>
  <c r="M480" i="1"/>
  <c r="O479" i="1" a="1"/>
  <c r="O479" i="1" s="1"/>
  <c r="N479" i="1"/>
  <c r="M479" i="1"/>
  <c r="O478" i="1" a="1"/>
  <c r="O478" i="1" s="1"/>
  <c r="N478" i="1"/>
  <c r="M478" i="1"/>
  <c r="O477" i="1" a="1"/>
  <c r="O477" i="1" s="1"/>
  <c r="N477" i="1"/>
  <c r="M477" i="1"/>
  <c r="O476" i="1" a="1"/>
  <c r="O476" i="1" s="1"/>
  <c r="N476" i="1"/>
  <c r="M476" i="1"/>
  <c r="O475" i="1" a="1"/>
  <c r="O475" i="1" s="1"/>
  <c r="N475" i="1"/>
  <c r="M475" i="1"/>
  <c r="O474" i="1" a="1"/>
  <c r="O474" i="1" s="1"/>
  <c r="N474" i="1"/>
  <c r="M474" i="1"/>
  <c r="O473" i="1" a="1"/>
  <c r="O473" i="1" s="1"/>
  <c r="N473" i="1"/>
  <c r="M473" i="1"/>
  <c r="O472" i="1"/>
  <c r="O472" i="1" a="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a="1"/>
  <c r="O461" i="1" s="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a="1"/>
  <c r="O447" i="1" s="1"/>
  <c r="N447" i="1"/>
  <c r="M447" i="1"/>
  <c r="O446" i="1" a="1"/>
  <c r="O446" i="1" s="1"/>
  <c r="N446" i="1"/>
  <c r="M446" i="1"/>
  <c r="O445" i="1" a="1"/>
  <c r="O445" i="1" s="1"/>
  <c r="N445" i="1"/>
  <c r="M445" i="1"/>
  <c r="O444" i="1" a="1"/>
  <c r="O444" i="1" s="1"/>
  <c r="N444" i="1"/>
  <c r="M444" i="1"/>
  <c r="O443" i="1" a="1"/>
  <c r="O443" i="1" s="1"/>
  <c r="N443" i="1"/>
  <c r="M443" i="1"/>
  <c r="O442" i="1" a="1"/>
  <c r="O442" i="1" s="1"/>
  <c r="N442" i="1"/>
  <c r="M442" i="1"/>
  <c r="O441" i="1" a="1"/>
  <c r="O441" i="1" s="1"/>
  <c r="N441" i="1"/>
  <c r="M441" i="1"/>
  <c r="O440" i="1" a="1"/>
  <c r="O440" i="1" s="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a="1"/>
  <c r="O433" i="1" s="1"/>
  <c r="N433" i="1"/>
  <c r="M433" i="1"/>
  <c r="O432" i="1" a="1"/>
  <c r="O432" i="1" s="1"/>
  <c r="N432" i="1"/>
  <c r="M432" i="1"/>
  <c r="O431" i="1" a="1"/>
  <c r="O431" i="1" s="1"/>
  <c r="N431" i="1"/>
  <c r="M431" i="1"/>
  <c r="O430" i="1" a="1"/>
  <c r="O430" i="1" s="1"/>
  <c r="N430" i="1"/>
  <c r="M430" i="1"/>
  <c r="O429" i="1" a="1"/>
  <c r="O429" i="1" s="1"/>
  <c r="N429" i="1"/>
  <c r="M429" i="1"/>
  <c r="O428" i="1" a="1"/>
  <c r="O428" i="1" s="1"/>
  <c r="N428" i="1"/>
  <c r="M428" i="1"/>
  <c r="O427" i="1" a="1"/>
  <c r="O427" i="1" s="1"/>
  <c r="N427" i="1"/>
  <c r="M427" i="1"/>
  <c r="O426" i="1" a="1"/>
  <c r="O426" i="1" s="1"/>
  <c r="N426" i="1"/>
  <c r="M426" i="1"/>
  <c r="O425" i="1" a="1"/>
  <c r="O425" i="1" s="1"/>
  <c r="N425" i="1"/>
  <c r="M425" i="1"/>
  <c r="O424" i="1" a="1"/>
  <c r="O424" i="1" s="1"/>
  <c r="N424" i="1"/>
  <c r="M424" i="1"/>
  <c r="O423" i="1" a="1"/>
  <c r="O423" i="1" s="1"/>
  <c r="N423" i="1"/>
  <c r="M423" i="1"/>
  <c r="O422" i="1" a="1"/>
  <c r="O422" i="1" s="1"/>
  <c r="N422" i="1"/>
  <c r="M422" i="1"/>
  <c r="O421" i="1" a="1"/>
  <c r="O421" i="1" s="1"/>
  <c r="N421" i="1"/>
  <c r="M421" i="1"/>
  <c r="O420" i="1" a="1"/>
  <c r="O420" i="1" s="1"/>
  <c r="N420" i="1"/>
  <c r="M420" i="1"/>
  <c r="O419" i="1" a="1"/>
  <c r="O419" i="1" s="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a="1"/>
  <c r="O402" i="1" s="1"/>
  <c r="N402" i="1"/>
  <c r="M402" i="1"/>
  <c r="O401" i="1" a="1"/>
  <c r="O401" i="1" s="1"/>
  <c r="N401" i="1"/>
  <c r="M401" i="1"/>
  <c r="O400" i="1" a="1"/>
  <c r="O400" i="1" s="1"/>
  <c r="N400" i="1"/>
  <c r="M400" i="1"/>
  <c r="O399" i="1" a="1"/>
  <c r="O399" i="1" s="1"/>
  <c r="N399" i="1"/>
  <c r="M399" i="1"/>
  <c r="O398" i="1" a="1"/>
  <c r="O398" i="1" s="1"/>
  <c r="N398" i="1"/>
  <c r="M398" i="1"/>
  <c r="O397" i="1" a="1"/>
  <c r="O397" i="1" s="1"/>
  <c r="N397" i="1"/>
  <c r="M397" i="1"/>
  <c r="O396" i="1" a="1"/>
  <c r="O396" i="1" s="1"/>
  <c r="N396" i="1"/>
  <c r="M396" i="1"/>
  <c r="O395" i="1" a="1"/>
  <c r="O395" i="1" s="1"/>
  <c r="N395" i="1"/>
  <c r="M395" i="1"/>
  <c r="O394" i="1" a="1"/>
  <c r="O394" i="1" s="1"/>
  <c r="N394" i="1"/>
  <c r="M394" i="1"/>
  <c r="O393" i="1" a="1"/>
  <c r="O393" i="1" s="1"/>
  <c r="N393" i="1"/>
  <c r="M393" i="1"/>
  <c r="O392" i="1" a="1"/>
  <c r="O392" i="1" s="1"/>
  <c r="N392" i="1"/>
  <c r="M392" i="1"/>
  <c r="O391" i="1" a="1"/>
  <c r="O391" i="1" s="1"/>
  <c r="N391" i="1"/>
  <c r="M391" i="1"/>
  <c r="O390" i="1" a="1"/>
  <c r="O390" i="1" s="1"/>
  <c r="N390" i="1"/>
  <c r="M390" i="1"/>
  <c r="O389" i="1" a="1"/>
  <c r="O389" i="1" s="1"/>
  <c r="N389" i="1"/>
  <c r="M389" i="1"/>
  <c r="O388" i="1" a="1"/>
  <c r="O388" i="1" s="1"/>
  <c r="N388" i="1"/>
  <c r="M388" i="1"/>
  <c r="O387" i="1" a="1"/>
  <c r="O387" i="1" s="1"/>
  <c r="N387" i="1"/>
  <c r="M387" i="1"/>
  <c r="O386" i="1" a="1"/>
  <c r="O386" i="1" s="1"/>
  <c r="N386" i="1"/>
  <c r="M386" i="1"/>
  <c r="O385" i="1" a="1"/>
  <c r="O385" i="1" s="1"/>
  <c r="N385" i="1"/>
  <c r="M385" i="1"/>
  <c r="O384" i="1" a="1"/>
  <c r="O384" i="1" s="1"/>
  <c r="N384" i="1"/>
  <c r="M384" i="1"/>
  <c r="O383" i="1" a="1"/>
  <c r="O383" i="1" s="1"/>
  <c r="N383" i="1"/>
  <c r="M383" i="1"/>
  <c r="O382" i="1" a="1"/>
  <c r="O382" i="1" s="1"/>
  <c r="N382" i="1"/>
  <c r="M382" i="1"/>
  <c r="O381" i="1" a="1"/>
  <c r="O381" i="1" s="1"/>
  <c r="N381" i="1"/>
  <c r="M381" i="1"/>
  <c r="O380" i="1" a="1"/>
  <c r="O380" i="1" s="1"/>
  <c r="N380" i="1"/>
  <c r="M380" i="1"/>
  <c r="O379" i="1" a="1"/>
  <c r="O379" i="1" s="1"/>
  <c r="N379" i="1"/>
  <c r="M379" i="1"/>
  <c r="O378" i="1" a="1"/>
  <c r="O378" i="1" s="1"/>
  <c r="N378" i="1"/>
  <c r="M378" i="1"/>
  <c r="O377" i="1" a="1"/>
  <c r="O377" i="1" s="1"/>
  <c r="N377" i="1"/>
  <c r="M377" i="1"/>
  <c r="O376" i="1" a="1"/>
  <c r="O376" i="1" s="1"/>
  <c r="N376" i="1"/>
  <c r="M376" i="1"/>
  <c r="O375" i="1" a="1"/>
  <c r="O375" i="1" s="1"/>
  <c r="N375" i="1"/>
  <c r="M375" i="1"/>
  <c r="O374" i="1" a="1"/>
  <c r="O374" i="1" s="1"/>
  <c r="N374" i="1"/>
  <c r="M374" i="1"/>
  <c r="O373" i="1" a="1"/>
  <c r="O373" i="1" s="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a="1"/>
  <c r="O366" i="1" s="1"/>
  <c r="N366" i="1"/>
  <c r="M366" i="1"/>
  <c r="O365" i="1" a="1"/>
  <c r="O365" i="1" s="1"/>
  <c r="N365" i="1"/>
  <c r="M365" i="1"/>
  <c r="O364" i="1" a="1"/>
  <c r="O364" i="1" s="1"/>
  <c r="N364" i="1"/>
  <c r="M364" i="1"/>
  <c r="O363" i="1"/>
  <c r="O363" i="1" a="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a="1"/>
  <c r="O353" i="1" s="1"/>
  <c r="N353" i="1"/>
  <c r="M353" i="1"/>
  <c r="O352" i="1" a="1"/>
  <c r="O352" i="1" s="1"/>
  <c r="N352" i="1"/>
  <c r="M352" i="1"/>
  <c r="O351" i="1" a="1"/>
  <c r="O351" i="1" s="1"/>
  <c r="N351" i="1"/>
  <c r="M351" i="1"/>
  <c r="O350" i="1" a="1"/>
  <c r="O350" i="1" s="1"/>
  <c r="N350" i="1"/>
  <c r="M350" i="1"/>
  <c r="O349" i="1" a="1"/>
  <c r="O349" i="1" s="1"/>
  <c r="N349" i="1"/>
  <c r="M349" i="1"/>
  <c r="O348" i="1" a="1"/>
  <c r="O348" i="1" s="1"/>
  <c r="N348" i="1"/>
  <c r="M348" i="1"/>
  <c r="O347" i="1" a="1"/>
  <c r="O347" i="1" s="1"/>
  <c r="N347" i="1"/>
  <c r="M347" i="1"/>
  <c r="O346" i="1" a="1"/>
  <c r="O346" i="1" s="1"/>
  <c r="N346" i="1"/>
  <c r="M346" i="1"/>
  <c r="O345" i="1" a="1"/>
  <c r="O345" i="1" s="1"/>
  <c r="N345" i="1"/>
  <c r="M345" i="1"/>
  <c r="O344" i="1" a="1"/>
  <c r="O344" i="1" s="1"/>
  <c r="N344" i="1"/>
  <c r="M344" i="1"/>
  <c r="O343" i="1" a="1"/>
  <c r="O343" i="1" s="1"/>
  <c r="N343" i="1"/>
  <c r="M343" i="1"/>
  <c r="O342" i="1" a="1"/>
  <c r="O342" i="1" s="1"/>
  <c r="N342" i="1"/>
  <c r="M342" i="1"/>
  <c r="O341" i="1" a="1"/>
  <c r="O341" i="1" s="1"/>
  <c r="N341" i="1"/>
  <c r="M341" i="1"/>
  <c r="O340" i="1" a="1"/>
  <c r="O340" i="1" s="1"/>
  <c r="N340" i="1"/>
  <c r="M340" i="1"/>
  <c r="O339" i="1" a="1"/>
  <c r="O339" i="1" s="1"/>
  <c r="N339" i="1"/>
  <c r="M339" i="1"/>
  <c r="O338" i="1" a="1"/>
  <c r="O338" i="1" s="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a="1"/>
  <c r="O332" i="1" s="1"/>
  <c r="N332" i="1"/>
  <c r="M332" i="1"/>
  <c r="O331" i="1" a="1"/>
  <c r="O331" i="1" s="1"/>
  <c r="N331" i="1"/>
  <c r="M331" i="1"/>
  <c r="O330" i="1" a="1"/>
  <c r="O330" i="1" s="1"/>
  <c r="N330" i="1"/>
  <c r="M330" i="1"/>
  <c r="O329" i="1" a="1"/>
  <c r="O329" i="1" s="1"/>
  <c r="N329" i="1"/>
  <c r="M329" i="1"/>
  <c r="O328" i="1" a="1"/>
  <c r="O328" i="1" s="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a="1"/>
  <c r="O304" i="1" s="1"/>
  <c r="N304" i="1"/>
  <c r="M304" i="1"/>
  <c r="O303" i="1" a="1"/>
  <c r="O303" i="1" s="1"/>
  <c r="N303" i="1"/>
  <c r="M303" i="1"/>
  <c r="O302" i="1" a="1"/>
  <c r="O302" i="1" s="1"/>
  <c r="N302" i="1"/>
  <c r="M302" i="1"/>
  <c r="O301" i="1" a="1"/>
  <c r="O301" i="1" s="1"/>
  <c r="N301" i="1"/>
  <c r="M301" i="1"/>
  <c r="O300" i="1" a="1"/>
  <c r="O300" i="1" s="1"/>
  <c r="N300" i="1"/>
  <c r="M300" i="1"/>
  <c r="O299" i="1" a="1"/>
  <c r="O299" i="1" s="1"/>
  <c r="N299" i="1"/>
  <c r="M299" i="1"/>
  <c r="O298" i="1" a="1"/>
  <c r="O298" i="1" s="1"/>
  <c r="N298" i="1"/>
  <c r="M298" i="1"/>
  <c r="O297" i="1" a="1"/>
  <c r="O297" i="1" s="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a="1"/>
  <c r="O290" i="1" s="1"/>
  <c r="N290" i="1"/>
  <c r="M290" i="1"/>
  <c r="O289" i="1" a="1"/>
  <c r="O289" i="1" s="1"/>
  <c r="N289" i="1"/>
  <c r="M289" i="1"/>
  <c r="O288" i="1" a="1"/>
  <c r="O288" i="1" s="1"/>
  <c r="N288" i="1"/>
  <c r="M288" i="1"/>
  <c r="O287" i="1" a="1"/>
  <c r="O287" i="1" s="1"/>
  <c r="N287" i="1"/>
  <c r="M287" i="1"/>
  <c r="O286" i="1" a="1"/>
  <c r="O286" i="1" s="1"/>
  <c r="N286" i="1"/>
  <c r="M286" i="1"/>
  <c r="O285" i="1" a="1"/>
  <c r="O285" i="1" s="1"/>
  <c r="N285" i="1"/>
  <c r="M285" i="1"/>
  <c r="O284" i="1" a="1"/>
  <c r="O284" i="1" s="1"/>
  <c r="N284" i="1"/>
  <c r="M284" i="1"/>
  <c r="O283" i="1" a="1"/>
  <c r="O283" i="1" s="1"/>
  <c r="N283" i="1"/>
  <c r="M283" i="1"/>
  <c r="O282" i="1" a="1"/>
  <c r="O282" i="1" s="1"/>
  <c r="N282" i="1"/>
  <c r="M282" i="1"/>
  <c r="O281" i="1" a="1"/>
  <c r="O281" i="1" s="1"/>
  <c r="N281" i="1"/>
  <c r="M281" i="1"/>
  <c r="O280" i="1" a="1"/>
  <c r="O280" i="1" s="1"/>
  <c r="N280" i="1"/>
  <c r="M280" i="1"/>
  <c r="O279" i="1" a="1"/>
  <c r="O279" i="1" s="1"/>
  <c r="N279" i="1"/>
  <c r="M279" i="1"/>
  <c r="O278" i="1" a="1"/>
  <c r="O278" i="1" s="1"/>
  <c r="N278" i="1"/>
  <c r="M278" i="1"/>
  <c r="O277" i="1" a="1"/>
  <c r="O277" i="1" s="1"/>
  <c r="N277" i="1"/>
  <c r="M277" i="1"/>
  <c r="O276" i="1" a="1"/>
  <c r="O276" i="1" s="1"/>
  <c r="N276" i="1"/>
  <c r="M276" i="1"/>
  <c r="O275" i="1" a="1"/>
  <c r="O275" i="1" s="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a="1"/>
  <c r="O269" i="1" s="1"/>
  <c r="N269" i="1"/>
  <c r="M269" i="1"/>
  <c r="O268" i="1" a="1"/>
  <c r="O268" i="1" s="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a="1"/>
  <c r="O262" i="1" s="1"/>
  <c r="N262" i="1"/>
  <c r="M262" i="1"/>
  <c r="O261" i="1" a="1"/>
  <c r="O261" i="1" s="1"/>
  <c r="N261" i="1"/>
  <c r="M261" i="1"/>
  <c r="O260" i="1" a="1"/>
  <c r="O260" i="1" s="1"/>
  <c r="N260" i="1"/>
  <c r="M260" i="1"/>
  <c r="O259" i="1" a="1"/>
  <c r="O259" i="1" s="1"/>
  <c r="N259" i="1"/>
  <c r="M259" i="1"/>
  <c r="O258" i="1" a="1"/>
  <c r="O258" i="1" s="1"/>
  <c r="N258" i="1"/>
  <c r="M258" i="1"/>
  <c r="O257" i="1" a="1"/>
  <c r="O257" i="1" s="1"/>
  <c r="N257" i="1"/>
  <c r="M257" i="1"/>
  <c r="O256" i="1" a="1"/>
  <c r="O256" i="1" s="1"/>
  <c r="N256" i="1"/>
  <c r="M256" i="1"/>
  <c r="O255" i="1" a="1"/>
  <c r="O255" i="1" s="1"/>
  <c r="N255" i="1"/>
  <c r="M255" i="1"/>
  <c r="O254" i="1" a="1"/>
  <c r="O254" i="1" s="1"/>
  <c r="N254" i="1"/>
  <c r="M254" i="1"/>
  <c r="O253" i="1" a="1"/>
  <c r="O253" i="1" s="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a="1"/>
  <c r="O237" i="1" s="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a="1"/>
  <c r="O220" i="1" s="1"/>
  <c r="N220" i="1"/>
  <c r="M220" i="1"/>
  <c r="O219" i="1" a="1"/>
  <c r="O219" i="1" s="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a="1"/>
  <c r="O205" i="1" s="1"/>
  <c r="N205" i="1"/>
  <c r="M205" i="1"/>
  <c r="O204" i="1" a="1"/>
  <c r="O204" i="1" s="1"/>
  <c r="N204" i="1"/>
  <c r="M204" i="1"/>
  <c r="O203" i="1" a="1"/>
  <c r="O203" i="1" s="1"/>
  <c r="N203" i="1"/>
  <c r="M203" i="1"/>
  <c r="O202" i="1" a="1"/>
  <c r="O202" i="1" s="1"/>
  <c r="N202" i="1"/>
  <c r="M202" i="1"/>
  <c r="O201" i="1" a="1"/>
  <c r="O201" i="1" s="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a="1"/>
  <c r="O193" i="1" s="1"/>
  <c r="N193" i="1"/>
  <c r="M193" i="1"/>
  <c r="O192" i="1" a="1"/>
  <c r="O192" i="1" s="1"/>
  <c r="N192" i="1"/>
  <c r="M192" i="1"/>
  <c r="O191" i="1" a="1"/>
  <c r="O191" i="1" s="1"/>
  <c r="N191" i="1"/>
  <c r="M191" i="1"/>
  <c r="O190" i="1" a="1"/>
  <c r="O190" i="1" s="1"/>
  <c r="N190" i="1"/>
  <c r="M190" i="1"/>
  <c r="O189" i="1" a="1"/>
  <c r="O189" i="1" s="1"/>
  <c r="N189" i="1"/>
  <c r="M189" i="1"/>
  <c r="O188" i="1" a="1"/>
  <c r="O188" i="1" s="1"/>
  <c r="N188" i="1"/>
  <c r="M188" i="1"/>
  <c r="O187" i="1" a="1"/>
  <c r="O187" i="1" s="1"/>
  <c r="N187" i="1"/>
  <c r="M187" i="1"/>
  <c r="O186" i="1" a="1"/>
  <c r="O186" i="1" s="1"/>
  <c r="N186" i="1"/>
  <c r="M186" i="1"/>
  <c r="O185" i="1" a="1"/>
  <c r="O185" i="1" s="1"/>
  <c r="N185" i="1"/>
  <c r="M185" i="1"/>
  <c r="O184" i="1" a="1"/>
  <c r="O184" i="1" s="1"/>
  <c r="N184" i="1"/>
  <c r="M184" i="1"/>
  <c r="O183" i="1" a="1"/>
  <c r="O183" i="1" s="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a="1"/>
  <c r="O177" i="1" s="1"/>
  <c r="N177" i="1"/>
  <c r="M177" i="1"/>
  <c r="O176" i="1" a="1"/>
  <c r="O176" i="1" s="1"/>
  <c r="N176" i="1"/>
  <c r="M176" i="1"/>
  <c r="O175" i="1" a="1"/>
  <c r="O175" i="1" s="1"/>
  <c r="N175" i="1"/>
  <c r="M175" i="1"/>
  <c r="O174" i="1" a="1"/>
  <c r="O174" i="1" s="1"/>
  <c r="N174" i="1"/>
  <c r="M174" i="1"/>
  <c r="O173" i="1" a="1"/>
  <c r="O173" i="1" s="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a="1"/>
  <c r="O162" i="1" s="1"/>
  <c r="N162" i="1"/>
  <c r="M162" i="1"/>
  <c r="O161" i="1" a="1"/>
  <c r="O161" i="1" s="1"/>
  <c r="N161" i="1"/>
  <c r="M161" i="1"/>
  <c r="O160" i="1" a="1"/>
  <c r="O160" i="1" s="1"/>
  <c r="N160" i="1"/>
  <c r="M160" i="1"/>
  <c r="O159" i="1" a="1"/>
  <c r="O159" i="1" s="1"/>
  <c r="N159" i="1"/>
  <c r="M159" i="1"/>
  <c r="O158" i="1" a="1"/>
  <c r="O158" i="1" s="1"/>
  <c r="N158" i="1"/>
  <c r="M158" i="1"/>
  <c r="O157" i="1" a="1"/>
  <c r="O157" i="1" s="1"/>
  <c r="N157" i="1"/>
  <c r="M157" i="1"/>
  <c r="O156" i="1" a="1"/>
  <c r="O156" i="1" s="1"/>
  <c r="N156" i="1"/>
  <c r="M156" i="1"/>
  <c r="O155" i="1" a="1"/>
  <c r="O155" i="1" s="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a="1"/>
  <c r="O142" i="1" s="1"/>
  <c r="N142" i="1"/>
  <c r="M142" i="1"/>
  <c r="O141" i="1" a="1"/>
  <c r="O141" i="1" s="1"/>
  <c r="N141" i="1"/>
  <c r="M141" i="1"/>
  <c r="O140" i="1" a="1"/>
  <c r="O140" i="1" s="1"/>
  <c r="N140" i="1"/>
  <c r="M140" i="1"/>
  <c r="O139" i="1" a="1"/>
  <c r="O139" i="1" s="1"/>
  <c r="N139" i="1"/>
  <c r="M139" i="1"/>
  <c r="O138" i="1" a="1"/>
  <c r="O138" i="1" s="1"/>
  <c r="N138" i="1"/>
  <c r="M138" i="1"/>
  <c r="O137" i="1" a="1"/>
  <c r="O137" i="1" s="1"/>
  <c r="N137" i="1"/>
  <c r="M137" i="1"/>
  <c r="O136" i="1" a="1"/>
  <c r="O136" i="1" s="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a="1"/>
  <c r="O127" i="1" s="1"/>
  <c r="N127" i="1"/>
  <c r="M127" i="1"/>
  <c r="O126" i="1" a="1"/>
  <c r="O126" i="1" s="1"/>
  <c r="N126" i="1"/>
  <c r="M126" i="1"/>
  <c r="O125" i="1" a="1"/>
  <c r="O125" i="1" s="1"/>
  <c r="N125" i="1"/>
  <c r="M125" i="1"/>
  <c r="O124" i="1" a="1"/>
  <c r="O124" i="1" s="1"/>
  <c r="N124" i="1"/>
  <c r="M124" i="1"/>
  <c r="O123" i="1" a="1"/>
  <c r="O123" i="1" s="1"/>
  <c r="N123" i="1"/>
  <c r="M123" i="1"/>
  <c r="O122" i="1" a="1"/>
  <c r="O122" i="1" s="1"/>
  <c r="N122" i="1"/>
  <c r="M122" i="1"/>
  <c r="O121" i="1" a="1"/>
  <c r="O121" i="1" s="1"/>
  <c r="N121" i="1"/>
  <c r="M121" i="1"/>
  <c r="O120" i="1" a="1"/>
  <c r="O120" i="1" s="1"/>
  <c r="N120" i="1"/>
  <c r="M120" i="1"/>
  <c r="O119" i="1" a="1"/>
  <c r="O119" i="1" s="1"/>
  <c r="N119" i="1"/>
  <c r="M119" i="1"/>
  <c r="O118" i="1" a="1"/>
  <c r="O118" i="1" s="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a="1"/>
  <c r="O107" i="1" s="1"/>
  <c r="N107" i="1"/>
  <c r="M107" i="1"/>
  <c r="O106" i="1" a="1"/>
  <c r="O106" i="1" s="1"/>
  <c r="N106" i="1"/>
  <c r="M106" i="1"/>
  <c r="O105" i="1" a="1"/>
  <c r="O105" i="1" s="1"/>
  <c r="N105" i="1"/>
  <c r="M105" i="1"/>
  <c r="O104" i="1" a="1"/>
  <c r="O104" i="1" s="1"/>
  <c r="N104" i="1"/>
  <c r="M104" i="1"/>
  <c r="O103" i="1" a="1"/>
  <c r="O103" i="1" s="1"/>
  <c r="N103" i="1"/>
  <c r="M103" i="1"/>
  <c r="O102" i="1" a="1"/>
  <c r="O102" i="1" s="1"/>
  <c r="N102" i="1"/>
  <c r="M102" i="1"/>
  <c r="O101" i="1" a="1"/>
  <c r="O101" i="1" s="1"/>
  <c r="N101" i="1"/>
  <c r="M101" i="1"/>
  <c r="O100" i="1" a="1"/>
  <c r="O100" i="1" s="1"/>
  <c r="N100" i="1"/>
  <c r="M100" i="1"/>
  <c r="O99" i="1" a="1"/>
  <c r="O99" i="1" s="1"/>
  <c r="N99" i="1"/>
  <c r="M99" i="1"/>
  <c r="O98" i="1" a="1"/>
  <c r="O98" i="1" s="1"/>
  <c r="N98" i="1"/>
  <c r="M98" i="1"/>
  <c r="O97" i="1" a="1"/>
  <c r="O97" i="1" s="1"/>
  <c r="N97" i="1"/>
  <c r="M97" i="1"/>
  <c r="O96" i="1" a="1"/>
  <c r="O96" i="1" s="1"/>
  <c r="N96" i="1"/>
  <c r="M96" i="1"/>
  <c r="O95" i="1" a="1"/>
  <c r="O95" i="1" s="1"/>
  <c r="N95" i="1"/>
  <c r="M95" i="1"/>
  <c r="O94" i="1" a="1"/>
  <c r="O94" i="1" s="1"/>
  <c r="N94" i="1"/>
  <c r="M94" i="1"/>
  <c r="O93" i="1" a="1"/>
  <c r="O93" i="1" s="1"/>
  <c r="N93" i="1"/>
  <c r="M93" i="1"/>
  <c r="O92" i="1" a="1"/>
  <c r="O92" i="1" s="1"/>
  <c r="N92" i="1"/>
  <c r="M92" i="1"/>
  <c r="O91" i="1" a="1"/>
  <c r="O91" i="1" s="1"/>
  <c r="N91" i="1"/>
  <c r="M91" i="1"/>
  <c r="O90" i="1" a="1"/>
  <c r="O90" i="1" s="1"/>
  <c r="N90" i="1"/>
  <c r="M90" i="1"/>
  <c r="O89" i="1" a="1"/>
  <c r="O89" i="1" s="1"/>
  <c r="N89" i="1"/>
  <c r="M89" i="1"/>
  <c r="O88" i="1" a="1"/>
  <c r="O88" i="1" s="1"/>
  <c r="N88" i="1"/>
  <c r="M88" i="1"/>
  <c r="O87" i="1" a="1"/>
  <c r="O87" i="1" s="1"/>
  <c r="N87" i="1"/>
  <c r="M87" i="1"/>
  <c r="O86" i="1" a="1"/>
  <c r="O86" i="1" s="1"/>
  <c r="N86" i="1"/>
  <c r="M86" i="1"/>
  <c r="O85" i="1" a="1"/>
  <c r="O85" i="1" s="1"/>
  <c r="N85" i="1"/>
  <c r="M85" i="1"/>
  <c r="O84" i="1" a="1"/>
  <c r="O84" i="1" s="1"/>
  <c r="N84" i="1"/>
  <c r="M84" i="1"/>
  <c r="O83" i="1" a="1"/>
  <c r="O83" i="1" s="1"/>
  <c r="N83" i="1"/>
  <c r="M83" i="1"/>
  <c r="O82" i="1" a="1"/>
  <c r="O82" i="1" s="1"/>
  <c r="N82" i="1"/>
  <c r="M82" i="1"/>
  <c r="O81" i="1" a="1"/>
  <c r="O81" i="1" s="1"/>
  <c r="N81" i="1"/>
  <c r="M81" i="1"/>
  <c r="O80" i="1" a="1"/>
  <c r="O80" i="1" s="1"/>
  <c r="N80" i="1"/>
  <c r="M80" i="1"/>
  <c r="O79" i="1" a="1"/>
  <c r="O79" i="1" s="1"/>
  <c r="N79" i="1"/>
  <c r="M79" i="1"/>
  <c r="O78" i="1" a="1"/>
  <c r="O78" i="1" s="1"/>
  <c r="N78" i="1"/>
  <c r="M78" i="1"/>
  <c r="O77" i="1" a="1"/>
  <c r="O77" i="1" s="1"/>
  <c r="N77" i="1"/>
  <c r="M77" i="1"/>
  <c r="O76" i="1" a="1"/>
  <c r="O76" i="1" s="1"/>
  <c r="N76" i="1"/>
  <c r="M76" i="1"/>
  <c r="O75" i="1" a="1"/>
  <c r="O75" i="1" s="1"/>
  <c r="N75" i="1"/>
  <c r="M75" i="1"/>
  <c r="O74" i="1" a="1"/>
  <c r="O74" i="1" s="1"/>
  <c r="N74" i="1"/>
  <c r="M74" i="1"/>
  <c r="O73" i="1" a="1"/>
  <c r="O73" i="1" s="1"/>
  <c r="N73" i="1"/>
  <c r="M73" i="1"/>
  <c r="O72" i="1" a="1"/>
  <c r="O72" i="1" s="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a="1"/>
  <c r="O64" i="1" s="1"/>
  <c r="N64" i="1"/>
  <c r="M64" i="1"/>
  <c r="O63" i="1" a="1"/>
  <c r="O63" i="1" s="1"/>
  <c r="N63" i="1"/>
  <c r="M63" i="1"/>
  <c r="O62" i="1" a="1"/>
  <c r="O62" i="1" s="1"/>
  <c r="N62" i="1"/>
  <c r="M62" i="1"/>
  <c r="O61" i="1" a="1"/>
  <c r="O61" i="1" s="1"/>
  <c r="N61" i="1"/>
  <c r="M61" i="1"/>
  <c r="O60" i="1" a="1"/>
  <c r="O60" i="1" s="1"/>
  <c r="N60" i="1"/>
  <c r="M60" i="1"/>
  <c r="O59" i="1" a="1"/>
  <c r="O59" i="1" s="1"/>
  <c r="N59" i="1"/>
  <c r="M59" i="1"/>
  <c r="O58" i="1" a="1"/>
  <c r="O58" i="1" s="1"/>
  <c r="N58" i="1"/>
  <c r="M58" i="1"/>
  <c r="O57" i="1" a="1"/>
  <c r="O57" i="1" s="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a="1"/>
  <c r="O42" i="1" s="1"/>
  <c r="N42" i="1"/>
  <c r="M42" i="1"/>
  <c r="O41" i="1" a="1"/>
  <c r="O41" i="1" s="1"/>
  <c r="N41" i="1"/>
  <c r="M41" i="1"/>
  <c r="O40" i="1" a="1"/>
  <c r="O40" i="1" s="1"/>
  <c r="N40" i="1"/>
  <c r="M40" i="1"/>
  <c r="O39" i="1" a="1"/>
  <c r="O39" i="1" s="1"/>
  <c r="N39" i="1"/>
  <c r="M39" i="1"/>
  <c r="O38" i="1" a="1"/>
  <c r="O38" i="1" s="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a="1"/>
  <c r="O20" i="1" s="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O8" i="1" a="1"/>
  <c r="O8" i="1" s="1"/>
  <c r="N8" i="1"/>
  <c r="M8" i="1"/>
  <c r="O7" i="1" a="1"/>
  <c r="O7" i="1" s="1"/>
  <c r="N7" i="1"/>
  <c r="M7" i="1"/>
  <c r="O6" i="1" a="1"/>
  <c r="O6" i="1" s="1"/>
  <c r="N6" i="1"/>
  <c r="M6" i="1"/>
  <c r="O5" i="1" a="1"/>
  <c r="O5" i="1" s="1"/>
  <c r="N5" i="1"/>
  <c r="M5" i="1"/>
  <c r="O4" i="1" a="1"/>
  <c r="O4" i="1" s="1"/>
  <c r="N4" i="1"/>
  <c r="M4" i="1"/>
  <c r="O3" i="1" a="1"/>
  <c r="O3" i="1" s="1"/>
  <c r="N3" i="1"/>
  <c r="M3" i="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<sst xmlns="http://schemas.openxmlformats.org/spreadsheetml/2006/main" count="14526" uniqueCount="2556">
  <si>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</si>
  <si>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</si>
  <si>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</si>
  <si>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</si>
  <si>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</si>
  <si>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</si>
  <si>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</si>
  <si>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</si>
  <si>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</si>
  <si>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</si>
  <si>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</si>
  <si>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</si>
  <si>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</si>
  <si>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</si>
  <si>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</si>
  <si>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</si>
  <si>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</si>
  <si>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</si>
  <si>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</si>
  <si>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</si>
  <si>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</si>
  <si>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</si>
  <si>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</si>
  <si>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</si>
  <si>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</si>
  <si>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</si>
  <si>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</si>
  <si>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</si>
  <si>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</si>
  <si>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</si>
  <si>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</si>
  <si>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</si>
  <si>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</si>
  <si>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</si>
  <si>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</si>
  <si>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</si>
  <si>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</si>
  <si>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</si>
  <si>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</si>
  <si>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</si>
  <si>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</si>
  <si>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</si>
  <si>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</si>
  <si>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</si>
  <si>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</si>
  <si>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</si>
  <si>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</si>
  <si>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</si>
  <si>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</si>
  <si>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</si>
  <si>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</si>
  <si>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</si>
  <si>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</si>
  <si>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</si>
  <si>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</si>
  <si>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</si>
  <si>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</si>
  <si>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</si>
  <si>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</si>
  <si>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</si>
  <si>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</si>
  <si>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</si>
  <si>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</si>
  <si>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</si>
  <si>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</si>
  <si>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</si>
  <si>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</si>
  <si>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</si>
  <si>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</si>
  <si>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</si>
  <si>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</si>
  <si>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</si>
  <si>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</si>
  <si>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</si>
  <si>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</si>
  <si>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</si>
  <si>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</si>
  <si>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</si>
  <si>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</si>
  <si>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</si>
  <si>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</si>
  <si>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</si>
  <si>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</si>
  <si>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</si>
  <si>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</si>
  <si>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</si>
  <si>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</si>
  <si>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</si>
  <si>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</si>
  <si>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</si>
  <si>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</si>
  <si>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</si>
  <si>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</si>
  <si>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</si>
  <si>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</si>
  <si>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</si>
  <si>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</si>
  <si>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</si>
  <si>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</si>
  <si>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</si>
  <si>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</si>
  <si>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</si>
  <si>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</si>
  <si>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</si>
  <si>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</si>
  <si>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</si>
  <si>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</si>
  <si>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</si>
  <si>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</si>
  <si>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</si>
  <si>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</si>
  <si>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</si>
  <si>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</si>
  <si>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</si>
  <si>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</si>
  <si>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</si>
  <si>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</si>
  <si>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</si>
  <si>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</si>
  <si>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</si>
  <si>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</si>
  <si>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</si>
  <si>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</si>
  <si>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</si>
  <si>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</si>
  <si>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</si>
  <si>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</si>
  <si>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</si>
  <si>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</si>
  <si>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</si>
  <si>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</si>
  <si>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</si>
  <si>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</si>
  <si>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</si>
  <si>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</si>
  <si>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</si>
  <si>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</si>
  <si>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</si>
  <si>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</si>
  <si>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</si>
  <si>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</si>
  <si>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</si>
  <si>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</si>
  <si>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</si>
  <si>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</si>
  <si>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</si>
  <si>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</si>
  <si>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</si>
  <si>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</si>
  <si>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</si>
  <si>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</si>
  <si>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</si>
  <si>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</si>
  <si>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</si>
  <si>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</si>
  <si>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</si>
  <si>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</si>
  <si>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</si>
  <si>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</si>
  <si>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</si>
  <si>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</si>
  <si>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</si>
  <si>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</si>
  <si>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</si>
  <si>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</si>
  <si>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</si>
  <si>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</si>
  <si>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</si>
  <si>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</si>
  <si>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</si>
  <si>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</si>
  <si>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</si>
  <si>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</si>
  <si>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</si>
  <si>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</si>
  <si>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</si>
  <si>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</si>
  <si>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</si>
  <si>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</si>
  <si>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</si>
  <si>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</si>
  <si>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</si>
  <si>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</si>
  <si>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</si>
  <si>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</si>
  <si>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</si>
  <si>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</si>
  <si>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</si>
  <si>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</si>
  <si>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</si>
  <si>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</si>
  <si>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</si>
  <si>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</si>
  <si>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</si>
  <si>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</si>
  <si>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</si>
  <si>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</si>
  <si>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</si>
  <si>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</si>
  <si>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</si>
  <si>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</si>
  <si>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</si>
  <si>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</si>
  <si>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</si>
  <si>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</si>
  <si>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</si>
  <si>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</si>
  <si>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</si>
  <si>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</si>
  <si>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</si>
  <si>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</si>
  <si>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</si>
  <si>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</si>
  <si>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</si>
  <si>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</si>
  <si>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</si>
  <si>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</si>
  <si>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</si>
  <si>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</si>
  <si>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</si>
  <si>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</si>
  <si>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</si>
  <si>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</si>
  <si>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</si>
  <si>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</si>
  <si>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</si>
  <si>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</si>
  <si>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</si>
  <si>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</si>
  <si>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</si>
  <si>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</si>
  <si>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</si>
  <si>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</si>
  <si>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</si>
  <si>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</si>
  <si>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</si>
  <si>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</si>
  <si>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</si>
  <si>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</si>
  <si>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</si>
  <si>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</si>
  <si>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</si>
  <si>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</si>
  <si>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</si>
  <si>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</si>
  <si>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</si>
  <si>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</si>
  <si>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</si>
  <si>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</si>
  <si>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</si>
  <si>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</si>
  <si>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</si>
  <si>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</si>
  <si>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</si>
  <si>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</si>
  <si>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</si>
  <si>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</si>
  <si>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</si>
  <si>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</si>
  <si>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</si>
  <si>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</si>
  <si>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</si>
  <si>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</si>
  <si>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</si>
  <si>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</si>
  <si>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</si>
  <si>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</si>
  <si>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</si>
  <si>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</si>
  <si>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</si>
  <si>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</si>
  <si>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</si>
  <si>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</si>
  <si>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</si>
  <si>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</si>
  <si>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</si>
  <si>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</si>
  <si>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</si>
  <si>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</si>
  <si>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</si>
  <si>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</si>
  <si>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</si>
  <si>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</si>
  <si>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</si>
  <si>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</si>
  <si>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</si>
  <si>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</si>
  <si>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</si>
  <si>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</si>
  <si>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</si>
  <si>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</si>
  <si>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</si>
  <si>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</si>
  <si>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</si>
  <si>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</si>
  <si>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</si>
  <si>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</si>
  <si>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</si>
  <si>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</si>
  <si>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</si>
  <si>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</si>
  <si>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</si>
  <si>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</si>
  <si>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</si>
  <si>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</si>
  <si>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</si>
  <si>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</si>
  <si>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</si>
  <si>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</si>
  <si>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</si>
  <si>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</si>
  <si>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</si>
  <si>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</si>
  <si>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</si>
  <si>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</si>
  <si>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</si>
  <si>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</si>
  <si>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</si>
  <si>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</si>
  <si>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</si>
  <si>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</si>
  <si>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</si>
  <si>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</si>
  <si>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</si>
  <si>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</si>
  <si>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</si>
  <si>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</si>
  <si>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</si>
  <si>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</si>
  <si>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</si>
  <si>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</si>
  <si>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</si>
  <si>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</si>
  <si>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</si>
  <si>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</si>
  <si>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</si>
  <si>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</si>
  <si>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</si>
  <si>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</si>
  <si>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</si>
  <si>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</si>
  <si>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</si>
  <si>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</si>
  <si>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</si>
  <si>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</si>
  <si>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</si>
  <si>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</si>
  <si>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</si>
  <si>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</si>
  <si>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</si>
  <si>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</si>
  <si>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</si>
  <si>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</si>
  <si>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</si>
  <si>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</si>
  <si>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</si>
  <si>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</si>
  <si>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</si>
  <si>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</si>
  <si>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</si>
  <si>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</si>
  <si>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</si>
  <si>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</si>
  <si>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</si>
  <si>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</si>
  <si>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</si>
  <si>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</si>
  <si>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</si>
  <si>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</si>
  <si>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</si>
  <si>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</si>
  <si>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</si>
  <si>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</si>
  <si>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</si>
  <si>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</si>
  <si>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</si>
  <si>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</si>
  <si>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</si>
  <si>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</si>
  <si>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</si>
  <si>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</si>
  <si>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</si>
  <si>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</si>
  <si>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</si>
  <si>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</si>
  <si>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</si>
  <si>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</si>
  <si>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</si>
  <si>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</si>
  <si>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</si>
  <si>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</si>
  <si>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</si>
  <si>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</si>
  <si>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</si>
  <si>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</si>
  <si>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</si>
  <si>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</si>
  <si>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</si>
  <si>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</si>
  <si>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</si>
  <si>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</si>
  <si>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</si>
  <si>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</si>
  <si>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</si>
  <si>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</si>
  <si>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</si>
  <si>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</si>
  <si>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</si>
  <si>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</si>
  <si>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</si>
  <si>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</si>
  <si>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</si>
  <si>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</si>
  <si>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</si>
  <si>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</si>
  <si>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</si>
  <si>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</si>
  <si>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</si>
  <si>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</si>
  <si>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</si>
  <si>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</si>
  <si>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</si>
  <si>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</si>
  <si>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</si>
  <si>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</si>
  <si>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</si>
  <si>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</si>
  <si>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</si>
  <si>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</si>
  <si>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</si>
  <si>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</si>
  <si>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</si>
  <si>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</si>
  <si>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</si>
  <si>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</si>
  <si>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</si>
  <si>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</si>
  <si>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</si>
  <si>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</si>
  <si>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</si>
  <si>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</si>
  <si>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</si>
  <si>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</si>
  <si>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</si>
  <si>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</si>
  <si>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</si>
  <si>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</si>
  <si>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</si>
  <si>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</si>
  <si>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</si>
  <si>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</si>
  <si>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</si>
  <si>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</si>
  <si>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</si>
  <si>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</si>
  <si>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</si>
  <si>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</si>
  <si>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</si>
  <si>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</si>
  <si>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</si>
  <si>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</si>
  <si>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</si>
  <si>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</si>
  <si>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</si>
  <si>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</si>
  <si>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</si>
  <si>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</si>
  <si>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</si>
  <si>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</si>
  <si>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</si>
  <si>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</si>
  <si>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</si>
  <si>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</si>
  <si>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</si>
  <si>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</si>
  <si>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</si>
  <si>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</si>
  <si>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</si>
  <si>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</si>
  <si>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</si>
  <si>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</si>
  <si>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</si>
  <si>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</si>
  <si>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</si>
  <si>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</si>
  <si>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</si>
  <si>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</si>
  <si>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</si>
  <si>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</si>
  <si>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</si>
  <si>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</si>
  <si>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</si>
  <si>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</si>
  <si>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</si>
  <si>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</si>
  <si>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</si>
  <si>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</si>
  <si>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</si>
  <si>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</si>
  <si>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</si>
  <si>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</si>
  <si>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</si>
  <si>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</si>
  <si>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</si>
  <si>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</si>
  <si>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</si>
  <si>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</si>
  <si>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</si>
  <si>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</si>
  <si>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</si>
  <si>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</si>
  <si>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</si>
  <si>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</si>
  <si>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</si>
  <si>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</si>
  <si>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</si>
  <si>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</si>
  <si>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</si>
  <si>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</si>
  <si>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</si>
  <si>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</si>
  <si>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</si>
  <si>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</si>
  <si>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</si>
  <si>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</si>
  <si>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</si>
  <si>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</si>
  <si>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</si>
  <si>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</si>
  <si>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</si>
  <si>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</si>
  <si>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</si>
  <si>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</si>
  <si>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</si>
  <si>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</si>
  <si>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</si>
  <si>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</si>
  <si>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</si>
  <si>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</si>
  <si>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</si>
  <si>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</si>
  <si>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</si>
  <si>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</si>
  <si>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</si>
  <si>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</si>
  <si>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</si>
  <si>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</si>
  <si>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</si>
  <si>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</si>
  <si>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</si>
  <si>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</si>
  <si>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</si>
  <si>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</si>
  <si>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</si>
  <si>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</si>
  <si>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</si>
  <si>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</si>
  <si>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</si>
  <si>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</si>
  <si>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</si>
  <si>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</si>
  <si>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</si>
  <si>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</si>
  <si>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</si>
  <si>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</si>
  <si>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</si>
  <si>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</si>
  <si>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</si>
  <si>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</si>
  <si>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</si>
  <si>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</si>
  <si>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</si>
  <si>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</si>
  <si>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</si>
  <si>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</si>
  <si>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</si>
  <si>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</si>
  <si>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</si>
  <si>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</si>
  <si>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</si>
  <si>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</si>
  <si>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</si>
  <si>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</si>
  <si>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</si>
  <si>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</si>
  <si>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</si>
  <si>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</si>
  <si>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</si>
  <si>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</si>
  <si>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</si>
  <si>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</si>
  <si>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</si>
  <si>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</si>
  <si>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</si>
  <si>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</si>
  <si>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</si>
  <si>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</si>
  <si>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</si>
  <si>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</si>
  <si>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</si>
  <si>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</si>
  <si>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</si>
  <si>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</si>
  <si>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</si>
  <si>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</si>
  <si>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</si>
  <si>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</si>
  <si>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</si>
  <si>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</si>
  <si>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</si>
  <si>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</si>
  <si>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</si>
  <si>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</si>
  <si>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</si>
  <si>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</si>
  <si>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</si>
  <si>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</si>
  <si>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</si>
  <si>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</si>
  <si>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</si>
  <si>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</si>
  <si>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</si>
  <si>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</si>
  <si>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</si>
  <si>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</si>
  <si>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</si>
  <si>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</si>
  <si>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</si>
  <si>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</si>
  <si>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</si>
  <si>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</si>
  <si>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</si>
  <si>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</si>
  <si>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</si>
  <si>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</si>
  <si>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</si>
  <si>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</si>
  <si>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</si>
  <si>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</si>
  <si>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</si>
  <si>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</si>
  <si>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</si>
  <si>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</si>
  <si>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</si>
  <si>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</si>
  <si>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</si>
  <si>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</si>
  <si>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</si>
  <si>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</si>
  <si>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</si>
  <si>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</si>
  <si>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</si>
  <si>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</si>
  <si>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</si>
  <si>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</si>
  <si>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</si>
  <si>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</si>
  <si>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</si>
  <si>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</si>
  <si>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</si>
  <si>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</si>
  <si>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</si>
  <si>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</si>
  <si>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</si>
  <si>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</si>
  <si>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</si>
  <si>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</si>
  <si>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</si>
  <si>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</si>
  <si>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</si>
  <si>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</si>
  <si>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</si>
  <si>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</si>
  <si>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</si>
  <si>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</si>
  <si>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</si>
  <si>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</si>
  <si>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</si>
  <si>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</si>
  <si>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</si>
  <si>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</si>
  <si>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</si>
  <si>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</si>
  <si>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</si>
  <si>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</si>
  <si>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</si>
  <si>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</si>
  <si>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</si>
  <si>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</si>
  <si>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</si>
  <si>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</si>
  <si>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</si>
  <si>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</si>
  <si>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</si>
  <si>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</si>
  <si>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</si>
  <si>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</si>
  <si>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</si>
  <si>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</si>
  <si>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</si>
  <si>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</si>
  <si>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</si>
  <si>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</si>
  <si>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</si>
  <si>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</si>
  <si>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</si>
  <si>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</si>
  <si>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</si>
  <si>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</si>
  <si>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</si>
  <si>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</si>
  <si>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</si>
  <si>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</si>
  <si>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</si>
  <si>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</si>
  <si>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</si>
  <si>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</si>
  <si>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</si>
  <si>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</si>
  <si>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</si>
  <si>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</si>
  <si>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</si>
  <si>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</si>
  <si>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</si>
  <si>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</si>
  <si>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</si>
  <si>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</si>
  <si>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</si>
  <si>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</si>
  <si>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</si>
  <si>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</si>
  <si>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</si>
  <si>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</si>
  <si>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</si>
  <si>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</si>
  <si>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</si>
  <si>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</si>
  <si>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</si>
  <si>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</si>
  <si>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</si>
  <si>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</si>
  <si>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</si>
  <si>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</si>
  <si>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</si>
  <si>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</si>
  <si>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</si>
  <si>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</si>
  <si>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</si>
  <si>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</si>
  <si>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</si>
  <si>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</si>
  <si>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</si>
  <si>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</si>
  <si>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</si>
  <si>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</si>
  <si>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</si>
  <si>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</si>
  <si>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</si>
  <si>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</si>
  <si>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</si>
  <si>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</si>
  <si>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</si>
  <si>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</si>
  <si>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</si>
  <si>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</si>
  <si>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</si>
  <si>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</si>
  <si>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</si>
  <si>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</si>
  <si>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</si>
  <si>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</si>
  <si>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</si>
  <si>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</si>
  <si>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</si>
  <si>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</si>
  <si>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</si>
  <si>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</si>
  <si>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</si>
  <si>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</si>
  <si>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</si>
  <si>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</si>
  <si>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</si>
  <si>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</si>
  <si>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</si>
  <si>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</si>
  <si>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</si>
  <si>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</si>
  <si>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</si>
  <si>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</si>
  <si>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</si>
  <si>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</si>
  <si>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</si>
  <si>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</si>
  <si>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</si>
  <si>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</si>
  <si>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</si>
  <si>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</si>
  <si>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</si>
  <si>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</si>
  <si>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</si>
  <si>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</si>
  <si>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</si>
  <si>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</si>
  <si>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</si>
  <si>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</si>
  <si>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</si>
  <si>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</si>
  <si>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</si>
  <si>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</si>
  <si>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</si>
  <si>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</si>
  <si>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</si>
  <si>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</si>
  <si>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</si>
  <si>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</si>
  <si>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</si>
  <si>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</si>
  <si>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</si>
  <si>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</si>
  <si>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</si>
  <si>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</si>
  <si>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</si>
  <si>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</si>
  <si>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</si>
  <si>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</si>
  <si>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</si>
  <si>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</si>
  <si>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</si>
  <si>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</si>
  <si>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</si>
  <si>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</si>
  <si>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</si>
  <si>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</si>
  <si>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</si>
  <si>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</si>
  <si>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</si>
  <si>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</si>
  <si>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</si>
  <si>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</si>
  <si>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</si>
  <si>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</si>
  <si>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</si>
  <si>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</si>
  <si>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</si>
  <si>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</si>
  <si>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</si>
  <si>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</si>
  <si>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</si>
  <si>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</si>
  <si>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</si>
  <si>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</si>
  <si>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</si>
  <si>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</si>
  <si>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</si>
  <si>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</si>
  <si>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</si>
  <si>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</si>
  <si>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</si>
  <si>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</si>
  <si>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</si>
  <si>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</si>
  <si>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</si>
  <si>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</si>
  <si>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</si>
  <si>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</si>
  <si>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</si>
  <si>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</si>
  <si>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</si>
  <si>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</si>
  <si>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</si>
  <si>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</si>
  <si>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</si>
  <si>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</si>
  <si>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</si>
  <si>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</si>
  <si>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</si>
  <si>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</si>
  <si>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</si>
  <si>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</si>
  <si>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</si>
  <si>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</si>
  <si>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</si>
  <si>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</si>
  <si>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</si>
  <si>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</si>
  <si>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</si>
  <si>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</si>
  <si>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</si>
  <si>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</si>
  <si>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</si>
  <si>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</si>
  <si>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</si>
  <si>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</si>
  <si>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</si>
  <si>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</si>
  <si>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</si>
  <si>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</si>
  <si>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</si>
  <si>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</si>
  <si>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</si>
  <si>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</si>
  <si>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</si>
  <si>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</si>
  <si>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</si>
  <si>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</si>
  <si>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</si>
  <si>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</si>
  <si>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</si>
  <si>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</si>
  <si>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</si>
  <si>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</si>
  <si>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</si>
  <si>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</si>
  <si>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</si>
  <si>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</si>
  <si>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</si>
  <si>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</si>
  <si>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</si>
  <si>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</si>
  <si>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</si>
  <si>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</si>
  <si>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</si>
  <si>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</si>
  <si>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</si>
  <si>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</si>
  <si>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</si>
  <si>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</si>
  <si>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</si>
  <si>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</si>
  <si>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</si>
  <si>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</si>
  <si>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</si>
  <si>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</si>
  <si>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</si>
  <si>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</si>
  <si>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</si>
  <si>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</si>
  <si>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</si>
  <si>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</si>
  <si>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</si>
  <si>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</si>
  <si>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</si>
  <si>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</si>
  <si>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</si>
  <si>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</si>
  <si>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</si>
  <si>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</si>
  <si>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</si>
  <si>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</si>
  <si>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</si>
  <si>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</si>
  <si>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</si>
  <si>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</si>
  <si>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</si>
  <si>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</si>
  <si>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</si>
  <si>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</si>
  <si>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</si>
  <si>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</si>
  <si>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</si>
  <si>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</si>
  <si>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</si>
  <si>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</si>
  <si>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</si>
  <si>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</si>
  <si>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</si>
  <si>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</si>
  <si>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</si>
  <si>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</si>
  <si>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</si>
  <si>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</si>
  <si>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</si>
  <si>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</si>
  <si>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</si>
  <si>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</si>
  <si>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</si>
  <si>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</si>
  <si>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</si>
  <si>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</si>
  <si>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</si>
  <si>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</si>
  <si>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</si>
  <si>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</si>
  <si>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</si>
  <si>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</si>
  <si>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</si>
  <si>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</si>
  <si>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</si>
  <si>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</si>
  <si>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</si>
  <si>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</si>
  <si>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</si>
  <si>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</si>
  <si>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</si>
  <si>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</si>
  <si>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</si>
  <si>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</si>
  <si>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</si>
  <si>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</si>
  <si>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</si>
  <si>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</si>
  <si>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</si>
  <si>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</si>
  <si>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</si>
  <si>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</si>
  <si>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</si>
  <si>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</si>
  <si>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</si>
  <si>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</si>
  <si>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</si>
  <si>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</si>
  <si>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</si>
  <si>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</si>
  <si>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</si>
  <si>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</si>
  <si>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</si>
  <si>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</si>
  <si>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</si>
  <si>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</si>
  <si>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</si>
  <si>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</si>
  <si>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</si>
  <si>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</si>
  <si>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</si>
  <si>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</si>
  <si>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</si>
  <si>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</si>
  <si>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</si>
  <si>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</si>
  <si>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</si>
  <si>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</si>
  <si>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</si>
  <si>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</si>
  <si>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</si>
  <si>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</si>
  <si>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</si>
  <si>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</si>
  <si>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</si>
  <si>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</si>
  <si>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</si>
  <si>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</si>
  <si>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</si>
  <si>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</si>
  <si>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</si>
  <si>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</si>
  <si>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</si>
  <si>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</si>
  <si>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</si>
  <si>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</si>
  <si>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</si>
  <si>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</si>
  <si>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</si>
  <si>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</si>
  <si>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</si>
  <si>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</si>
  <si>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</si>
  <si>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</si>
  <si>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</si>
  <si>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</si>
  <si>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</si>
  <si>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</si>
  <si>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</si>
  <si>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</si>
  <si>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</si>
  <si>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</si>
  <si>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</si>
  <si>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</si>
  <si>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</si>
  <si>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</si>
  <si>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</si>
  <si>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</si>
  <si>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</si>
  <si>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</si>
  <si>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</si>
  <si>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</si>
  <si>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</si>
  <si>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</si>
  <si>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</si>
  <si>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</si>
  <si>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</si>
  <si>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</si>
  <si>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</si>
  <si>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</si>
  <si>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</si>
  <si>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</si>
  <si>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</si>
  <si>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</si>
  <si>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</si>
  <si>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</si>
  <si>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</si>
  <si>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</si>
  <si>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</si>
  <si>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</si>
  <si>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</si>
  <si>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</si>
  <si>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</si>
  <si>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</si>
  <si>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</si>
  <si>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</si>
  <si>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</si>
  <si>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</si>
  <si>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</si>
  <si>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</si>
  <si>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</si>
  <si>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</si>
  <si>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</si>
  <si>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</si>
  <si>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</si>
  <si>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</si>
  <si>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</si>
  <si>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</si>
  <si>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</si>
  <si>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</si>
  <si>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</si>
  <si>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</si>
  <si>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</si>
  <si>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</si>
  <si>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</si>
  <si>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</si>
  <si>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</si>
  <si>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</si>
  <si>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</si>
  <si>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</si>
  <si>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</si>
  <si>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</si>
  <si>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</si>
  <si>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</si>
  <si>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</si>
  <si>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</si>
  <si>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</si>
  <si>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</si>
  <si>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</si>
  <si>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</si>
  <si>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</si>
  <si>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</si>
  <si>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</si>
  <si>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</si>
  <si>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</si>
  <si>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</si>
  <si>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</si>
  <si>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</si>
  <si>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</si>
  <si>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</si>
  <si>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</si>
  <si>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</si>
  <si>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</si>
  <si>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</si>
  <si>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</si>
  <si>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</si>
  <si>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</si>
  <si>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</si>
  <si>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</si>
  <si>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</si>
  <si>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</si>
  <si>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</si>
  <si>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</si>
  <si>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</si>
  <si>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</si>
  <si>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</si>
  <si>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</si>
  <si>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</si>
  <si>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</si>
  <si>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</si>
  <si>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</si>
  <si>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</si>
  <si>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</si>
  <si>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</si>
  <si>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</si>
  <si>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</si>
  <si>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</si>
  <si>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</si>
  <si>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</si>
  <si>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</si>
  <si>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</si>
  <si>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</si>
  <si>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</si>
  <si>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</si>
  <si>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</si>
  <si>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</si>
  <si>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</si>
  <si>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</si>
  <si>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</si>
  <si>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</si>
  <si>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</si>
  <si>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</si>
  <si>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</si>
  <si>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</si>
  <si>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</si>
  <si>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</si>
  <si>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</si>
  <si>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</si>
  <si>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</si>
  <si>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</si>
  <si>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</si>
  <si>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</si>
  <si>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</si>
  <si>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</si>
  <si>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</si>
  <si>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</si>
  <si>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</si>
  <si>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</si>
  <si>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</si>
  <si>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</si>
  <si>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</si>
  <si>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</si>
  <si>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</si>
  <si>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</si>
  <si>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</si>
  <si>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</si>
  <si>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</si>
  <si>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</si>
  <si>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</si>
  <si>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</si>
  <si>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</si>
  <si>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</si>
  <si>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</si>
  <si>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</si>
  <si>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</si>
  <si>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</si>
  <si>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</si>
  <si>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</si>
  <si>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</si>
  <si>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</si>
  <si>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</si>
  <si>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</si>
  <si>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</si>
  <si>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</si>
  <si>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</si>
  <si>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</si>
  <si>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</si>
  <si>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</si>
  <si>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</si>
  <si>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</si>
  <si>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</si>
  <si>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</si>
  <si>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</si>
  <si>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</si>
  <si>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</si>
  <si>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</si>
  <si>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</si>
  <si>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</si>
  <si>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</si>
  <si>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</si>
  <si>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</si>
  <si>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</si>
  <si>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</si>
  <si>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</si>
  <si>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</si>
  <si>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</si>
  <si>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</si>
  <si>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</si>
  <si>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</si>
  <si>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</si>
  <si>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</si>
  <si>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</si>
  <si>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</si>
  <si>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</si>
  <si>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</si>
  <si>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</si>
  <si>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</si>
  <si>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</si>
  <si>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</si>
  <si>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</si>
  <si>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</si>
  <si>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</si>
  <si>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</si>
  <si>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</si>
  <si>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</si>
  <si>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</si>
  <si>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</si>
  <si>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</si>
  <si>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</si>
  <si>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</si>
  <si>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</si>
  <si>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</si>
  <si>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</si>
  <si>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</si>
  <si>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</si>
  <si>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</si>
  <si>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</si>
  <si>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</si>
  <si>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</si>
  <si>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</si>
  <si>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</si>
  <si>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</si>
  <si>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</si>
  <si>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</si>
  <si>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</si>
  <si>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</si>
  <si>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</si>
  <si>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</si>
  <si>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</si>
  <si>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</si>
  <si>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</si>
  <si>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</si>
  <si>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</si>
  <si>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</si>
  <si>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</si>
  <si>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</si>
  <si>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</si>
  <si>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</si>
  <si>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</si>
  <si>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</si>
  <si>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</si>
  <si>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</si>
  <si>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</si>
  <si>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</si>
  <si>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</si>
  <si>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</si>
  <si>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</si>
  <si>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</si>
  <si>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</si>
  <si>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</si>
  <si>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</si>
  <si>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</si>
  <si>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</si>
  <si>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</si>
  <si>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</si>
  <si>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</si>
  <si>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</si>
  <si>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</si>
  <si>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</si>
  <si>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</si>
  <si>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</si>
  <si>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</si>
  <si>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</si>
  <si>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</si>
  <si>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</si>
  <si>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</si>
  <si>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</si>
  <si>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</si>
  <si>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</si>
  <si>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</si>
  <si>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</si>
  <si>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</si>
  <si>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</si>
  <si>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</si>
  <si>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</si>
  <si>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</si>
  <si>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</si>
  <si>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</si>
  <si>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</si>
  <si>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</si>
  <si>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</si>
  <si>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</si>
  <si>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</si>
  <si>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</si>
  <si>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</si>
  <si>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</si>
  <si>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</si>
  <si>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</si>
  <si>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</si>
  <si>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</si>
  <si>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</si>
  <si>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</si>
  <si>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</si>
  <si>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</si>
  <si>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</si>
  <si>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</si>
  <si>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</si>
  <si>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</si>
  <si>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</si>
  <si>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</si>
  <si>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</si>
  <si>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</si>
  <si>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</si>
  <si>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</si>
  <si>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</si>
  <si>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</si>
  <si>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</si>
  <si>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</si>
  <si>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</si>
  <si>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</si>
  <si>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</si>
  <si>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</si>
  <si>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</si>
  <si>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</si>
  <si>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</si>
  <si>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</si>
  <si>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</si>
  <si>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</si>
  <si>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</si>
  <si>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</si>
  <si>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</si>
  <si>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</si>
  <si>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</si>
  <si>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</si>
  <si>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</si>
  <si>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</si>
  <si>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</si>
  <si>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</si>
  <si>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</si>
  <si>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</si>
  <si>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</si>
  <si>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</si>
  <si>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</si>
  <si>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</si>
  <si>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</si>
  <si>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</si>
  <si>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</si>
  <si>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</si>
  <si>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</si>
  <si>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</si>
  <si>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</si>
  <si>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</si>
  <si>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</si>
  <si>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</si>
  <si>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</si>
  <si>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</si>
  <si>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</si>
  <si>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</si>
  <si>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</si>
  <si>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</si>
  <si>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</si>
  <si>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</si>
  <si>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</si>
  <si>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</si>
  <si>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</si>
  <si>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</si>
  <si>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</si>
  <si>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</si>
  <si>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</si>
  <si>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</si>
  <si>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</si>
  <si>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</si>
  <si>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</si>
  <si>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</si>
  <si>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</si>
  <si>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</si>
  <si>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</si>
  <si>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</si>
  <si>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</si>
  <si>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</si>
  <si>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</si>
  <si>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</si>
  <si>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</si>
  <si>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</si>
  <si>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</si>
  <si>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</si>
  <si>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</si>
  <si>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</si>
  <si>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</si>
  <si>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</si>
  <si>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</si>
  <si>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</si>
  <si>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</si>
  <si>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</si>
  <si>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</si>
  <si>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</si>
  <si>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</si>
  <si>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</si>
  <si>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</si>
  <si>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</si>
  <si>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</si>
  <si>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</si>
  <si>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</si>
  <si>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</si>
  <si>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</si>
  <si>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</si>
  <si>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</si>
  <si>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</si>
  <si>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</si>
  <si>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</si>
  <si>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</si>
  <si>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</si>
  <si>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</si>
  <si>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</si>
  <si>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</si>
  <si>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</si>
  <si>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</si>
  <si>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</si>
  <si>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</si>
  <si>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</si>
  <si>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</si>
  <si>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</si>
  <si>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</si>
  <si>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</si>
  <si>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</si>
  <si>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</si>
  <si>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</si>
  <si>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</si>
  <si>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</si>
  <si>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</si>
  <si>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</si>
  <si>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</si>
  <si>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</si>
  <si>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</si>
  <si>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</si>
  <si>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</si>
  <si>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</si>
  <si>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</si>
  <si>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</si>
  <si>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</si>
  <si>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</si>
  <si>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</si>
  <si>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</si>
  <si>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</si>
  <si>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</si>
  <si>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</si>
  <si>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</si>
  <si>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</si>
  <si>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</si>
  <si>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</si>
  <si>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</si>
  <si>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</si>
  <si>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</si>
  <si>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</si>
  <si>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</si>
  <si>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</si>
  <si>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</si>
  <si>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</si>
  <si>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</si>
  <si>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</si>
  <si>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</si>
  <si>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</si>
  <si>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</si>
  <si>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</si>
  <si>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</si>
  <si>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</si>
  <si>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</si>
  <si>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</si>
  <si>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</si>
  <si>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</si>
  <si>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</si>
  <si>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</si>
  <si>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</si>
  <si>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</si>
  <si>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</si>
  <si>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</si>
  <si>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</si>
  <si>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</si>
  <si>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</si>
  <si>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</si>
  <si>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</si>
  <si>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</si>
  <si>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</si>
  <si>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</si>
  <si>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</si>
  <si>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</si>
  <si>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</si>
  <si>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</si>
  <si>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</si>
  <si>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</si>
  <si>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</si>
  <si>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</si>
  <si>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</si>
  <si>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</si>
  <si>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</si>
  <si>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</si>
  <si>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</si>
  <si>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</si>
  <si>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</si>
  <si>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</si>
  <si>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</si>
  <si>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</si>
  <si>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</si>
  <si>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</si>
  <si>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</si>
  <si>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</si>
  <si>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</si>
  <si>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</si>
  <si>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</si>
  <si>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</si>
  <si>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</si>
  <si>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</si>
  <si>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</si>
  <si>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</si>
  <si>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</si>
  <si>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</si>
  <si>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</si>
  <si>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</si>
  <si>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</si>
  <si>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</si>
  <si>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</si>
  <si>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</si>
  <si>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</si>
  <si>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</si>
  <si>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</si>
  <si>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</si>
  <si>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</si>
  <si>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</si>
  <si>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</si>
  <si>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</si>
  <si>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</si>
  <si>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</si>
  <si>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</si>
  <si>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</si>
  <si>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</si>
  <si>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</si>
  <si>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</si>
  <si>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</si>
  <si>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</si>
  <si>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</si>
  <si>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</si>
  <si>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</si>
  <si>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</si>
  <si>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</si>
  <si>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</si>
  <si>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</si>
  <si>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</si>
  <si>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</si>
  <si>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</si>
  <si>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</si>
  <si>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</si>
  <si>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</si>
  <si>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</si>
  <si>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</si>
  <si>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</si>
  <si>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</si>
  <si>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</si>
  <si>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</si>
  <si>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</si>
  <si>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</si>
  <si>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</si>
  <si>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</si>
  <si>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</si>
  <si>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</si>
  <si>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</si>
  <si>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</si>
  <si>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</si>
  <si>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</si>
  <si>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</si>
  <si>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</si>
  <si>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</si>
  <si>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</si>
  <si>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</si>
  <si>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</si>
  <si>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</si>
  <si>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</si>
  <si>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</si>
  <si>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</si>
  <si>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</si>
  <si>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</si>
  <si>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</si>
  <si>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</si>
  <si>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</si>
  <si>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</si>
  <si>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</si>
  <si>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</si>
  <si>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</si>
  <si>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</si>
  <si>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</si>
  <si>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</si>
  <si>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</si>
  <si>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</si>
  <si>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</si>
  <si>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</si>
  <si>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</si>
  <si>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</si>
  <si>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</si>
  <si>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</si>
  <si>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</si>
  <si>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</si>
  <si>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</si>
  <si>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</si>
  <si>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</si>
  <si>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</si>
  <si>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</si>
  <si>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</si>
  <si>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</si>
  <si>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</si>
  <si>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</si>
  <si>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</si>
  <si>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</si>
  <si>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</si>
  <si>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</si>
  <si>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</si>
  <si>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</si>
  <si>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</si>
  <si>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</si>
  <si>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</si>
  <si>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</si>
  <si>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</si>
  <si>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</si>
  <si>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</si>
  <si>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</si>
  <si>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</si>
  <si>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</si>
  <si>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</si>
  <si>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</si>
  <si>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</si>
  <si>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</si>
  <si>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</si>
  <si>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</si>
  <si>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</si>
  <si>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</si>
  <si>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</si>
  <si>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</si>
  <si>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</si>
  <si>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</si>
  <si>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</si>
  <si>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</si>
  <si>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</si>
  <si>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</si>
  <si>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</si>
  <si>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</si>
  <si>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</si>
  <si>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</si>
  <si>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</si>
  <si>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</si>
  <si>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</si>
  <si>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</si>
  <si>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</si>
  <si>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</si>
  <si>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</si>
  <si>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</si>
  <si>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</si>
  <si>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</si>
  <si>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</si>
  <si>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</si>
  <si>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</si>
  <si>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</si>
  <si>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</si>
  <si>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</si>
  <si>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</si>
  <si>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</si>
  <si>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</si>
  <si>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</si>
  <si>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</si>
  <si>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</si>
  <si>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</si>
  <si>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</si>
  <si>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</si>
  <si>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</si>
  <si>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</si>
  <si>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</si>
  <si>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</si>
  <si>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</si>
  <si>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</si>
  <si>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</si>
  <si>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</si>
  <si>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</si>
  <si>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</si>
  <si>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</si>
  <si>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</si>
  <si>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</si>
  <si>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</si>
  <si>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</si>
  <si>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</si>
  <si>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</si>
  <si>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</si>
  <si>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</si>
  <si>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</si>
  <si>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</si>
  <si>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</si>
  <si>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</si>
  <si>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</si>
  <si>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</si>
  <si>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</si>
  <si>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</si>
  <si>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</si>
  <si>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</si>
  <si>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</si>
  <si>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</si>
  <si>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</si>
  <si>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</si>
  <si>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</si>
  <si>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</si>
  <si>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</si>
  <si>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</si>
  <si>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</si>
  <si>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</si>
  <si>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</si>
  <si>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</si>
  <si>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</si>
  <si>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</si>
  <si>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</si>
  <si>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</si>
  <si>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</si>
  <si>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</si>
  <si>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</si>
  <si>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</si>
  <si>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</si>
  <si>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</si>
  <si>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</si>
  <si>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</si>
  <si>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</si>
  <si>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</si>
  <si>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</si>
  <si>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</si>
  <si>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</si>
  <si>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</si>
  <si>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</si>
  <si>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</si>
  <si>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</si>
  <si>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</si>
  <si>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</si>
  <si>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</si>
  <si>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</si>
  <si>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</si>
  <si>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</si>
  <si>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</si>
  <si>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</si>
  <si>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</si>
  <si>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</si>
  <si>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</si>
  <si>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</si>
  <si>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</si>
  <si>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</si>
  <si>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</si>
  <si>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</si>
  <si>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</si>
  <si>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</si>
  <si>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</si>
  <si>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</si>
  <si>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</si>
  <si>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</si>
  <si>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</si>
  <si>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</si>
  <si>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</si>
  <si>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</si>
  <si>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</si>
  <si>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</si>
  <si>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</si>
  <si>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</si>
  <si>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</si>
  <si>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</si>
  <si>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</si>
  <si>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</si>
  <si>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</si>
  <si>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</si>
  <si>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</si>
  <si>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</si>
  <si>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</si>
  <si>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</si>
  <si>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</si>
  <si>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</si>
  <si>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</si>
  <si>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</si>
  <si>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</si>
  <si>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</si>
  <si>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</si>
  <si>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</si>
  <si>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</si>
  <si>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</si>
  <si>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</si>
  <si>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</si>
  <si>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</si>
  <si>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</si>
  <si>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</si>
  <si>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</si>
  <si>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</si>
  <si>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</si>
  <si>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</si>
  <si>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</si>
  <si>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</si>
  <si>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</si>
  <si>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</si>
  <si>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</si>
  <si>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</si>
  <si>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</si>
  <si>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</si>
  <si>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</si>
  <si>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</si>
  <si>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</si>
  <si>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</si>
  <si>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</si>
  <si>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</si>
  <si>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</si>
  <si>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</si>
  <si>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</si>
  <si>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</si>
  <si>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</si>
  <si>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</si>
  <si>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</si>
  <si>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</si>
  <si>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</si>
  <si>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</si>
  <si>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</si>
  <si>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</si>
  <si>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</si>
  <si>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</si>
  <si>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</si>
  <si>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</si>
  <si>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</si>
  <si>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</si>
  <si>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</si>
  <si>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</si>
  <si>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</si>
  <si>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</si>
  <si>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</si>
  <si>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</si>
  <si>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</si>
  <si>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</si>
  <si>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</si>
  <si>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</si>
  <si>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</si>
  <si>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</si>
  <si>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</si>
  <si>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</si>
  <si>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</si>
  <si>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</si>
  <si>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</si>
  <si>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</si>
  <si>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</si>
  <si>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</si>
  <si>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</si>
  <si>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</si>
  <si>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</si>
  <si>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</si>
  <si>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</si>
  <si>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</si>
  <si>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</si>
  <si>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</si>
  <si>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</si>
  <si>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</si>
  <si>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</si>
  <si>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</si>
  <si>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</si>
  <si>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</si>
  <si>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</si>
  <si>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</si>
  <si>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</si>
  <si>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</si>
  <si>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</si>
  <si>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</si>
  <si>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</si>
  <si>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</si>
  <si>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</si>
  <si>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</si>
  <si>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</si>
  <si>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</si>
  <si>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</si>
  <si>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</si>
  <si>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</si>
  <si>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</si>
  <si>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</si>
  <si>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</si>
  <si>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</si>
  <si>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</si>
  <si>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</si>
  <si>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</si>
  <si>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</si>
  <si>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</si>
  <si>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</si>
  <si>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</si>
  <si>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</si>
  <si>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</si>
  <si>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</si>
  <si>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</si>
  <si>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</si>
  <si>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</si>
  <si>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</si>
  <si>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</si>
  <si>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</si>
  <si>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</si>
  <si>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</si>
  <si>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</si>
  <si>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</si>
  <si>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</si>
  <si>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</si>
  <si>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</si>
  <si>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</si>
  <si>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</si>
  <si>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</si>
  <si>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</si>
  <si>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</si>
  <si>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</si>
  <si>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</si>
  <si>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</si>
  <si>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</si>
  <si>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</si>
  <si>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</si>
  <si>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</si>
  <si>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</si>
  <si>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</si>
  <si>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</si>
  <si>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</si>
  <si>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</si>
  <si>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</si>
  <si>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</si>
  <si>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</si>
  <si>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</si>
  <si>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</si>
  <si>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</si>
  <si>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</si>
  <si>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</si>
  <si>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</si>
  <si>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</si>
  <si>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</si>
  <si>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</si>
  <si>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</si>
  <si>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</si>
  <si>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</si>
  <si>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</si>
  <si>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</si>
  <si>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</si>
  <si>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</si>
  <si>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</si>
  <si>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</si>
  <si>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</si>
  <si>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</si>
  <si>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</si>
  <si>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</si>
  <si>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</si>
  <si>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</si>
  <si>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</si>
  <si>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</si>
  <si>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</si>
  <si>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</si>
  <si>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</si>
  <si>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</si>
  <si>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</si>
  <si>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</si>
  <si>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</si>
  <si>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</si>
  <si>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</si>
  <si>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</si>
  <si>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</si>
  <si>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</si>
  <si>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</si>
  <si>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</si>
  <si>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</si>
  <si>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</si>
  <si>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</si>
  <si>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</si>
  <si>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</si>
  <si>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</si>
  <si>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</si>
  <si>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</si>
  <si>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</si>
  <si>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</si>
  <si>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</si>
  <si>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</si>
  <si>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</si>
  <si>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</si>
  <si>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</si>
  <si>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</si>
  <si>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</si>
  <si>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</si>
  <si>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</si>
  <si>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</si>
  <si>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</si>
  <si>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</si>
  <si>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</si>
  <si>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</si>
  <si>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</si>
  <si>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</si>
  <si>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</si>
  <si>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</si>
  <si>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</si>
  <si>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</si>
  <si>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</si>
  <si>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</si>
  <si>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</si>
  <si>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</si>
  <si>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</si>
  <si>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</si>
  <si>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</si>
  <si>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</si>
  <si>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</si>
  <si>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</si>
  <si>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</si>
  <si>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</si>
  <si>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</si>
  <si>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</si>
  <si>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</si>
  <si>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</si>
  <si>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</si>
  <si>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</si>
  <si>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</si>
  <si>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</si>
  <si>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</si>
  <si>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</si>
  <si>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</si>
  <si>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</si>
  <si>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</si>
  <si>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</si>
  <si>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</si>
  <si>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</si>
  <si>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</si>
  <si>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</si>
  <si>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</si>
  <si>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</si>
  <si>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</si>
  <si>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</si>
  <si>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</si>
  <si>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</si>
  <si>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</si>
  <si>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</si>
  <si>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</si>
  <si>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</si>
  <si>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</si>
  <si>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</si>
  <si>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</si>
  <si>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</si>
  <si>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</si>
  <si>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</si>
  <si>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</si>
  <si>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</si>
  <si>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</si>
  <si>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</si>
  <si>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</si>
  <si>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</si>
  <si>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</si>
  <si>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</si>
  <si>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</si>
  <si>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</si>
  <si>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</si>
  <si>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</si>
  <si>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</si>
  <si>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</si>
  <si>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</si>
  <si>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</si>
  <si>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</si>
  <si>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</si>
  <si>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</si>
  <si>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</si>
  <si>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</si>
  <si>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</si>
  <si>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</si>
  <si>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</si>
  <si>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</si>
  <si>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</si>
  <si>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</si>
  <si>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</si>
  <si>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</si>
  <si>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</si>
  <si>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</si>
  <si>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</si>
  <si>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</si>
  <si>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</si>
  <si>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</si>
  <si>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</si>
  <si>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</si>
  <si>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</si>
  <si>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</si>
  <si>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</si>
  <si>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</si>
  <si>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</si>
  <si>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</si>
  <si>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</si>
  <si>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</si>
  <si>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</si>
  <si>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</si>
  <si>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</si>
  <si>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</si>
  <si>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</si>
  <si>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</si>
  <si>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</si>
  <si>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</si>
  <si>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</si>
  <si>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</si>
  <si>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</si>
  <si>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</si>
  <si>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</si>
  <si>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</si>
  <si>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</si>
  <si>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</si>
  <si>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</si>
  <si>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</si>
  <si>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</si>
  <si>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</si>
  <si>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</si>
  <si>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</si>
  <si>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</si>
  <si>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</si>
  <si>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</si>
  <si>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</si>
  <si>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</si>
  <si>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</si>
  <si>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</si>
  <si>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</si>
  <si>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</si>
  <si>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</si>
  <si>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</si>
  <si>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</si>
  <si>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</si>
  <si>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</si>
  <si>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</si>
  <si>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</si>
  <si>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</si>
  <si>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</si>
  <si>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</si>
  <si>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</si>
  <si>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</si>
  <si>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</si>
  <si>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</si>
  <si>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</si>
  <si>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</si>
  <si>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</si>
  <si>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</si>
  <si>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</si>
  <si>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</si>
  <si>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</si>
  <si>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</si>
  <si>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</si>
  <si>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</si>
  <si>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</si>
  <si>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</si>
  <si>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</si>
  <si>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</si>
  <si>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</si>
  <si>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</si>
  <si>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</si>
  <si>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</si>
  <si>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</si>
  <si>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</si>
  <si>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</si>
  <si>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</si>
  <si>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</si>
  <si>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</si>
  <si>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</si>
  <si>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</si>
  <si>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</si>
  <si>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</si>
  <si>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</si>
  <si>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</si>
  <si>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</si>
  <si>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</si>
  <si>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</si>
  <si>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</si>
  <si>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</si>
  <si>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</si>
  <si>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</si>
  <si>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</si>
  <si>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</si>
  <si>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</si>
  <si>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</si>
  <si>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</si>
  <si>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</si>
  <si>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</si>
  <si>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</si>
  <si>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</si>
  <si>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</si>
  <si>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</si>
  <si>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</si>
  <si>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</si>
  <si>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</si>
  <si>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</si>
  <si>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</si>
  <si>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</si>
  <si>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</si>
  <si>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</si>
  <si>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</si>
  <si>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</si>
  <si>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</si>
  <si>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</si>
  <si>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</si>
  <si>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</si>
  <si>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</si>
  <si>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</si>
  <si>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</si>
  <si>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</si>
  <si>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</si>
  <si>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</si>
  <si>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</si>
  <si>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</si>
  <si>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</si>
  <si>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</si>
  <si>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</si>
  <si>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</si>
  <si>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</si>
  <si>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</si>
  <si>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</si>
  <si>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</si>
  <si>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</si>
  <si>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</si>
  <si>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</si>
  <si>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</si>
  <si>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</si>
  <si>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</si>
  <si>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</si>
  <si>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</si>
  <si>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</si>
  <si>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</si>
  <si>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</si>
  <si>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</si>
  <si>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</si>
  <si>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</si>
  <si>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</si>
  <si>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</si>
  <si>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</si>
  <si>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</si>
  <si>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</si>
  <si>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</si>
  <si>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</si>
  <si>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</si>
  <si>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</si>
  <si>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</si>
  <si>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</si>
  <si>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</si>
  <si>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</si>
  <si>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</si>
  <si>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</si>
  <si>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</si>
  <si>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</si>
  <si>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</si>
  <si>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</si>
  <si>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</si>
  <si>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</si>
  <si>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</si>
  <si>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</si>
  <si>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</si>
  <si>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</si>
  <si>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</si>
  <si>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</si>
  <si>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</si>
  <si>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</si>
  <si>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</si>
  <si>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</si>
  <si>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</si>
  <si>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</si>
  <si>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</si>
  <si>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</si>
  <si>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</si>
  <si>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</si>
  <si>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</si>
  <si>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</si>
  <si>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</si>
  <si>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</si>
  <si>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</si>
  <si>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</si>
  <si>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</si>
  <si>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</si>
  <si>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</si>
  <si>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</si>
  <si>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</si>
  <si>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</si>
  <si>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</si>
  <si>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</si>
  <si>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</si>
  <si>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</si>
  <si>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</si>
  <si>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</si>
  <si>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</si>
  <si>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</si>
  <si>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</si>
  <si>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</si>
  <si>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</si>
  <si>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</si>
  <si>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</si>
  <si>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</si>
  <si>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</si>
  <si>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</si>
  <si>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</si>
  <si>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</si>
  <si>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</si>
  <si>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</si>
  <si>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</si>
  <si>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</si>
  <si>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</si>
  <si>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</si>
  <si>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</si>
  <si>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</si>
  <si>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</si>
  <si>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</si>
  <si>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</si>
  <si>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</si>
  <si>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</si>
  <si>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</si>
  <si>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</si>
  <si>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</si>
  <si>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</si>
  <si>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</si>
  <si>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</si>
  <si>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</si>
  <si>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</si>
  <si>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</si>
  <si>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</si>
  <si>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</si>
  <si>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</si>
  <si>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</si>
  <si>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</si>
  <si>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</si>
  <si>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</si>
  <si>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</si>
  <si>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</si>
  <si>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</si>
  <si>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</si>
  <si>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</si>
  <si>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</si>
  <si>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</si>
  <si>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</si>
  <si>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</si>
  <si>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</si>
  <si>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</si>
  <si>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</si>
  <si>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</si>
  <si>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</si>
  <si>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</si>
  <si>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</si>
  <si>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</si>
  <si>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</si>
  <si>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</si>
  <si>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</si>
  <si>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</si>
  <si>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</si>
  <si>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</si>
  <si>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</si>
  <si>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</si>
  <si>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</si>
  <si>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</si>
  <si>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</si>
  <si>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</si>
  <si>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</si>
  <si>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</si>
  <si>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</si>
  <si>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</si>
  <si>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</si>
  <si>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</si>
  <si>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</si>
  <si>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</si>
  <si>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</si>
  <si>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</si>
  <si>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</si>
  <si>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</si>
  <si>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</si>
  <si>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</si>
  <si>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</si>
  <si>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</si>
  <si>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</si>
  <si>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</si>
  <si>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</si>
  <si>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</si>
  <si>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</si>
  <si>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</si>
  <si>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</si>
  <si>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</si>
  <si>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</si>
  <si>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</si>
  <si>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</si>
  <si>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</si>
  <si>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</si>
  <si>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</si>
  <si>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</si>
  <si>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</si>
  <si>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</si>
  <si>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</si>
  <si>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</si>
  <si>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</si>
  <si>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</si>
  <si>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</si>
  <si>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</si>
  <si>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</si>
  <si>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</si>
  <si>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</si>
  <si>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</si>
  <si>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</si>
  <si>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</si>
  <si>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</si>
  <si>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</si>
  <si>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</si>
  <si>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</si>
  <si>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</si>
  <si>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</si>
  <si>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</si>
  <si>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</si>
  <si>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</si>
  <si>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</si>
  <si>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</si>
  <si>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</si>
  <si>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</si>
  <si>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</si>
  <si>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</si>
  <si>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</si>
  <si>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</si>
  <si>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</si>
  <si>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</si>
  <si>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</si>
  <si>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</si>
  <si>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</si>
  <si>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</si>
  <si>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</si>
  <si>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</si>
  <si>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</si>
  <si>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</si>
  <si>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</si>
  <si>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</si>
  <si>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</si>
  <si>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</si>
  <si>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</si>
  <si>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</si>
  <si>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</si>
  <si>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</si>
  <si>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</si>
  <si>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</si>
  <si>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</si>
  <si>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</si>
  <si>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</si>
  <si>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</si>
  <si>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</si>
  <si>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</si>
  <si>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</si>
  <si>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</si>
  <si>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</si>
  <si>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</si>
  <si>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</si>
  <si>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</si>
  <si>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</si>
  <si>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</si>
  <si>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</si>
  <si>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</si>
  <si>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</si>
  <si>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</si>
  <si>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</si>
  <si>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</si>
  <si>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</si>
  <si>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</si>
  <si>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</si>
  <si>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</si>
  <si>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</si>
  <si>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</si>
  <si>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</si>
  <si>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</si>
  <si>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</si>
  <si>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</si>
  <si>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</si>
  <si>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</si>
  <si>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</si>
  <si>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</si>
  <si>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</si>
  <si>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</si>
  <si>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</si>
  <si>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</si>
  <si>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</si>
  <si>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</si>
  <si>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</si>
  <si>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</si>
  <si>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</si>
  <si>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</si>
  <si>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</si>
  <si>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</si>
  <si>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Values for Display</t>
  </si>
  <si>
    <t>Qty</t>
  </si>
  <si>
    <t>Avg. Days</t>
  </si>
  <si>
    <t>For trends</t>
  </si>
  <si>
    <t>Row Labels</t>
  </si>
  <si>
    <t>Grand Total</t>
  </si>
  <si>
    <t>Column Labels</t>
  </si>
  <si>
    <t>Female</t>
  </si>
  <si>
    <t>Male</t>
  </si>
  <si>
    <t>Other</t>
  </si>
  <si>
    <t>Unknown</t>
  </si>
  <si>
    <t>For Matrix</t>
  </si>
  <si>
    <t>Fe</t>
  </si>
  <si>
    <t>Ma</t>
  </si>
  <si>
    <t>Oth</t>
  </si>
  <si>
    <t>Unk</t>
  </si>
  <si>
    <t>6 to 10</t>
  </si>
  <si>
    <t>more than 10</t>
  </si>
  <si>
    <t>Map Chart Stuff (Qty)</t>
  </si>
  <si>
    <t>Map Chart for Amount</t>
  </si>
  <si>
    <t>India</t>
  </si>
  <si>
    <t>Country</t>
  </si>
  <si>
    <t>Uttar Pradesh</t>
  </si>
  <si>
    <t>Andhra Pradesh</t>
  </si>
  <si>
    <t>Tamil Nadu</t>
  </si>
  <si>
    <t>Madhya Pradesh</t>
  </si>
  <si>
    <t>Rajasthan</t>
  </si>
  <si>
    <t>Assam</t>
  </si>
  <si>
    <t>Shipment Duration Analysis</t>
  </si>
  <si>
    <t>Customer Satisfaction</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</si>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</sst>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5"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2">
    <border>
      <left/>
      <right/>
      <top/>
      <bottom/>
      <diagonal/>
    </border>
    <border>
      <left style="thick">
        <color theme="0"/>
      </left>
      <right style="thick">
        <color theme="0"/>
      </right>
      <top style="thick">
        <color theme="0"/>
      </top>
      <bottom style="thick">
        <color theme="0"/>
      </bottom>
      <diagonal/>
    </border>
  </borders>
  <cellStyleXfs count="1">
    <xf numFmtId="0" fontId="0" fillId="0" borderId="0"/>
  </cellStyleXfs>
  <cellXfs count="15">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1" xfId="0" applyBorder="1"/>
    <xf numFmtId="0" fontId="0" fillId="0" borderId="1" xfId="0" applyBorder="1" applyAlignment="1">
      <alignment horizontal="center" vertical="center"/>
    </xf>
    <xf numFmtId="165" fontId="0" fillId="0" borderId="1" xfId="0" applyNumberFormat="1" applyBorder="1" applyAlignment="1">
      <alignment horizontal="center" vertical="center"/>
    </xf>
    <xf numFmtId="0" fontId="1" fillId="0" borderId="0" xfId="0" applyFont="1"/>
    <xf numFmtId="0" fontId="0" fillId="0" borderId="0" xfId="0" applyAlignment="1">
      <alignment horizontal="center"/>
    </xf>
    <xf numFmtId="0" fontId="0" fillId="0" borderId="0" xfId="0" applyAlignment="1">
      <alignment horizontal="center" vertical="center"/>
    </xf>
  </cellXfs>
  <cellStyles count="1">
    <cellStyle name="Normal" xfId="0" builtinId="0"/>
  </cellStyles>
  <dxfs count="9">
    <dxf>
      <font>
        <b/>
        <i val="0"/>
        <strike val="0"/>
        <condense val="0"/>
        <extend val="0"/>
        <outline val="0"/>
        <shadow val="0"/>
        <u val="none"/>
        <vertAlign val="baseline"/>
        <sz val="11"/>
        <color theme="1"/>
        <name val="Aptos Narrow"/>
        <family val="2"/>
        <scheme val="minor"/>
      </font>
    </dxf>
    <dxf>
      <numFmt numFmtId="0" formatCode="General"/>
    </dxf>
    <dxf>
      <numFmt numFmtId="164" formatCode="_-[$$-409]* #,##0.00_ ;_-[$$-409]* \-#,##0.00\ ;_-[$$-409]* &quot;-&quot;??_ ;_-@_ "/>
    </dxf>
    <dxf>
      <numFmt numFmtId="164" formatCode="_-[$$-409]* #,##0.00_ ;_-[$$-409]* \-#,##0.00\ ;_-[$$-409]* &quot;-&quot;??_ ;_-@_ "/>
    </dxf>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colors>
    <mruColors>
      <color rgb="FFFCCECE"/>
      <color rgb="FFD0CCC6"/>
      <color rgb="FFFFFFFF"/>
      <color rgb="FFC5D9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[ecommerce_dashboard.xlsx]Product by Gender!PivotTable4</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143585486319003E-2"/>
              <c:y val="0.1633089133089133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2.5376001519546949E-2"/>
              <c:y val="-0.1355095036197398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978959455725927"/>
                  <c:h val="0.22164921692480749"/>
                </c:manualLayout>
              </c15:layout>
            </c:ext>
          </c:extLst>
        </c:dLbl>
      </c:pivotFmt>
      <c:pivotFmt>
        <c:idx val="3"/>
        <c:spPr>
          <a:solidFill>
            <a:schemeClr val="accent1"/>
          </a:solidFill>
          <a:ln w="19050">
            <a:solidFill>
              <a:schemeClr val="lt1"/>
            </a:solidFill>
          </a:ln>
          <a:effectLst/>
        </c:spPr>
        <c:dLbl>
          <c:idx val="0"/>
          <c:layout>
            <c:manualLayout>
              <c:x val="-6.1998361998361999E-2"/>
              <c:y val="-0.1186478143720407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9.4901215259051541E-2"/>
              <c:y val="0.1201667099304894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1439125221168442"/>
          <c:y val="0.18676703873554268"/>
          <c:w val="0.6263481841127686"/>
          <c:h val="0.71812081182159926"/>
        </c:manualLayout>
      </c:layout>
      <c:doughnutChart>
        <c:varyColors val="1"/>
        <c:ser>
          <c:idx val="0"/>
          <c:order val="0"/>
          <c:tx>
            <c:strRef>
              <c:f>'Product by Gender'!$L$3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9BE8-4486-94A0-8A3774D834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9BE8-4486-94A0-8A3774D834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9BE8-4486-94A0-8A3774D834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9BE8-4486-94A0-8A3774D83414}"/>
              </c:ext>
            </c:extLst>
          </c:dPt>
          <c:dLbls>
            <c:dLbl>
              <c:idx val="0"/>
              <c:layout>
                <c:manualLayout>
                  <c:x val="9.143585486319003E-2"/>
                  <c:y val="0.1633089133089133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BE8-4486-94A0-8A3774D83414}"/>
                </c:ext>
              </c:extLst>
            </c:dLbl>
            <c:dLbl>
              <c:idx val="1"/>
              <c:layout>
                <c:manualLayout>
                  <c:x val="-9.4901215259051541E-2"/>
                  <c:y val="0.1201667099304894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BE8-4486-94A0-8A3774D83414}"/>
                </c:ext>
              </c:extLst>
            </c:dLbl>
            <c:dLbl>
              <c:idx val="2"/>
              <c:layout>
                <c:manualLayout>
                  <c:x val="-6.1998361998361999E-2"/>
                  <c:y val="-0.1186478143720407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BE8-4486-94A0-8A3774D83414}"/>
                </c:ext>
              </c:extLst>
            </c:dLbl>
            <c:dLbl>
              <c:idx val="3"/>
              <c:layout>
                <c:manualLayout>
                  <c:x val="2.5376001519546949E-2"/>
                  <c:y val="-0.13550950361973985"/>
                </c:manualLayout>
              </c:layout>
              <c:showLegendKey val="0"/>
              <c:showVal val="0"/>
              <c:showCatName val="1"/>
              <c:showSerName val="0"/>
              <c:showPercent val="1"/>
              <c:showBubbleSize val="0"/>
              <c:extLst>
                <c:ext xmlns:c15="http://schemas.microsoft.com/office/drawing/2012/chart" uri="{CE6537A1-D6FC-4f65-9D91-7224C49458BB}">
                  <c15:layout>
                    <c:manualLayout>
                      <c:w val="0.27978959455725927"/>
                      <c:h val="0.22164921692480749"/>
                    </c:manualLayout>
                  </c15:layout>
                </c:ext>
                <c:ext xmlns:c16="http://schemas.microsoft.com/office/drawing/2014/chart" uri="{C3380CC4-5D6E-409C-BE32-E72D297353CC}">
                  <c16:uniqueId val="{00000003-9BE8-4486-94A0-8A3774D83414}"/>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'Product by Gender'!$K$4:$K$8</c:f>
              <c:strCache>
                <c:ptCount val="4"/>
                <c:pt idx="0">
                  <c:v>Female</c:v>
                </c:pt>
                <c:pt idx="1">
                  <c:v>Male</c:v>
                </c:pt>
                <c:pt idx="2">
                  <c:v>Other</c:v>
                </c:pt>
                <c:pt idx="3">
                  <c:v>Unknown</c:v>
                </c:pt>
              </c:strCache>
            </c:strRef>
          </c:cat>
          <c:val>
            <c:numRef>
              <c:f>'Product by Gender'!$L$4:$L$8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0-9BE8-4486-94A0-8A3774D83414}"/>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[ecommerce_dashboard.xlsx]Sheet2!PivotTable1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How</a:t>
            </a:r>
            <a:r>
              <a:rPr lang="en-IN" baseline="0"/>
              <a:t> long we take to ship?</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Sheet2!$B$4:$B$19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7576-400C-B977-78A61F4852CB}"/>
            </c:ext>
          </c:extLst>
        </c:ser>
        <c:dLbls>
          <c:showLegendKey val="0"/>
          <c:showVal val="0"/>
          <c:showCatName val="0"/>
          <c:showSerName val="0"/>
          <c:showPercent val="0"/>
          <c:showBubbleSize val="0"/>
        </c:dLbls>
        <c:gapWidth val="219"/>
        <c:overlap val="-27"/>
        <c:axId val="532370224"/>
        <c:axId val="532368304"/>
      </c:barChart>
      <c:catAx>
        <c:axId val="53237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368304"/>
        <c:crosses val="autoZero"/>
        <c:auto val="1"/>
        <c:lblAlgn val="ctr"/>
        <c:lblOffset val="100"/>
        <c:noMultiLvlLbl val="0"/>
      </c:catAx>
      <c:valAx>
        <c:axId val="53236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37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[ecommerce_dashboard.xlsx]Pivots!Sum of Q &amp; A by Weeknum</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Last</a:t>
            </a:r>
            <a:r>
              <a:rPr lang="en-IN" b="1" baseline="0">
                <a:solidFill>
                  <a:schemeClr val="tx1"/>
                </a:solidFill>
              </a:rPr>
              <a:t> 13 Weeks Trends- Qty &amp; Amount</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Pivots!$B$11</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Pivots!$B$12:$B$25</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D6F4-43C6-BD7C-48F10A7A7337}"/>
            </c:ext>
          </c:extLst>
        </c:ser>
        <c:dLbls>
          <c:showLegendKey val="0"/>
          <c:showVal val="0"/>
          <c:showCatName val="0"/>
          <c:showSerName val="0"/>
          <c:showPercent val="0"/>
          <c:showBubbleSize val="0"/>
        </c:dLbls>
        <c:marker val="1"/>
        <c:smooth val="0"/>
        <c:axId val="110718079"/>
        <c:axId val="110723359"/>
      </c:lineChart>
      <c:lineChart>
        <c:grouping val="standard"/>
        <c:varyColors val="0"/>
        <c:ser>
          <c:idx val="1"/>
          <c:order val="1"/>
          <c:tx>
            <c:strRef>
              <c:f>Pivots!$C$11</c:f>
              <c:strCache>
                <c:ptCount val="1"/>
                <c:pt idx="0">
                  <c:v>Sum of Amount</c:v>
                </c:pt>
              </c:strCache>
            </c:strRef>
          </c:tx>
          <c:spPr>
            <a:ln w="28575" cap="rnd">
              <a:solidFill>
                <a:schemeClr val="accent2"/>
              </a:solidFill>
              <a:round/>
            </a:ln>
            <a:effectLst/>
          </c:spPr>
          <c:marker>
            <c:symbol val="none"/>
          </c:marker>
          <c:cat>
            <c:strRef>
              <c:f>Pivots!$A$12:$A$25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Pivots!$C$12:$C$25</c:f>
              <c:numCache>
                <c:formatCode>_-[$$-409]* #,##0.00_ ;_-[$$-409]* \-#,##0.00\ ;_-[$$-409]* "-"??_ ;_-@_ </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D6F4-43C6-BD7C-48F10A7A7337}"/>
            </c:ext>
          </c:extLst>
        </c:ser>
        <c:dLbls>
          <c:showLegendKey val="0"/>
          <c:showVal val="0"/>
          <c:showCatName val="0"/>
          <c:showSerName val="0"/>
          <c:showPercent val="0"/>
          <c:showBubbleSize val="0"/>
        </c:dLbls>
        <c:marker val="1"/>
        <c:smooth val="0"/>
        <c:axId val="2026462639"/>
        <c:axId val="2026464559"/>
      </c:lineChart>
      <c:catAx>
        <c:axId val="11071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23359"/>
        <c:crosses val="autoZero"/>
        <c:auto val="1"/>
        <c:lblAlgn val="ctr"/>
        <c:lblOffset val="100"/>
        <c:noMultiLvlLbl val="0"/>
      </c:catAx>
      <c:valAx>
        <c:axId val="110723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18079"/>
        <c:crosses val="autoZero"/>
        <c:crossBetween val="between"/>
      </c:valAx>
      <c:valAx>
        <c:axId val="2026464559"/>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462639"/>
        <c:crosses val="max"/>
        <c:crossBetween val="between"/>
      </c:valAx>
      <c:catAx>
        <c:axId val="2026462639"/>
        <c:scaling>
          <c:orientation val="minMax"/>
        </c:scaling>
        <c:delete val="1"/>
        <c:axPos val="b"/>
        <c:numFmt formatCode="General" sourceLinked="1"/>
        <c:majorTickMark val="out"/>
        <c:minorTickMark val="none"/>
        <c:tickLblPos val="nextTo"/>
        <c:crossAx val="202646455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[ecommerce_dashboard.xlsx]Qty2 by tx.id!PivotTable1</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How</a:t>
            </a:r>
            <a:r>
              <a:rPr lang="en-US" b="1" baseline="0">
                <a:solidFill>
                  <a:schemeClr val="tx1"/>
                </a:solidFill>
              </a:rPr>
              <a:t> many they buy?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'Qty2 by tx.id'!$B$3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'Qty2 by tx.id'!$A$4:$A$11</c:f>
              <c:strCache>
                <c:ptCount val="7"/>
                <c:pt idx="0">
                  <c:v>1</c:v>
                </c:pt>
                <c:pt idx="1">
                  <c:v>2</c:v>
                </c:pt>
                <c:pt idx="2">
                  <c:v>3</c:v>
                </c:pt>
                <c:pt idx="3">
                  <c:v>4</c:v>
                </c:pt>
                <c:pt idx="4">
                  <c:v>5</c:v>
                </c:pt>
                <c:pt idx="5">
                  <c:v>6 to 10</c:v>
                </c:pt>
                <c:pt idx="6">
                  <c:v>more than 10</c:v>
                </c:pt>
              </c:strCache>
            </c:strRef>
          </c:cat>
          <c:val>
            <c:numRef>
              <c:f>'Qty2 by tx.id'!$B$4:$B$11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816C-44D5-AB10-B216096393D2}"/>
            </c:ext>
          </c:extLst>
        </c:ser>
        <c:dLbls>
          <c:showLegendKey val="0"/>
          <c:showVal val="0"/>
          <c:showCatName val="0"/>
          <c:showSerName val="0"/>
          <c:showPercent val="0"/>
          <c:showBubbleSize val="0"/>
        </c:dLbls>
        <c:gapWidth val="5"/>
        <c:overlap val="-27"/>
        <c:axId val="1557163615"/>
        <c:axId val="1557158815"/>
      </c:barChart>
      <c:catAx>
        <c:axId val="155716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158815"/>
        <c:crosses val="autoZero"/>
        <c:auto val="1"/>
        <c:lblAlgn val="ctr"/>
        <c:lblOffset val="100"/>
        <c:noMultiLvlLbl val="0"/>
      </c:catAx>
      <c:valAx>
        <c:axId val="15571588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16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[ecommerce_dashboard.xlsx]Product by Gender!PivotTable3</c:name>
    <c:fmtId val="6"/>
  </c:pivotSource>
  <c:chart>
    <c:title>
      <c:tx>
        <c:rich>
          <a:bodyPr rot="0" spcFirstLastPara="1" vertOverflow="ellipsis" vert="horz" wrap="square" anchor="ctr" anchorCtr="1"/>
          <a:lstStyle/>
          <a:p>
            <a:pPr algn="ctr" rtl="0">
              <a:defRPr lang="en-IN" sz="1200" b="1" i="0" u="none" strike="noStrike" kern="1200" spc="0" baseline="0">
                <a:solidFill>
                  <a:schemeClr val="tx1"/>
                </a:solidFill>
                <a:latin typeface="+mn-lt"/>
                <a:ea typeface="+mn-ea"/>
                <a:cs typeface="+mn-cs"/>
              </a:defRPr>
            </a:pPr>
            <a:r>
              <a:rPr lang="en-IN" sz="1200" b="1" i="0" u="none" strike="noStrike" kern="1200" spc="0" baseline="0">
                <a:solidFill>
                  <a:schemeClr val="tx1"/>
                </a:solidFill>
                <a:latin typeface="+mn-lt"/>
                <a:ea typeface="+mn-ea"/>
                <a:cs typeface="+mn-cs"/>
              </a:rPr>
              <a:t>Which Products are Popular? </a:t>
            </a:r>
            <a:r>
              <a:rPr lang="en-IN" sz="1200" b="0" i="0" u="none" strike="noStrike" kern="1200" spc="0" baseline="0">
                <a:solidFill>
                  <a:schemeClr val="tx1"/>
                </a:solidFill>
                <a:latin typeface="+mn-lt"/>
                <a:ea typeface="+mn-ea"/>
                <a:cs typeface="+mn-cs"/>
              </a:rPr>
              <a:t>Breakdown by Gender</a:t>
            </a:r>
          </a:p>
        </c:rich>
      </c:tx>
      <c:layout>
        <c:manualLayout>
          <c:xMode val="edge"/>
          <c:yMode val="edge"/>
          <c:x val="9.5679683685948105E-2"/>
          <c:y val="3.0364372469635626E-2"/>
        </c:manualLayout>
      </c:layout>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'Product by Gender'!$B$3:$B$4</c:f>
              <c:strCache>
                <c:ptCount val="1"/>
                <c:pt idx="0">
                  <c:v>Female</c:v>
                </c:pt>
              </c:strCache>
            </c:strRef>
          </c:tx>
          <c:spPr>
            <a:solidFill>
              <a:schemeClr val="accent1"/>
            </a:solidFill>
            <a:ln>
              <a:noFill/>
            </a:ln>
            <a:effectLst/>
          </c:spPr>
          <c:invertIfNegative val="0"/>
          <c:cat>
            <c:strRef>
              <c:f>'Product by Gender'!$A$5:$A$25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'Product by Gender'!$B$5:$B$25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38B1-4A26-95B4-DE0F0CA84A04}"/>
            </c:ext>
          </c:extLst>
        </c:ser>
        <c:ser>
          <c:idx val="1"/>
          <c:order val="1"/>
          <c:tx>
            <c:strRef>
              <c:f>'Product by Gender'!$C$3:$C$4</c:f>
              <c:strCache>
                <c:ptCount val="1"/>
                <c:pt idx="0">
                  <c:v>Male</c:v>
                </c:pt>
              </c:strCache>
            </c:strRef>
          </c:tx>
          <c:spPr>
            <a:solidFill>
              <a:schemeClr val="accent2"/>
            </a:solidFill>
            <a:ln>
              <a:noFill/>
            </a:ln>
            <a:effectLst/>
          </c:spPr>
          <c:invertIfNegative val="0"/>
          <c:cat>
            <c:strRef>
              <c:f>'Product by Gender'!$A$5:$A$25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'Product by Gender'!$C$5:$C$25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1-38B1-4A26-95B4-DE0F0CA84A04}"/>
            </c:ext>
          </c:extLst>
        </c:ser>
        <c:ser>
          <c:idx val="2"/>
          <c:order val="2"/>
          <c:tx>
            <c:strRef>
              <c:f>'Product by Gender'!$D$3:$D$4</c:f>
              <c:strCache>
                <c:ptCount val="1"/>
                <c:pt idx="0">
                  <c:v>Other</c:v>
                </c:pt>
              </c:strCache>
            </c:strRef>
          </c:tx>
          <c:spPr>
            <a:solidFill>
              <a:schemeClr val="accent3"/>
            </a:solidFill>
            <a:ln>
              <a:noFill/>
            </a:ln>
            <a:effectLst/>
          </c:spPr>
          <c:invertIfNegative val="0"/>
          <c:cat>
            <c:strRef>
              <c:f>'Product by Gender'!$A$5:$A$25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'Product by Gender'!$D$5:$D$25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2-38B1-4A26-95B4-DE0F0CA84A04}"/>
            </c:ext>
          </c:extLst>
        </c:ser>
        <c:ser>
          <c:idx val="3"/>
          <c:order val="3"/>
          <c:tx>
            <c:strRef>
              <c:f>'Product by Gender'!$E$3:$E$4</c:f>
              <c:strCache>
                <c:ptCount val="1"/>
                <c:pt idx="0">
                  <c:v>Unknown</c:v>
                </c:pt>
              </c:strCache>
            </c:strRef>
          </c:tx>
          <c:spPr>
            <a:solidFill>
              <a:schemeClr val="accent4"/>
            </a:solidFill>
            <a:ln>
              <a:noFill/>
            </a:ln>
            <a:effectLst/>
          </c:spPr>
          <c:invertIfNegative val="0"/>
          <c:cat>
            <c:strRef>
              <c:f>'Product by Gender'!$A$5:$A$25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'Product by Gender'!$E$5:$E$25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3-38B1-4A26-95B4-DE0F0CA84A04}"/>
            </c:ext>
          </c:extLst>
        </c:ser>
        <c:dLbls>
          <c:showLegendKey val="0"/>
          <c:showVal val="0"/>
          <c:showCatName val="0"/>
          <c:showSerName val="0"/>
          <c:showPercent val="0"/>
          <c:showBubbleSize val="0"/>
        </c:dLbls>
        <c:gapWidth val="150"/>
        <c:overlap val="100"/>
        <c:axId val="1705400911"/>
        <c:axId val="1705401391"/>
      </c:barChart>
      <c:catAx>
        <c:axId val="1705400911"/>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401391"/>
        <c:crosses val="autoZero"/>
        <c:auto val="1"/>
        <c:lblAlgn val="ctr"/>
        <c:lblOffset val="100"/>
        <c:noMultiLvlLbl val="0"/>
      </c:catAx>
      <c:valAx>
        <c:axId val="170540139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400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[ecommerce_dashboard.xlsx]Product by Gender!PivotTable4</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143585486319003E-2"/>
              <c:y val="0.1633089133089133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19050">
            <a:solidFill>
              <a:schemeClr val="lt1"/>
            </a:solidFill>
          </a:ln>
          <a:effectLst/>
        </c:spPr>
        <c:dLbl>
          <c:idx val="0"/>
          <c:layout>
            <c:manualLayout>
              <c:x val="2.5376001519546949E-2"/>
              <c:y val="-0.1355095036197398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978959455725927"/>
                  <c:h val="0.22164921692480749"/>
                </c:manualLayout>
              </c15:layout>
            </c:ext>
          </c:extLst>
        </c:dLbl>
      </c:pivotFmt>
      <c:pivotFmt>
        <c:idx val="3"/>
        <c:spPr>
          <a:solidFill>
            <a:schemeClr val="accent3"/>
          </a:solidFill>
          <a:ln w="19050">
            <a:solidFill>
              <a:schemeClr val="lt1"/>
            </a:solidFill>
          </a:ln>
          <a:effectLst/>
        </c:spPr>
        <c:dLbl>
          <c:idx val="0"/>
          <c:layout>
            <c:manualLayout>
              <c:x val="-6.1998361998361999E-2"/>
              <c:y val="-0.1186478143720407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9.4901215259051541E-2"/>
              <c:y val="0.1201667099304894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9.143585486319003E-2"/>
              <c:y val="0.1633089133089133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9.4901215259051541E-2"/>
              <c:y val="0.1201667099304894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6.1998361998361999E-2"/>
              <c:y val="-0.11864781437204071"/>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2.5376001519546949E-2"/>
              <c:y val="-0.13550950361973985"/>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7978959455725927"/>
                  <c:h val="0.22164921692480749"/>
                </c:manualLayout>
              </c15:layout>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1406069999168655"/>
              <c:y val="0.2256144675840753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590586810132896"/>
                  <c:h val="0.28275811317977778"/>
                </c:manualLayout>
              </c15:layout>
            </c:ext>
          </c:extLst>
        </c:dLbl>
      </c:pivotFmt>
      <c:pivotFmt>
        <c:idx val="12"/>
        <c:spPr>
          <a:solidFill>
            <a:schemeClr val="accent1"/>
          </a:solidFill>
          <a:ln w="19050">
            <a:solidFill>
              <a:schemeClr val="lt1"/>
            </a:solidFill>
          </a:ln>
          <a:effectLst/>
        </c:spPr>
        <c:dLbl>
          <c:idx val="0"/>
          <c:layout>
            <c:manualLayout>
              <c:x val="-0.10998444199000011"/>
              <c:y val="0.1824717295852037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6757876984833908"/>
              <c:y val="-0.1809533446169696"/>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0403558152516003"/>
                  <c:h val="0.28275811317977778"/>
                </c:manualLayout>
              </c15:layout>
            </c:ext>
          </c:extLst>
        </c:dLbl>
      </c:pivotFmt>
      <c:pivotFmt>
        <c:idx val="14"/>
        <c:spPr>
          <a:solidFill>
            <a:schemeClr val="accent1"/>
          </a:solidFill>
          <a:ln w="19050">
            <a:solidFill>
              <a:schemeClr val="lt1"/>
            </a:solidFill>
          </a:ln>
          <a:effectLst/>
        </c:spPr>
        <c:dLbl>
          <c:idx val="0"/>
          <c:layout>
            <c:manualLayout>
              <c:x val="0.24407904894241161"/>
              <c:y val="-0.17445053597272303"/>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43061899502381207"/>
                  <c:h val="0.22164925061937352"/>
                </c:manualLayout>
              </c15:layout>
            </c:ext>
          </c:extLst>
        </c:dLbl>
      </c:pivotFmt>
    </c:pivotFmts>
    <c:plotArea>
      <c:layout>
        <c:manualLayout>
          <c:layoutTarget val="inner"/>
          <c:xMode val="edge"/>
          <c:yMode val="edge"/>
          <c:x val="0.22947411550931698"/>
          <c:y val="0.26464849020040709"/>
          <c:w val="0.55093348059999292"/>
          <c:h val="0.56895466921774962"/>
        </c:manualLayout>
      </c:layout>
      <c:doughnutChart>
        <c:varyColors val="1"/>
        <c:ser>
          <c:idx val="0"/>
          <c:order val="0"/>
          <c:tx>
            <c:strRef>
              <c:f>'Product by Gender'!$L$3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6F1-449F-B442-2D56161609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6F1-449F-B442-2D56161609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6F1-449F-B442-2D561616097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6F1-449F-B442-2D561616097E}"/>
              </c:ext>
            </c:extLst>
          </c:dPt>
          <c:dLbls>
            <c:dLbl>
              <c:idx val="0"/>
              <c:layout>
                <c:manualLayout>
                  <c:x val="0.11406069999168655"/>
                  <c:y val="0.22561446758407536"/>
                </c:manualLayout>
              </c:layout>
              <c:showLegendKey val="0"/>
              <c:showVal val="0"/>
              <c:showCatName val="1"/>
              <c:showSerName val="0"/>
              <c:showPercent val="1"/>
              <c:showBubbleSize val="0"/>
              <c:extLst>
                <c:ext xmlns:c15="http://schemas.microsoft.com/office/drawing/2012/chart" uri="{CE6537A1-D6FC-4f65-9D91-7224C49458BB}">
                  <c15:layout>
                    <c:manualLayout>
                      <c:w val="0.2590586810132896"/>
                      <c:h val="0.28275811317977778"/>
                    </c:manualLayout>
                  </c15:layout>
                </c:ext>
                <c:ext xmlns:c16="http://schemas.microsoft.com/office/drawing/2014/chart" uri="{C3380CC4-5D6E-409C-BE32-E72D297353CC}">
                  <c16:uniqueId val="{00000001-66F1-449F-B442-2D561616097E}"/>
                </c:ext>
              </c:extLst>
            </c:dLbl>
            <c:dLbl>
              <c:idx val="1"/>
              <c:layout>
                <c:manualLayout>
                  <c:x val="-0.10998444199000011"/>
                  <c:y val="0.1824717295852037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6F1-449F-B442-2D561616097E}"/>
                </c:ext>
              </c:extLst>
            </c:dLbl>
            <c:dLbl>
              <c:idx val="2"/>
              <c:layout>
                <c:manualLayout>
                  <c:x val="-0.16757876984833908"/>
                  <c:y val="-0.1809533446169696"/>
                </c:manualLayout>
              </c:layout>
              <c:showLegendKey val="0"/>
              <c:showVal val="0"/>
              <c:showCatName val="1"/>
              <c:showSerName val="0"/>
              <c:showPercent val="1"/>
              <c:showBubbleSize val="0"/>
              <c:extLst>
                <c:ext xmlns:c15="http://schemas.microsoft.com/office/drawing/2012/chart" uri="{CE6537A1-D6FC-4f65-9D91-7224C49458BB}">
                  <c15:layout>
                    <c:manualLayout>
                      <c:w val="0.30403558152516003"/>
                      <c:h val="0.28275811317977778"/>
                    </c:manualLayout>
                  </c15:layout>
                </c:ext>
                <c:ext xmlns:c16="http://schemas.microsoft.com/office/drawing/2014/chart" uri="{C3380CC4-5D6E-409C-BE32-E72D297353CC}">
                  <c16:uniqueId val="{00000005-66F1-449F-B442-2D561616097E}"/>
                </c:ext>
              </c:extLst>
            </c:dLbl>
            <c:dLbl>
              <c:idx val="3"/>
              <c:layout>
                <c:manualLayout>
                  <c:x val="0.24407904894241161"/>
                  <c:y val="-0.17445053597272303"/>
                </c:manualLayout>
              </c:layout>
              <c:showLegendKey val="0"/>
              <c:showVal val="0"/>
              <c:showCatName val="1"/>
              <c:showSerName val="0"/>
              <c:showPercent val="1"/>
              <c:showBubbleSize val="0"/>
              <c:extLst>
                <c:ext xmlns:c15="http://schemas.microsoft.com/office/drawing/2012/chart" uri="{CE6537A1-D6FC-4f65-9D91-7224C49458BB}">
                  <c15:layout>
                    <c:manualLayout>
                      <c:w val="0.43061899502381207"/>
                      <c:h val="0.22164925061937352"/>
                    </c:manualLayout>
                  </c15:layout>
                </c:ext>
                <c:ext xmlns:c16="http://schemas.microsoft.com/office/drawing/2014/chart" uri="{C3380CC4-5D6E-409C-BE32-E72D297353CC}">
                  <c16:uniqueId val="{00000007-66F1-449F-B442-2D561616097E}"/>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'Product by Gender'!$K$4:$K$8</c:f>
              <c:strCache>
                <c:ptCount val="4"/>
                <c:pt idx="0">
                  <c:v>Female</c:v>
                </c:pt>
                <c:pt idx="1">
                  <c:v>Male</c:v>
                </c:pt>
                <c:pt idx="2">
                  <c:v>Other</c:v>
                </c:pt>
                <c:pt idx="3">
                  <c:v>Unknown</c:v>
                </c:pt>
              </c:strCache>
            </c:strRef>
          </c:cat>
          <c:val>
            <c:numRef>
              <c:f>'Product by Gender'!$L$4:$L$8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66F1-449F-B442-2D561616097E}"/>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[ecommerce_dashboard.xlsx]Sheet2!PivotTable1</c:name>
    <c:fmtId val="6"/>
  </c:pivotSource>
  <c:chart>
    <c:title>
      <c:tx>
        <c:rich>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r>
              <a:rPr lang="en-US" sz="1400" b="1" i="0" u="none" strike="noStrike" kern="1200" spc="0" baseline="0">
                <a:solidFill>
                  <a:schemeClr val="tx1"/>
                </a:solidFill>
                <a:latin typeface="+mn-lt"/>
                <a:ea typeface="+mn-ea"/>
                <a:cs typeface="+mn-cs"/>
              </a:rPr>
              <a:t>How long we take to ship?</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Sheet2!$B$4:$B$19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1-B2EB-4592-BED6-1B2451FA2ECB}"/>
            </c:ext>
          </c:extLst>
        </c:ser>
        <c:dLbls>
          <c:showLegendKey val="0"/>
          <c:showVal val="0"/>
          <c:showCatName val="0"/>
          <c:showSerName val="0"/>
          <c:showPercent val="0"/>
          <c:showBubbleSize val="0"/>
        </c:dLbls>
        <c:gapWidth val="8"/>
        <c:overlap val="-27"/>
        <c:axId val="191435296"/>
        <c:axId val="191432896"/>
      </c:barChart>
      <c:catAx>
        <c:axId val="19143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32896"/>
        <c:crosses val="autoZero"/>
        <c:auto val="1"/>
        <c:lblAlgn val="ctr"/>
        <c:lblOffset val="100"/>
        <c:noMultiLvlLbl val="0"/>
      </c:catAx>
      <c:valAx>
        <c:axId val="19143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435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[ecommerce_dashboard.xlsx]Sheet2!PivotTable2</c:name>
    <c:fmtId val="10"/>
  </c:pivotSource>
  <c:chart>
    <c:title>
      <c:tx>
        <c:rich>
          <a:bodyPr rot="0" spcFirstLastPara="1" vertOverflow="ellipsis" vert="horz" wrap="square" anchor="ctr" anchorCtr="1"/>
          <a:lstStyle/>
          <a:p>
            <a:pPr algn="ctr" rtl="0">
              <a:defRPr lang="en-IN" sz="1400" b="1" i="0" u="none" strike="noStrike" kern="1200" spc="0" baseline="0">
                <a:solidFill>
                  <a:schemeClr val="tx1"/>
                </a:solidFill>
                <a:latin typeface="+mn-lt"/>
                <a:ea typeface="+mn-ea"/>
                <a:cs typeface="+mn-cs"/>
              </a:defRPr>
            </a:pPr>
            <a:r>
              <a:rPr lang="en-IN" sz="1400" b="1" i="0" u="none" strike="noStrike" kern="1200" spc="0" baseline="0">
                <a:solidFill>
                  <a:schemeClr val="tx1"/>
                </a:solidFill>
                <a:latin typeface="+mn-lt"/>
                <a:ea typeface="+mn-ea"/>
                <a:cs typeface="+mn-cs"/>
              </a:rPr>
              <a:t>How satisfied are our customers?</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Sheet2!$G$3:$G$4</c:f>
              <c:strCache>
                <c:ptCount val="1"/>
                <c:pt idx="0">
                  <c:v>1</c:v>
                </c:pt>
              </c:strCache>
            </c:strRef>
          </c:tx>
          <c:spPr>
            <a:solidFill>
              <a:schemeClr val="accent1"/>
            </a:solidFill>
            <a:ln>
              <a:noFill/>
            </a:ln>
            <a:effectLst/>
          </c:spPr>
          <c:invertIfNegative val="0"/>
          <c:cat>
            <c:strRef>
              <c:f>Sheet2!$F$5:$F$8</c:f>
              <c:strCache>
                <c:ptCount val="3"/>
                <c:pt idx="0">
                  <c:v>Jan</c:v>
                </c:pt>
                <c:pt idx="1">
                  <c:v>Feb</c:v>
                </c:pt>
                <c:pt idx="2">
                  <c:v>Mar</c:v>
                </c:pt>
              </c:strCache>
            </c:strRef>
          </c:cat>
          <c:val>
            <c:numRef>
              <c:f>Sheet2!$G$5:$G$8</c:f>
              <c:numCache>
                <c:formatCode>General</c:formatCode>
                <c:ptCount val="3"/>
                <c:pt idx="0">
                  <c:v>7</c:v>
                </c:pt>
                <c:pt idx="1">
                  <c:v>8</c:v>
                </c:pt>
                <c:pt idx="2">
                  <c:v>6</c:v>
                </c:pt>
              </c:numCache>
            </c:numRef>
          </c:val>
          <c:extLst>
            <c:ext xmlns:c16="http://schemas.microsoft.com/office/drawing/2014/chart" uri="{C3380CC4-5D6E-409C-BE32-E72D297353CC}">
              <c16:uniqueId val="{00000000-C9EE-4121-B0F3-373E46ED5A84}"/>
            </c:ext>
          </c:extLst>
        </c:ser>
        <c:ser>
          <c:idx val="1"/>
          <c:order val="1"/>
          <c:tx>
            <c:strRef>
              <c:f>Sheet2!$H$3:$H$4</c:f>
              <c:strCache>
                <c:ptCount val="1"/>
                <c:pt idx="0">
                  <c:v>2</c:v>
                </c:pt>
              </c:strCache>
            </c:strRef>
          </c:tx>
          <c:spPr>
            <a:solidFill>
              <a:schemeClr val="accent2"/>
            </a:solidFill>
            <a:ln>
              <a:noFill/>
            </a:ln>
            <a:effectLst/>
          </c:spPr>
          <c:invertIfNegative val="0"/>
          <c:cat>
            <c:strRef>
              <c:f>Sheet2!$F$5:$F$8</c:f>
              <c:strCache>
                <c:ptCount val="3"/>
                <c:pt idx="0">
                  <c:v>Jan</c:v>
                </c:pt>
                <c:pt idx="1">
                  <c:v>Feb</c:v>
                </c:pt>
                <c:pt idx="2">
                  <c:v>Mar</c:v>
                </c:pt>
              </c:strCache>
            </c:strRef>
          </c:cat>
          <c:val>
            <c:numRef>
              <c:f>Sheet2!$H$5:$H$8</c:f>
              <c:numCache>
                <c:formatCode>General</c:formatCode>
                <c:ptCount val="3"/>
                <c:pt idx="0">
                  <c:v>37</c:v>
                </c:pt>
                <c:pt idx="1">
                  <c:v>51</c:v>
                </c:pt>
                <c:pt idx="2">
                  <c:v>39</c:v>
                </c:pt>
              </c:numCache>
            </c:numRef>
          </c:val>
          <c:extLst>
            <c:ext xmlns:c16="http://schemas.microsoft.com/office/drawing/2014/chart" uri="{C3380CC4-5D6E-409C-BE32-E72D297353CC}">
              <c16:uniqueId val="{00000001-C9EE-4121-B0F3-373E46ED5A84}"/>
            </c:ext>
          </c:extLst>
        </c:ser>
        <c:ser>
          <c:idx val="2"/>
          <c:order val="2"/>
          <c:tx>
            <c:strRef>
              <c:f>Sheet2!$I$3:$I$4</c:f>
              <c:strCache>
                <c:ptCount val="1"/>
                <c:pt idx="0">
                  <c:v>3</c:v>
                </c:pt>
              </c:strCache>
            </c:strRef>
          </c:tx>
          <c:spPr>
            <a:solidFill>
              <a:schemeClr val="accent3"/>
            </a:solidFill>
            <a:ln>
              <a:noFill/>
            </a:ln>
            <a:effectLst/>
          </c:spPr>
          <c:invertIfNegative val="0"/>
          <c:cat>
            <c:strRef>
              <c:f>Sheet2!$F$5:$F$8</c:f>
              <c:strCache>
                <c:ptCount val="3"/>
                <c:pt idx="0">
                  <c:v>Jan</c:v>
                </c:pt>
                <c:pt idx="1">
                  <c:v>Feb</c:v>
                </c:pt>
                <c:pt idx="2">
                  <c:v>Mar</c:v>
                </c:pt>
              </c:strCache>
            </c:strRef>
          </c:cat>
          <c:val>
            <c:numRef>
              <c:f>Sheet2!$I$5:$I$8</c:f>
              <c:numCache>
                <c:formatCode>General</c:formatCode>
                <c:ptCount val="3"/>
                <c:pt idx="0">
                  <c:v>150</c:v>
                </c:pt>
                <c:pt idx="1">
                  <c:v>182</c:v>
                </c:pt>
                <c:pt idx="2">
                  <c:v>163</c:v>
                </c:pt>
              </c:numCache>
            </c:numRef>
          </c:val>
          <c:extLst>
            <c:ext xmlns:c16="http://schemas.microsoft.com/office/drawing/2014/chart" uri="{C3380CC4-5D6E-409C-BE32-E72D297353CC}">
              <c16:uniqueId val="{00000002-C9EE-4121-B0F3-373E46ED5A84}"/>
            </c:ext>
          </c:extLst>
        </c:ser>
        <c:ser>
          <c:idx val="3"/>
          <c:order val="3"/>
          <c:tx>
            <c:strRef>
              <c:f>Sheet2!$J$3:$J$4</c:f>
              <c:strCache>
                <c:ptCount val="1"/>
                <c:pt idx="0">
                  <c:v>4</c:v>
                </c:pt>
              </c:strCache>
            </c:strRef>
          </c:tx>
          <c:spPr>
            <a:solidFill>
              <a:schemeClr val="accent4"/>
            </a:solidFill>
            <a:ln>
              <a:noFill/>
            </a:ln>
            <a:effectLst/>
          </c:spPr>
          <c:invertIfNegative val="0"/>
          <c:cat>
            <c:strRef>
              <c:f>Sheet2!$F$5:$F$8</c:f>
              <c:strCache>
                <c:ptCount val="3"/>
                <c:pt idx="0">
                  <c:v>Jan</c:v>
                </c:pt>
                <c:pt idx="1">
                  <c:v>Feb</c:v>
                </c:pt>
                <c:pt idx="2">
                  <c:v>Mar</c:v>
                </c:pt>
              </c:strCache>
            </c:strRef>
          </c:cat>
          <c:val>
            <c:numRef>
              <c:f>Sheet2!$J$5:$J$8</c:f>
              <c:numCache>
                <c:formatCode>General</c:formatCode>
                <c:ptCount val="3"/>
                <c:pt idx="0">
                  <c:v>312</c:v>
                </c:pt>
                <c:pt idx="1">
                  <c:v>373</c:v>
                </c:pt>
                <c:pt idx="2">
                  <c:v>351</c:v>
                </c:pt>
              </c:numCache>
            </c:numRef>
          </c:val>
          <c:extLst>
            <c:ext xmlns:c16="http://schemas.microsoft.com/office/drawing/2014/chart" uri="{C3380CC4-5D6E-409C-BE32-E72D297353CC}">
              <c16:uniqueId val="{00000003-C9EE-4121-B0F3-373E46ED5A84}"/>
            </c:ext>
          </c:extLst>
        </c:ser>
        <c:ser>
          <c:idx val="4"/>
          <c:order val="4"/>
          <c:tx>
            <c:strRef>
              <c:f>Sheet2!$K$3:$K$4</c:f>
              <c:strCache>
                <c:ptCount val="1"/>
                <c:pt idx="0">
                  <c:v>5</c:v>
                </c:pt>
              </c:strCache>
            </c:strRef>
          </c:tx>
          <c:spPr>
            <a:solidFill>
              <a:schemeClr val="accent5"/>
            </a:solidFill>
            <a:ln>
              <a:noFill/>
            </a:ln>
            <a:effectLst/>
          </c:spPr>
          <c:invertIfNegative val="0"/>
          <c:cat>
            <c:strRef>
              <c:f>Sheet2!$F$5:$F$8</c:f>
              <c:strCache>
                <c:ptCount val="3"/>
                <c:pt idx="0">
                  <c:v>Jan</c:v>
                </c:pt>
                <c:pt idx="1">
                  <c:v>Feb</c:v>
                </c:pt>
                <c:pt idx="2">
                  <c:v>Mar</c:v>
                </c:pt>
              </c:strCache>
            </c:strRef>
          </c:cat>
          <c:val>
            <c:numRef>
              <c:f>Sheet2!$K$5:$K$8</c:f>
              <c:numCache>
                <c:formatCode>General</c:formatCode>
                <c:ptCount val="3"/>
                <c:pt idx="0">
                  <c:v>224</c:v>
                </c:pt>
                <c:pt idx="1">
                  <c:v>247</c:v>
                </c:pt>
                <c:pt idx="2">
                  <c:v>250</c:v>
                </c:pt>
              </c:numCache>
            </c:numRef>
          </c:val>
          <c:extLst>
            <c:ext xmlns:c16="http://schemas.microsoft.com/office/drawing/2014/chart" uri="{C3380CC4-5D6E-409C-BE32-E72D297353CC}">
              <c16:uniqueId val="{00000000-549C-4017-8D57-CA984B200537}"/>
            </c:ext>
          </c:extLst>
        </c:ser>
        <c:dLbls>
          <c:showLegendKey val="0"/>
          <c:showVal val="0"/>
          <c:showCatName val="0"/>
          <c:showSerName val="0"/>
          <c:showPercent val="0"/>
          <c:showBubbleSize val="0"/>
        </c:dLbls>
        <c:gapWidth val="219"/>
        <c:overlap val="-27"/>
        <c:axId val="261426704"/>
        <c:axId val="261430064"/>
      </c:barChart>
      <c:catAx>
        <c:axId val="261426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430064"/>
        <c:crosses val="autoZero"/>
        <c:auto val="1"/>
        <c:lblAlgn val="ctr"/>
        <c:lblOffset val="100"/>
        <c:noMultiLvlLbl val="0"/>
      </c:catAx>
      <c:valAx>
        <c:axId val="26143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42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Where do </a:t>
            </a:r>
            <a:r>
              <a:rPr lang="en-US" sz="1400" b="1" i="0" u="none" strike="noStrike" kern="1200" spc="0" baseline="0">
                <a:solidFill>
                  <a:schemeClr val="tx1"/>
                </a:solidFill>
                <a:latin typeface="+mn-lt"/>
                <a:ea typeface="+mn-ea"/>
                <a:cs typeface="+mn-cs"/>
              </a:rPr>
              <a:t>our</a:t>
            </a:r>
            <a:r>
              <a:rPr lang="en-US" sz="1400" b="1" i="0" u="none" strike="noStrike" baseline="0">
                <a:solidFill>
                  <a:schemeClr val="tx1"/>
                </a:solidFill>
                <a:latin typeface="Aptos Narrow" panose="02110004020202020204"/>
              </a:rPr>
              <a:t> customers live?</a:t>
            </a:r>
          </a:p>
        </cx:rich>
      </cx:tx>
    </cx:title>
    <cx:plotArea>
      <cx:plotAreaRegion>
        <cx:plotSurface>
          <cx:spPr>
            <a:noFill/>
            <a:ln>
              <a:noFill/>
            </a:ln>
          </cx:spPr>
        </cx:plotSurface>
        <cx:series layoutId="regionMap" uniqueId="{E53E952E-FE40-4D96-B2FD-0FB0E71BE8BA}">
          <cx:tx>
            <cx:txData>
              <cx:f>_xlchart.v5.2</cx:f>
              <cx:v>Qty</cx:v>
            </cx:txData>
          </cx:tx>
          <cx:spPr>
            <a:ln>
              <a:solidFill>
                <a:schemeClr val="accent1">
                  <a:shade val="15000"/>
                </a:schemeClr>
              </a:solidFill>
            </a:ln>
          </cx:spPr>
          <cx:dataLabels>
            <cx:visibility seriesName="0" categoryName="0" value="1"/>
          </cx:dataLabels>
          <cx:dataId val="0"/>
          <cx:layoutPr>
            <cx:geography cultureLanguage="en-US" cultureRegion="IN" attribution="Powered by Bing">
              <cx:geoCache provider="{E9337A44-BEBE-4D9F-B70C-5C5E7DAFC167}">
                <cx:binary>5HzZcty4su2vOPx8qSaIecfuHbFBskql2Zos+YUhS2XOBEGC49efLE+tKslu+Z72w9UtO+yQWCBA
LAC5cmUm/30//uu+WN81b8ayqNp/3Y9/vk2srf/1xx/tfbIu79q9Mr1vdKs/2b17Xf6hP31K79d/
PDR3Q1rFf3guIn/cJ3eNXY9v//NvuFu81kf6/s6munrXrZvpfN12hW1/cu3ZS2/uHsq0CtLWNum9
RX++9e+K9JNuqvTu7fY178+3x+vqQd+nlX7j666y09s368qmdrqc6vWfb7fu5L1988duh08G96aA
8dvuARpjuYeIlJJz5H7+oLdvCl3FXy87yMN7nssZxpJ/6/bkroSWvzSoz0O6e3ho1m0Lj/f5/+du
sfUsMCn/fclk3G8mZYNEDKD8+faqSu364c2FvbPr9u2btNWfZ62ZfL154quLz1P0xzaW//n3zi9g
0nZ+8wju3Rn+u0vbiP4N2rAS7vp1c9f+BrTFHpLMQx7nX9CG5bKNtrvHhCs9TNg22r80qOfRfnqL
F6D9tNErQ/u/Beymh7vfgDXfEy4RnmAY9vdmi+9i7e153COcwSL4cp582di/MKLngd69wQtg3m3y
ykBWnbXr3wCx3KNwQBOXbo5w+IhdiNEepYQh5MGx/hjjFw/oeYS3m78A3+0Grwzd/5Z3D7r5DfCK
PQzb0/UE2cXV3ePc8yR25Tej/Rjdlw/oeXh32r8A350Wrw3gok6r37F/xR6TmDL0o/2LJODMOaUc
VsAWwi8e0Q8Q3m7/EoS3W7wyhH1ddO3vMMIS2DPQKYD4B4TL23NdgZkkdBvhl4/oeYR32r8A4Z0W
rw5h8BE2CLf2d+As9lwkpMSY/8ASe3sIE0E5Ahv9eCf7+tfG9SO0n7nLizB/pt0rQz5YF29ONHjw
/7yFJmiPUwKmeIP95vOEYxPY/wQDx94h2b80qOcxf3qLFwD+tNErQ/t43dyD9+//40IJ38Muk0yw
r1A/4druHhFIcsTJc5zs5eN6Hu2d9i+AeqfFK8M5LN4EugHi/RugFnvck4x6Xx1nKZ+h31IiOM7Z
c1D/0tCeR/vpLV4A+NNGrwzz47smrfVv4WkcNi/xOBXeF562K4MCE5eMcOFx98tJv23Ff2VkzyP+
5A4vAPxJm1eId/Ub9jffk5xQTt2vG/zJUe7tUYwE4xtB5TFZ20z4iwb0Y4z/av5CgP9q8MrQXUAw
4LeENNgex4hRitCXrbp7fG+8akHhD9rxuV4+oufx3Wn/AoB3WrwyhJfFuvpr+X7ZSP9MzIp6LkXS
gyDFdvgCvCwpEMd0h26/eCTPA7vd/AW4bjd4ZbAe69+ybcWeB0LXd379xJeCbet5QkiwwDun8gvH
8zy2W0/zAmi3vv/KkN3vyo+6eLD/vM0loFgLhgh5umfJHmIIuxCpeo5Z/cqQngf4yR1eAPKTNq8M
6FU1/Q7HiUHI0YOzmX+NRz2xvJv4s2RMiB1i9dLxPI/wVusXoLv1/deGbFmvm/Su+Oe3MPb2uPQE
Jfhrqgjesb6I7lGgXRRBzGrz2Yk5rn5hZD/AefcOL8F6t80rw/tw3fwOikX3MP8cWP4C5QbLLaYF
xngjeCPs7aQFvXQ8zyO81foF6G59/7UhCwlovyMHiO0BaJD4QegP3SMG1yBnYBfalw7oB9huNX8J
uFsNXhm6R3f5bwhIQDofhBsQUGT8Rcd6kuDl7UlEERN8J8HrpeN5Htut1i+Aduv7rw7Ztl3/hjMZ
KDSBTAEhv0qU7q799SB5Dy4TEK62HaSju5eO6EfobrV/Eb5bLV4bwrp9898qXhfr33E+kz2Xeh4W
387nXXUSgaNMMGQGwTZ/hmYd/drgfoD4Mzd5CezPNHtl2B/fPUBu7m9g1wwCDB4IVyBLf4N1i3HB
7nYZpBAQtCt/vHhEz2O980QvgHmnxWtDWEOy/T8PMOQKEOlKIFbsC+96Il66e5R4kAqG4GDfijq8
dEA/wHer+Uvg3Wrw/wC6Px/i1hNvcu//+216n9Gif7V8goNoSRiT6Esi5nN+EkPc4wi27efPt76/
5FpDevv3qo8f6uNfCk+eVE88brv1jF8e8eeT8nuqIn5cMfG9BiW4s3fh5+qVR0UTP7/6eVlD3c1O
06975BkQv4v/q4c/34JYgalLwIH9XhizudHWDru4qzZZYcVdc/cNn+2m67vW/vkWqmEQ5PNAgAF0
Dom4ZHAUD+uvlyCd3gXDLDAlRHqbU7qCrKMEamw+B5cZdqkAow1RRaBnre4+XwLFDJLGINvAcyFJ
EHvie5XRmS6mWFffp+brz2+qrjzTaWXbP98S5L59U3/53ma8FHpwBZeuIBh0mC+mor6/O984UjAT
/4ejGBVFQ/WpJ5pCeXb0fDRMUziOVam8MUarIcoXBZ5WVVl5tZJVcltKflD26UJIu9SFPuGdWWXU
OZ2dKHRJOflFxvVRkXJ9mqXN9eSSGyFrNxDtNCnh2LCf8kvWRKeZa2dV53GuKp3xd2OM51g1c1a7
YSGYqwNBBzdEo3syJ2kfyJn0yyRKCj+nolKVaxM/RTKcs6ZWKJ4CJOJwjnSqpEv1fseGMnAicjJO
NVbTNGc+ky0NktGOQd+7Vz2yAc+mcPBsG1hJcp+5aaNoQ+8ZPKdfl3BfI6Ny0fWFVu44pCqqsnuZ
ShFOka5UVya5KqZkNVckWhV1xny3HENdOe7S1bg4pNQZjqI0kSrqy8onTXaVmjJXTmGR38TZqXas
T7MpVcNMFpZ1l01qmF/k5orx+LQ2aFAYD0dkTM0Cm6hTUV11QeUUtT8Q1/iygTnNTXdc11nt55Mu
FnPvLOuGHtDKuy6z/lxmEYx7yKiaB7TPscnUlKcPPcLHcTWfzF7Z+x0nWHVZc1NYx4863ak8rY+6
RGSqdj3px3nnO/NofZ1HuWp1hlVtMxwUHltllr3LoylReGiHwJvj0JBSLAZH3xvPS5XnticeHkJi
nKV2y6OyTE9R0R1iPDd+SdpD08Oaibr2zKTMKpHD1Lj91IVEatVWsd9m3dIYfMxpki+s1I5v+kzv
56gK8tpZNplzlo+6PZ5zYwG9tPE7wc495h3LutBhM/WjT0rCfS+vaoX1nKqC2DbMcperYojCNm4v
Rzkmiz6rjmMSfZhMPy0KRyzjFrOAWveaGPMhw4YHqMiCyVgWiDR+Fw/oCI1lMMfjiWnlQ8OGOij7
FuawZavYpEjNjB7Zrj1NdWucd1rzYl5PY5Hv87IMZF5f51Fs/H7uD9t0JsdVl9cHmZW3OnfPLW0e
RD35jalUPceLuGJB3Q4H0jqLxvUOdZGcpFofjFl7UunirK/yPDBt0i2LqBtWLKKfZuZ0mcoGTJZp
F/FekaqfLzw2H8emaZeoSIdFnNJRDZhBv2RZF81y4HMbTjzZH2Z81tDb1kGxKjt5VUmkiiw+bLwm
VaWlqyHBKq7ns2729qM+HdREu3dw2KlmsIHn0Vo5aQyrz0RnuLVHgmKtcmEPdZeeg7viR1N8Mddj
o1jTYZWMaaa8xsJGKXm1lDHCi2Yq0gXO2bKI03jfFA4cS14iQj0VVDkdrJyqRpmqkEdUOZdnYnRu
OKmgctJ9KIWX+0QX13MVH1GUYzWamgQUJ71ym4grntUfRedERzJPjtNRwDHhumelLmEzcINOB1ys
8czH0J2Hddc6syrZeI6HqV7hqv+AdLkwxL2ZUn4sCrOQbZkE5Qj7RZCWLMcufl+NsgvyoVrUYlr2
kQ7cujmTaXHosmwxt3XvUxOdZNymQcryfV1N8oA79Ep0UQA99z6W5BKB/7dMqG6D2aA6rMdsDI3j
HY+wDc64lud0avfHgqR+VfSl4oWnvDpDKtXYU5TbAJ41VTZviS9Tc5eYOvftZEfFiiJEQn+K5X1a
8/PW4vMc5gTsAPK9uCqULcRZab2FmziAYp8TVUe8Uf08pP7QZ8vEGK7SrJBqss5DCrcTIjcBpfFB
QeOTJPNyxbq0PyQOqkIAdNqn3ng+VkWAyjoJYp2ioBPVvhyNgG3bxKtRj37kBLnAh4kUzO8K/sFt
53QFx7GKR0JVTMaFk5gLL42WbJ4aP05YF44pmpWM2/vcS1LfafGyoXxWvTHHcUsbWDX1RUfHI+K2
me9gs+wqOOvz+mTQdbGq0XAa2/HcnXToRHhaUMYPtZH7DnKGy2SeusXQeetcdqNqOX9XJjwL52LG
/uPi0S0Tfa/rqUnj5Gst8Pcf/3OpS/j7uZr0r19uSon/+mm51hs+2O5+acOnvn/rr4rUDX/5Xp66
w4q+1CP/gDL99OIv8SkMqsRP+dSboy5t35x+TNtaP+VUm+bfOBWEEgj3KEQTgFpJQaDU5TunQlAB
JVzQMqULLGmjeH3jVBSCUdBGwAXgPFRCq2+cigCn4tDMRS6sqF/lVE8YlUSQKiQJqG4I0U0h3WNG
1YDLDkYDjHdcxKr1DlOSqEdT8xxrY5t7/MXaBARLBRZwIyi9RVzAQ233USLtgmmbxpM456sq6eRi
9LysWfByPB7xyIaAV1O7nKc+C5lTN5lCVtALz9YpkCor2TFvuGxXVRyZ465xhPHLDjNzzJjjjiFp
uymGkwrxOWyBgel6cOv9PCnLsHGIuxxHMy8bHXvhAJH6ZZMQE7Z6yJaY1a6qenaW8Spe1nnpBp2O
m2XqxIUXxo3OnGVVDrO+qJo5+VRmtl9glEZAzUTrOqEsJuJlvizgpxDVpERhQkoXX9iqzjO/NqN5
Z0cYRWrmxewgsABjcoNrdJiMSaPcwjEql/kK92bZc3Y0dAwpbp2TLumvaY4vjWwvmnw+iqv+mtGy
UoIZsEgpOTINCWNijpIkW6E4zleo6dIgHtnhgAol3FKoPtZLNx1d5QKhmvV00FD3ts4yILwFZ8rV
5rRJWbYP3PGoG92PCcunw6TG3CcRmZUo0DopdBFMUoaTZpmyMvXgNMPlwo4jXVY4mg/NVB/2kbMc
y3zfgvFclgVtghTPfjzXoRnS43KgOIwwMSpO6uU8N6uoSc8TaoplVtEqiJ181cw6UnGLVlU7NmGT
lBfgeRwmeByUM7nsfurz1p+aePBdjy3GGpbqiNKQEBsrR1TAYaLVWJvjgVSpQlkC02qFT4XoMxVn
9IKSSSs8km6/rSqqqkh6QRkR67uTPTasd/xYNqs+HyfwENw1Yd0DKqlYNgUrD7EsnUIlOU3f1ZUo
AzSSlPooLxXiyDmQeYaWrXDvcweINXNOLOJXNnGWRRIxJaYmjHKwFRgdzaV411fVQmZekDXA45Dj
l2zI94fCW4rBeoHBMPG04vut279Hs9WqpnEAJTkfZtYfa9dilTbjAS3csxlu2qPquBSJmgladrVz
57Vo7TjjSpP5CEfOvuTXY/RBi/mAl7NY0CwOG06vzIxU0o8f+y6HulagN6TMj6g3ncVRhnzs5UxF
ubwtYu8Wg4sYNEAbJQFmO5BTk+xPJUn8ZAYCRGez4IlzKcb2iuR9OMb5GNAkPiN97Sk3Ba4Pjteh
1fmKcrdQc4+uaye5FKK8cmqt5mpY8Lj+5PHxwEjnYBzdWbUZOzCZXBas6JTgbYA16lakI/acDNkB
PN8hzdwPuHPAMcAFeE+6SRYerrOTkoz5/uiU3q0eBL9phQZyPU5TdFXaKD8fI96qcSxQSJqoAapn
k8A4wEGzwsZ+YqdOGc9xgwG2xVFf0/SkI7MzqaLpo9bvamAGQYwo1+Bl2T4UJhIfZybiIKHs2mk9
FvYtO4mSOgqjou6VJbKFxYxzBe5BcTgJJ/Zjj55b120UNoMJ4r4WCqHssNfTRVnnA1BfXau+buNF
LskNYxcZIB+YzpkDPrbVgcAFO47qBCZ7rlOVM/2RxFmmmJkS2HISMKKXblyD15NN+TKe4qOsBKYx
5dG73OqP3Sj9LMoCkXlGRY57ETFAGdcf2i4PZ53t95n9xJvhtKBztogjcBjxUNx6WbdIGP+gJ0d1
ovUUQabceGm1sm0lVManozaiwTSlflbwMDPeQ8nsuKwNDbKqv+1xtKTE1mpOuw+tJYu6AZjzYeFF
/D2q2mvaVe8pMFQlx+xiLKajSg771gCTd4bsfZxMq3SALTqOx31ULuMyquD8ZOfWzqe0ZbdjQk90
RoDJ9u8HcNTQoA9SPveLnkg4LNzGBzTCiuUfZpO2SmZsSTJK1VgYoJoiXcXtmIQJrrSfUXaBZkCt
LVCu4opfmj49sJhZv03dW7AEhybS4BSn1VmaznZfZ/F7OgGzxG6zT0scwnETON14jCt4eqBeR6Lj
+00eHyBLb2XdB9Gs/Vrkp5iK/bwkqm2jUpVefucIJ6BDut8V86BMF925Nj+AuQ7SeayU9OQB6aZ3
be3CMEl7kLnOfkPZh8itV/1UKGL7i4jwQAg6L9oRHNIyTc5cMn6K3IGqaa4+uAScYW9OjyUtliYy
l2Vl5yCv9H4f92ZfyHI6QggHmecddU36gUX60G0wODqetouqdJHShAxnrocSBQQYh7lobio3iReO
K05dOWg1VMYctojHvk3GErgpu0/BEwqMGzs3Q81gvcyoCCe3jhQmafEw2pQHHi4TFgyTdzwkbfTp
5yQEMp93KIgkGBJqgYVgyKBlwLQe0xyUU1SWVeScZNkVy69z+ZHQ5f+uC2Bsj7uYYBWzvIMuXDMp
xk+7+nTMzn7eB2jozzwGcylwQ8wo3nkMz+umcpBpfOoOYOX56WyPxvHScYKfdwNa3pNuoO7PI1DZ
C2/QcEHQe/wosc4mzPM+Pu3KOTRZAsQQ9qG56sjZ0CPF2gY854PPfX6VTM8eq32PKf9jD+B1uhIb
EfPHrsS3TMynPsSm3TcfAt5SRFwGEiqUWkqKESjA330IsgmbIwoiMCag2QJWX32ITUSGQR0A1F+7
LvBuDzbFVx8CYu1A9wHazV1BVaXyV3TZ7c0F4jOQe0huFZs3LUEK80YafrxcbDcNhms6nHXuQZz5
2XSu27/ZXGQTaXi8JqkLKfHcJZJx6jEobdhZ+siBQyjL2/oMDzJzW0Vom+cqwV6FzxK3MWAlNRvz
d7NOmThJkoTfNDH38nfCpZOfgNDpHXis9ttRr0wyHqVRETKchnOKJtWBZzxNxVlEnaDQzmpqwZU2
+sK6daymBIWz4edj2u5HE9i9pBwX8JImFFBiDpx6OHVE/rGY4PiOoqCr61VWZDfgzCB/ThPw09tQ
eMWKJ61RaGw+NR0H3SodgsIQvkwNAbGyBNZu6bBvehA7Op5dcbFvcAtsrLqJmbtyZZUpjOoDM1br
opWJikZQN6ZyHYExUKKsrdLuKJRpm0VddEeR5UMgqgaDtgWqRs3djxv+gAmcw4hUlz2KDyLPu2rG
BIT01L7Py6n1k2m4bxk5mEhTLUxWH1fJOATScBzQNKJ+pJsLKCFqFCfahvGEj8u4Atva4nfFIGN/
7rsbJ8OLeQAVCmLBpRKe/ZRxU/gi9bTiRp9VmhzyAfyXmoDtBe0422fuGINCi2N/zLoqTGsPFPJe
5IrU83tU6hUGOJXunHM6OBVYyuJyKCXI+yK/dcAVUt5QrySy2UlhB+QnTn7QOmmtXGSIApn9KLb3
ONML2TE/LQfPJ6NpwW+r3kdzT/zIgA+hY3TQiK4JbM+XM6f3dQruxzA1h6A234uNViay9JMoQeWK
iZgDY+VlbNgnkoJbYtJ1aujgozbbT7wmAS9B+Douz3qv/YiyzPUbYh2F82pVpHkZkN4uUsEScAyy
3ietBcHZcaVPq+6sk85VH3etD7L7KsFJEyKSXMSjNYHmcedXEQ4L0jRhH3PgbICfFNmFh3s/70Eq
HGX/PndnptKJfcoy+QGkRK2SwcMLPOaRcoDUHVdlAUJUltY+nCtX8WQuKkLrgyTHIARwHiQ6GWCx
jh/6rIDVM5guFAPMB+fzbc6iS9a7mQL9eU3QwBZ9417lcXHVppWnRkekQR/b45I7n6wjbh0xEcXy
xIeyptYEY6TlHPKZaS+0eMpXtQerPxxIY6L9GmZDzhKZSxoPs4rYRsOTRX6VQ7Hbis5gURkeLo3x
9p25XpdttUrzulCFrh+QNaCo8zQOwatJF/lgD4HBZO/BTQwKFhV+y64rGY7LKZmyoxKIduo4502X
yVINGRDBICobHfSDOHT4qING1tpvC2CJM6zfGNfLUeNj0tLS542zdHjr17A3FU7qk1bzm0TQdeqO
RoEtNIrMaFFC3KNPpkMsyJ0zdoeDTQ9K2t3GHck2Z855U6Ewq9G5Rng1IOd8mnjAnPgafLDbVtBA
I/dQDuBQcXE2lcnx3NrF3OV+JKeHrt+4pTwL8tbmYRk5fm48xdvGqkzQRVP3J5xDPMHkhcLzHCQp
HZSWYw2XHeD+zulkm+sylXkYeS1EAcGLMuN7p13TDlZiz/gCk4yXflQNBfDyCN4o6Gfd5DghxDv4
NY/7cWlM4/lZDHE4Kmpbn+QY35SaOBfjbELeV7EL4TU4t1SuSQ3uIJ3x0k668UUBGq/A5XVu2kVj
h5thKK4h5nDrlg1+53Z0PgODZxZNYe6Mh1ZJgx/GSJyaeTqRhYyDqhQpCKIzClLTC9/JQHgHRV1e
QjRnOo7L5CKN44+Z1zj+kIP71cwTD+vSYnged/KJTW4rD1Ackss01VkgsXPQ9e1Nh/R8IRxQOSKn
bSHeZ1rVp2B7fJnDGdA5BQvarp5PHSucS5bhCbweOWzkIlrBLm/fR7LtAmJ5uQ+7WQSmsAFhfb8P
AbxhGXmN9nGpp+UApNnvi1qq2OYgARcpBSVAov02789obs9b8LMNCFZZT3qlnegeBPIMIjTosqb6
pkHjRUwbtpKku9Eb2k3iOTp5xEW+crLHEdcN0Xuk3G2M7ibhbmNxPQGZOzuWHVzw2hOe6c60GEKG
TjNxyWDU1O1URt7/vK9tFgE0Bd4yASU0GLwLwiH6vMOf21aP1oOY3JkA/zm/NtMica7/d11shvAo
fDwUpiiGrhjOatiYk8NBBvlA6ov/i06gfN7lwK0QRI22O2mTPB+zahjOcHNp9NHonDj96uddPIVl
owz/1cXGTXj0HLbTIkZkHM6IuCjNYi5tCCyk4nfZ9Dc9baTZ7QWw3dNmJI96KpKegh8PD2OmWaGK
+Yl30JXHQx/25cFczn+jFe/4N5/XgIQSG4JBD5cg0G13Z+NsnBuLhrPC3CCI+HB2GSeHU3nzef7+
P/M1HrsMFJLdH62hJxkgj5NpviTifE6o+Nzqm5OBoFINLBF14W0ukF0BPsGWk+FC4h4jroBkoE22
yTcnA17wBKI+SPubDKDNFv7uZEBBDXiokBMCAQyBOVRT/IqTgbYdAMj9kAzyU+AFJRwWB/E2L5R6
vBTtjHVtum48qQYsw34AoU3BgchzP+dD/445dDrIRggqh66b21urSX+VkxbscSsr8zeH1aZW4NHG
+DwaAm++greXkY3/8znm8WhjkGqqc5l0/YlnKgSBjbmKIAirgdGNvdVS9QPpbnlfQyCyKYU1vslA
AVLR3HJQqSSvHqS17incI+kCryjQ1UwdgZYTo9EaTQ4aF4/wfuYo9zbn519b+cuIGYfXu3gSHCl4
EcT2/JGUJ4DtZE/wSOM4YONcXIE6JvDC8klTEClHlAUpj4SaOYMcjwk417LsmwkFTa/tQzK2LfJT
p6ZBC+8PBoGzTNxe8YbmcQiaQXKWd/KgBOekDSC1V163iTnMi4GOYdo67Dhtkr5c/vypnsLA4ayA
ui14BRGoOp8f+hEMfHLiwakLSCiwkbzWMXjBikBItVaQeDKeDWMjL+oIFV8OEBAjIA/rmcnctlXU
hWA/vOmKg6IEaxH+2QzrUbcU/BUCIm11UokZnaA86U6qtvFTESV/Y7I2J95j1DY9wYkIJYdgGyV4
8ds91RWZZtMk+kTULrkzg26KZWTF5Km8TkLXgFLoY3cSIAhiOpR/t2g2i2K7e1goUPJI4I25YJt3
u+ccp0lclekJNzm9K7OO3uXFZgx0LtuQNVpDDgJAvwTbOnjK5JqvbQGxukFO5GhkuHF9PGQ69yHG
Vl7hpvZwkIhpWtdOXweuM5fcp1ITUE4xm7u/sSebNx7sjp9vjg14Ax2oHVC3uT19LutoRWnkHKMu
Ku/SxraxQk5uK6LwNFXxwZCk+ccYEr6OgLEmC6Yhd8n3UM8/WT6DTDslMQTEdNav0wbzh57WCf+i
fP1wMRH6BGRMMCyiTeIsaCiU72gbrBGp2yQWH2fE1JEUkN6VzEtI/MJyYfuu85vRuO8g74h2aqNs
+A2qlq3X1MuC1J6fF6Y8rwtagsEshvj9kIHLPLXWQvjI1FeszUUQmSryO51lqUotzgYVZW11MtRO
e2qcGYdxjGSmnDmqSt/rE+CuzBbnXhafxVOFR1VAhsmJBb3YeqWDA9aDIojSyYOzgXTzrNxBZEdF
QsVt5HbkIAEJ5wjyjHqISLgQFIWX803pyhHNBL7WBN4zGkBqmbPxvm6NvehchydqKC1fRK2BcA9I
E5cmQUO+jLiDIH6Z5NFHKApqepVWxvnQlbwM6rr1Vrmu6hUysnhI+5rBvsdlfpHKaOSQTEHiAwj1
dP4E87BExJOnZoCMNzI0ZoHQiPqwgFfaxX4/xBBU7r0kCssWNyDiyNMkcmI3QEjbfTA13uBXbgYB
PcuLm7F0k0MP/MMLiu3/sHdmy5Hb2NZ+InZwHi4Phxw1paSSrLphqKokACQBkAQIgHz6f6Xd5Xa7
h4i+OBcn/rbDFeHQUJlJENh77W8tJvul6Lxwp1K+veepnBvlu27bmT6HJo6ZFuZyg/1UZByTags1
amdBQkN2TndoBay1zUrMku9m2dJ60BE/CHxribwedKOp4SYrO9V1XpW1FhCQTNwGpX9oq0h7gu/n
tMcoeFn9i42CGJHsM0ZtHVaS3kXaFmrvoszdpP22De1lsZPmvFzZsIr5B+jEMNzelPVcxmlZzNjK
5fdwxaQ7mjEbXJbRv9O95r07AcXZ9qZYdHvkM4O40oWDfPIzLzpCLY6WasE1aMt18guHy8XzvBZt
i/NQD72dmrS36AVngITtPZ38NAMRt2aW1qDLCn2TAubBirKtDJStFpyFu9SjXXtvcOukpJryMceC
i3rFd2Jgc1EOEw6vtnGGpZXXAmDGfKP1RYyExJbzihaLbXd2yAbeqBZVwS4RhG9VviXYMUXYQ3Xj
dEYLbdRK1INiHngBSVj+6S0mY37ty1DvWZwv+V3itaQ9iSjTWdJVwil0oZjRYnejzUhoxptWGQxD
i1kJtlsxNV4PvlJ8rDBWHViVuWQd9sAAmFfhsoav3sjRuEZRCikI//ne/YBZjsJHLsRrx3nBj9Fc
6KHpqU4ft0VH0a7zZAhyAMORTJQZDanet7MZxRMO4+jUkS3sd8uIV9BIPZCtyQOHeWDeraPFlHjF
0vZwq8x1GwTLaQZgO9SkjcgC+MLgcrJMoT4RWxdtH0OPwW8NYHbgdQTdYToGPosPhGV9Ciyxn6Ka
SdbW29L2gBrsPBYPHaaBcRWxqQN2Nnabd/bbId4FY0sSvNwiG5tgpZs8UhZY0mC8CYXp+n1lAEJV
YPmQaKoArQJb0455X2d4/DFuZLiPwrtgEwwgZG5iL3peBxsud+lYrLIWxaRvMTzEkURU1uMHCh7h
0wLFGog3jJkEPU0rH9xO2WRj50AT/Rx3YfKeuJa3ZR5g8e4W4bKoUenG8OKXoOP1EE1gDnLglixg
09tgLSqLjnTmSSWp/TZirnswmSVtk/doa0qRt/g9ySA7aMOzCe42N0bxRekkeA60h++wqafySgcr
pFET8o4dZmAw9igyosJ75mXFi/Cn6+Lsuknts0FR9eDWGCSDP1lcG2oFXphU2HTPOMGKF5BDWN0c
u+RcQ5WHsK1V0YYP3bz0/WOYiyI+urizy612+lp80tVBWfBSML+W46+WctsgGIZcb3u/z65v/vrS
LfYnvK6RB3dxIvAulinBR0V72W9QQQxuHSAYPbuIOcMtPy+oCgi+hj011ILeT0G8zqKMRurjctvZ
Lbfco6Mqmb9MbufQOUfNaqbwumngZqrwjrCBOCi4qJO14C8tsutOuWEsL3Oa9FgXK0nfrYjwMtyM
AUOkna/OBGVud5aj6LunHKfFXgk/uJsKMr3FIEWmksaUhSd0y8Vybqkkpl7nbLIocNdoP4b4WCs/
m9bv/dAnD25RvjxMPmiTV5tyog4Q1fjnuhXXPYRNA63RB+RRw8KVqt2Y8uLV88FbczuSCZI4trl1
tvSRSa3OBe+7pE7COSTY9jBtKw0Nixfgv4Y0Qyhwm4BAh6gZCxlMHxwb8noCmo97w1537KZLPHyi
Dqxtg0PGTmcgPmEK6W/QBidtZHyU3lP3dS5M8eytKNNPW6Hn4Acm8qsqeRBkBkNzwBWN4wHdqtiS
lBxHXBZbeX2R7jZpjL51azY8dQbDCdAWh5g7kxw2m+Li9H6gNowqeilvReriG0/7sWzoJLg5k9WO
tMoTCOPPqETUD4wosI1g61Sm7KmymLJbk084BaAuD2QK2C+Q1qLclBsqsPUL9H6vwC9T7dzQzMN4
3GtH+40S3zPVkGGYemSFH1yc8lrwW8ukWMO2BYuUhYC5H1w/bMkdT8dhKKfR+OltHNDYVSuqG9VY
OuKq2VywK6OfcewdSgEfBW8212aAf2C/5RNWfx87ktVru/qqakeVTq82WYPnjs5Yazjpihesda4e
RCECbLDhWHS7HJNqW7rlLcwXmwdl35vsSxKKydY2ITq+jdshN49Tq4oZhztWdDOCiZp2aBxWjJ4i
3cubbB5p9BA6YAzH1kETL5lzHrntZ4yUaq5a7BmoxhZ9OwwtXv9c9GSnaN7T2jrfP65TjPt+TVMI
qXFLs9v/FY3k9ufjZf7Mdv7dYPf/HgDqo33+11Pb37Kk/yjA/GbDuf7UTzkFXhognD7UTKgEqFJQ
9P8+s0XUyHUuizzGX800GOf+5D4BiwaQYHLs1zC7YGz7Nzkl/8s1aTtC14lfmmYYs/7EYP/asf47
Lw0ehfGn1ijBQ1ICeGiyAn4eIKDXr/+hh3W2JTgK2vi+38ZsBboGjvyboZFu77HNRJzfeihrD3mb
DZW30Kc1JjGAo3isRbj4ZdCmsIEMU98shY5rTEX8g297oEUugqXByPdg3Ui1JOx9m5SreQRZYFbp
eeBwEExt99BNuLdIC+2Sq7g0Oe7vfN38AytSVfdL0KIE7k1pPW4aOuuhpikmOgKCeZCxVxOkFxaJ
fTrwuZKuhlEAs1RtS+Nzv+w7edmIfZGpPCqMbEo2SJQuGghWgR0HGN32XnTzJU0nHyP6MC2LIXwI
fT3cAvqSOxzqog7bQaKenj6jlrwv3aIr7mWNXj+sC8E6JVNjvIjUAxe3LoxfR0HGUuV2PMQKXdQc
WVhcRmAykfSgqeQFsCTjztHGuiact48lb3eLNOegsPsgQ4Eyyr2KgIyh7A+7wKByxjB4NtGHLtDk
2RbAuA92J7oR63bYEjQDCwHIRjNdGc6e82UQ9TCMBw49xsnueSi8WmtxGWf/TL2lwi6CsyjhF4NL
ugDja3zHZrHXXpDv8nQ8BQn/JhQcS1CBbnxT3KAyhLthaEUK8iycLzA3je3XbgYb2KhIEnHxNr2O
ex6ItSR+D3PB1gE7Sk3/PUyiHTBXi+16+V4oukMoLRjCHF9mi/2Y4kBVHSAlMILuoFd6F4s2bzzr
1t2k6af10hmTqvUt9YtnvblLYIKv0A9OvtzemOmKKgW53GQk/sFCd7I+Wb8OdOrR3o7o2CNR5Qbd
YuJPhy6ZLzg2D9mcezfoY59XhreFKTmYVJLft06xKqfbZ5wk9UJ1j7FSWjQ6Xf3Dln0GnYxRBOoX
o1EB8DEO6wEVaU+KaJ94DA0mWvUxSOoZWlnlSfqd9NNWDcu67XIQcuAhyD701Buz8iBx21QiFw5k
KMVUXm2NJrD5BDjtnI3bKp+9h7X1fpm1f0rHKACI1X1JWkpQz4dZqdq1xN1c4/w6DFmfVamWJ5Eo
CyhhRDWVJyU43k9F9f3I43ej2pt02LqyX7s7KD3n8WomSWVxxkwvK8MIQ+MOpclMGS2BN9v95HDs
aRoFZVgM76LP3zYMEUH1Hn1F3qI+Gp82L6WlR3OIAmHyJfPokwu9EuTXLxONYXygxXFz07kl+Xhu
pfolde0eYtqTl6YYZ+f3XqEu1E8/xni743w+9BJrc0vXrR4DuMWgLDwaI/c9ijGyMBimaNH0rhBA
Alz6VRl1pOARH9vcUIgBw447e0616pv/lQPw/+DRhp3+Xx9t6DH1xz852fBDfzjZ8Mi0FNKwH4Vh
mGKK84eTDeIo5nf4F2cV/J4/TzYgR8CUwAvDJI6a5Fdv6U9HA5IPoXphfJAkER7UBrPDf3CyRZgr
/L3oh5Ptmm4LY0WYxTGEy78/2czoFJp9Gt0rF/vV5szRrvFUB10EGiaddvAZLeWs19cMm2mtSPx9
jvIbXax9nVzr+c618V7P9KythEHAFzgJgezm27jUTpk7N+OAigsMcqVcvq2FeKOADtBkPvZxtxer
PoVR+DjB41h2E6jiYgxVOQfhjeBol4mXfVF9Iauh4BqVdvsF3O1rAhmhRD/mqtTx+4RE9wArmmKS
p2yYjj3m5sfNtDhY+xDgN3V7jByaMB8/45E+LpYkJ7gj9rDwfMvZWhZqe3GKwysQ8rAE0g1fU8xF
HY1t5Tu5VNlIX2ywfO0d+Bfa00O4wCA6KrilOIX2ow1sbWyM7no+nYYedks7z5+ToQH4Dqmrbcjv
GQynlSXTfZeY8eS4RnnMWvDqHHRsT2cctT5p71Qq/RpyDIiUKd4+89D0dybOvm8MH+7YcnoJUXyX
VM0fVPvFbSeHY1J4KH7Dcd1TofJ7xeCiyDKLq7bQuJwJeO0etz0ackGBoQTpnhkgROmM3iV2Gbn4
JAr229iRciJsKLmICEBmDMkZj0jjr0N3iCI3NB5j4b6jVxF9gyScOrRsvpTo/NoADM/qQ2FVbBfj
2NvF8Nc1M/xley0j3oiouwnEdN50d9+L4KhXstWM55/wh6QgonnceIpF9bqsXRO02brvFzI0fkdB
acXB2qB7K/a6S0nZuXnZFyEaJ05mqOKQHB6FzfL9Mia0QV5dd/B9sGXGDFGposi7DEFxNRDinU4u
BeqT+ukuJ3DndqvNy1WSsfEgZKAz6dkpUcruSUif11A9LIsvGgomp5R6RFomGAdGU4hnUxGfxkLB
IRlchz/b9SNiofhqVdJ9EVBtSkULcVgXTLpgtZYlyoLgPskplIlxQ0mFz72MZm855BYtCbWxhba0
sB89Z1npd1kLYIl7B193uyUZmrYVBSRfSLa8AFGGChq0WNwtpdfZvJ5HPlSp6dLLFrhL55ZH+KP7
RqEwYtUQDnfQffUB0sCnFts3HRi602OwlEMxzLcMbV4FY1E9zFN6TFeLU9DLzD5vRfwYessLK6T2
al8vOJpo6AKYD5fxu8Wryjavh1DSDajk6LT32PoMS12ASobALW2Kk0Cx2Fi7BmVhliMeu7PiGN82
FGukYUJ4J1iODiyKvhjVgRgn9JlP3SnrxIMFMOR52a1KvrZZeF5kan5Z++HDpqB4Y88rxYwBXG4X
e7NA4zsUhe5QqDJA6L1/E+JvoyM9GxN/TpDEqmAbbn0LHtvA57HlmGiwbstLrfgPlWHMARX0CJD3
ghnwDapwSPDURFdsBkcrCyD7GJrUbpUOeEuGEgDfLlQ4VpmKkh1AJDhpJn6/eORpgIvEl8vbGGN7
yH0A7Fk/n5kN3l2fpo3qAe4ZJckuWIJ9wCKMgWLQaR18AtkW8HJQ5hZ18euSJn6defFD4bK8lDDN
HvMkwXdqwGRLP5hq1PK8dP4B3bOoTNzuuqtNiRV6LcFU+vBPFbV284cCGFYmBsQWDdO3vl14Ahu7
uxWh/i5jmMyW5Bc0zcmR8aDs5u0bpH4I2tId8KaHHQ0hwsMWASwsg+sTuwxs2rDy2qovPFkaGYD+
TA/AWlF+weTrMXtBbsHNECrgQ2z4pvPikInoLiDj3ounPYGQjWtawVyC/0/eac4Y3ALLp2IZWAaL
EAG5HvW15F6u7VTcXyA+ejgLlgppBWeqhwtHtR4w+jygeqepOGTXcn5BXT8wXUH5meFbUlnJUfu3
GK4wIJW+gr0TvQGshR/tghIc55i3wo0UqvyB8R7UWioekRIw/7c2+msDj9Hbv66Nfn9a5z+pj/CD
v9dHoKuvcShpitk0/kB98nt95P+lKBLA+4jJ8YMkRVX1s/PP/wK+CtURJpUYtKbXfv1nfZT9Bd0V
QIPs+iStIPbT/6g+uioPfzcUTXJICAWOhMLHyKvI/jRTFiTHQWJyee/7AzmgBd9Tgg4VDet5ycxa
2SVUN24J5T7ywesVbnkQXYwjUvBvcxzKWnnqgByJpCkiPJaW2DQCDkanCofzVnaeDWsKOA60b7rV
aOj4w0SKV5rAl2PmKKpg8zpDLr+Zk/iQywJHrkf3cBK+tjmR1Tblt9u86iaTvYETRp8I7+Doi5PT
ljMOB2J2C9fCF5KMS6lZfils1tdiZhftz+9gi9D5JeTFcNj5LabXmNcA2e3NdpuK7NW1kPUDUIrF
IF9TZ85FH9zYbHj2En6r0bxXUHC/iLnFZhNgEtfac7bFj0J0u4B4byFzFZnITvtTVql5vBkz+Que
UXoXUd6VNHF74xJRYlG8w4yuSuEG9EqZbli60TJww1BHs0sxqppWmM/F0hhjVgxj+f0MVQGTwegg
KWIonF3u7GCWkiAGYw8ccNel06PrTVcliJKovHB7iNr0e6jH535Zd5AheRkR8eDidLdSfmRQ9Us4
3h7SJftCp5aAt15/SZnCANgmY40qvq8GweQuYquCppOh5N0usxPZLqDDyQXDB904VGEdfknpjACQ
IWwr9I73ncnCu6HNDi4nT9NdTI8pUhswAT6nKzjJMPd3LDMAEicotnrrGh1pAwU3/4WmqHaWCZTw
INk+4EKUPZff+yyVdadXuIymYDfk0GN9FNR6PTBg9CXn3bd5jj7gDPhARU4OZIrvrlq2MxPwfN/w
pluH+CVKeozt1hzHTsvwYLIJsG16HJIAAyK6m3PS75AgAUXWgVcNSbru82WUWSmSRTfWeBc22h/F
1tsZhCPrKrgK9tsUqzLT0yn2prCa4vFQpJKWMmyR4pBneR3H+SH0iNjL2b1jqvXMkARjFG987VcE
SxfrqHiVkYkqOsGfhdJvalhBXNNny4qFgHF+sC1BA7UHiH8yPBYGdE7YRiXYi6Mo0pvWqKDk/dzV
A+lwX2QDaGxgw4hYkWGJhzr5O2+IhsqHPH5eQ3FpPfo9Ija+6JY/5nPsl1cS4zhCCSspaD6EoyyN
QtQENJvtXkrcKR137koyP7RZckO579ej3wHb7vABivSr1sFJyQuL47Gc5/wBFk5YblN559oBkptG
ykcof8RqQATN2r3zmI9N1qu+9pzX1+OG9WGTCWzOBEMr3bx9tFbd9jUk0Q8z33TdEYbshslphTKI
ZWB4+75eZ1PhOt22Wx+UIgJTPMYHEVAPtSp98Uj/0S+4ZUIhsbbHZKeK6cg9DlsAYAto/MMzmIfP
wkhbwRiN2nTI9jGeDd7EQD1Kb9w0PNKTuPFCl9wGgj97jE93zmCGiCl/12TF1tZugzt4aVtZkRlG
C2rNrZn7HKkKMGQMBXuiM1ZzEiN6aB462sQtrjgmi+Bz1u0i2zEtYSZE7czNVo2r9xhN84IKHzcW
3SbQ+CYFWdD37c6suqvlpOMDxfUyMT31GMSXSzRdeBydB6me/NZ/bhOY4oPQnFpguw3AbseQcDPP
3f3ogvmXvoAY1KRKpF2llu68LKZDcWoiHu6YbUU9dUy95QWh8c1/9ZJfs7WujzT81zXBb2GB/1gQ
/PogxPffsrOuadJhiOAseLCKLE3+KJhcU/EwBPiDlvKzIMiuD0ct8hxhmPlv+OTvBQEeAYO8rTyH
+BJh4vif2bfwwOR/KAjiHI9hhSoBtA2E558EE88PVhXqgNy3Bd9lKwARDQUFUVHzXaSH17H3ytHp
ot7YesralSMVgdwOcjkgUuIj9sxU2SKpaGRVhcSgM4ZZbbkVHdxDBgSN510EY8AFJYj9nA8vfoGe
pmXIFYjZ+D1Yxq7W+XKnF7QRgXmDog/RtW8SjPlKJJJ8TYuh9oDovMwYPOBI7s+E2xY4TGJqvGy5
WxZ2JwFwoHUN35DAglXOYpTGUaxq6MgxUJv201j1EQ1JWm6hnza5hDKL8d6T7CmivMT75tsXb51g
pkmJqWTCtqb3EEsFrrReUmw6Y0FX3PbyW55032k233GQtOVs8RaXGeqjGoMHbMNwk5NbOW7nTjKz
7xC6UCsWPiRd9+BfQSrGBg0VXLtqQNrtHvMUAwTFfm9Vp6ohWGDqpjlisWiy1oPfPaM8eGALiofI
10BZsYndwPv0pHhbcx5clLDzrhtiZIcV25kOxYlqdx4l9SvQNbDJaXMkAU4WIrOxhFtdwkcFusZj
Kq8L6m/QoiR6TZkssM1kXUUwlz0BeO12Re9+eGZdTwSyT+ULn9SKd/k+srkH7CW6SafgOMX5uFux
QV5WT2B/hCtqtxLfxzyFw9nggc4Ri6AXmSJOa4bfgmU72U1fYf7d9oqg5x9Gync9yRh4rniXiXkC
/mXWQyranSYTrEKZQPAV4d91QXkFXpKUgxfzZhDO1ZCrvw4Z0qMgnNzCCrRCz4MlI4QBqGPC1T7G
56wN0ICJVJ3CcHrs24zWWWhc3bkEC3LJkjtfxdFhBvhUkWX7vsw+AsPUUpSLF4Ol6kWBI0BmB9aF
pt7W/BbiToFBV/oBlw0sNkUAKBmCWaSxlJO4c3D2s2E3kjWvAi99EjT6ajJEgjAOuUDl2XDQysGQ
ROyTt7bqCDLjO0BXAT0EoRE9EXntLwbLuMgeADU5CEZDfPA47ONd+M3v5T7znG5Cp2497o34nHM4
jqyoNzpBkIxXXPwM8V9CFenFXzcdn66nUGJKLF7WuCuGF9kP1PCvjuCeD3sApAOkoRJ0ym6NdPSQ
Wf5mxajqNof00yqNdIRkfXEEPvi0tTMSjHBO2qKvpdRr1ffyNZeLBQgKkIZBTETMx1wGkE3OMGdO
5ZRTBDYk4hlZH/dzirg2VyjkrYhPpie411DqhPnZ5P4Fgtp52+g+7PmJevTW7zAgkSu0vHhYYtBn
8aMP7aQO8Ht3kwvOedTbKgOlBHtcCNIML7wgB2Xjs+/5nymgQtXD3CizuJEtX0/SW99Df4U2CEN+
OTkMDVFnpieY+Xe5I65dQKtq/SrIZCSUHwwq4Cmc5VNkF/UinbNvDuIkNFVfmRkqWZ58Jb1MTlqB
FXgYEKWTH/XkxV9bgkLutktYv+dFr+ulaF8BKaRN4iDjBi30wBbr5RCj1Wlstw2VxbprkhHFGFbh
2xIvh61HMYGx0YGmUNkyAHYHywjSAGR7ybft3gkMJmHF2CoPfsMhJf2XJcAOx0eG7alHks1Cuk8y
Z5cZIYUHz0LdQaoRGjjoAxlytKJC/+CreZkSue1wF0Mmm1+2YqHl5G8PRczOS78m1Tj674HDPi6F
ve8sfwwQNVNp3aprzhnDWmvvgYyH1aohN3uwcqCbsUF/FDI02LjEeyYN1MxwmassZTes776FucVu
4L65LNwJdICYkib7NgYvSgbTl6BCnn2HKaSskS+Tg1gTGPJiJuSZ/B5RHAxFU/eZRhRWFH1sBfLD
soE1AY8D2D4F6E4zRWXG7RPfIlfTFrsfdC6yExGCN9ZVc1CMrNHSbfUa8z2YmqDiVtoS8NAj65IC
CmJ2047Tg1Q+qyZrQUnC9jXREG1PwOuEeLtknmEmzcQL0jgeJEpITNVFJf30tcvN986moKPdcLaj
g7Tk9LmFqTWZoNSN7H5NJHhbnZ7GtqWINBx3YF5QqOdf/Shn6L8lqVJPBshuDG5ExKIqWU0pVgSS
JdlTViAkDjbvj9QU885u2Gwj5Ll0HK4DDlYP3+h2czqfAJFhFM+Q5sHm7AiPNfZnFKVoisveY0+Q
yt6nJTui+0JyznpjpPfSR7jUfj418yI1thuz4wH56IrikFh5lB6+2o75pzbdj1EFZx7S39D+/89M
Otex2a9xsD8DV6+PDvp39eT/DEhK+/H+z3/sd4Xpau2H6SYHLYr6MAP2/rvCFF4fbZLHfnQNFEPB
+TeFCc+FhIE+AgYPxgQuH3zpbwoTitAIT01IMbtD4mH4nyhMIMn+XFBeh3kpogAy0Kx4WMOfFCZs
olOx5HRBoqoeT/lQxLezcOdcDFOVLPNLijTJqdP9QfyaMEnlNW1yQV7QOm2YxUMnuRR0FAgBXC+a
xCeJWdZuGqBdBEgJK7M+8PZsMHGJ6deOwPZ8BNeMdntsEaZiIbpXhZnEjmcY8j+tZHxD7SZLD9kC
6OUR21hhIhefjPO2UzIKR9tqzVd2Woa+XkMkJ2lvRsqg2OB28dv9GiBhlAZ9AbmfmJcRNfs5RP7h
bR4JYOXsaVzQOTc5X/3dGFzdzzNihDJTwFUeYcI4DAjOClME0cxBce6zWTcTCapEh3qXuPEuTzCU
N5EsdmbYHAzaGjAIFfYwW3UXKFVUWkxvsyU3a2Ab6qO8UeGtH5Oz3TQtdQchjIGyAy6RQ7zDASJw
hUvSIrwWfxn5bK1Mv4LMMO1uSibsM/BdgHhQwaGYl0eYvp/yzhfLcUSdqy8MU61DMo2VmGh6wKGv
xFOKyRxIk18zOaMM49EoQKBimSCzE+q7PbJVLogoRJjSxsXDioRPFLYngcTPCcmfORJAJZJAPZ7W
EsmgCgmhPtrShI0/rAgfGRJE/9uM/tqM+v82TeR/hpGJjz/vHYl//amfeweaUeSwR2nqh9CTfw0d
/H3vgHCNqEL885uZDxvVz2YU8Bmw6chHzgiebvZ36nSOB+7ggStZUuB5s9hZ/jOb3z+YYUCihTB0
RdeQjximLuygf+TSUKjYrovy4d4LpjfCUJxty/AtWJPjAMGw7NINwuvSZAkvfZPttojcFOt0Z3OO
mZfl0ICQWQwyyqvmbAl3JPF3CDd+ssyETZ5h9m3IeuPrFkb7awQAwB6WY+w1BMPNNZWuMh7Qml69
IzsVWmUQ/2hDBqe/x5Helbizy80PwGlTlfe4EbELN+lqkjJYxdb4cIcDA0oc+g8UZdlSLFWMALtK
Iyl1J+T6EK5gjEIynBeXIL6V6F8i2HxqELs/UDCc4AAba0R8oKI3qsc0GCFriForRVY8IBXh1bSI
nO5ytM+UerYcMgTgdWnHqo2MIXRSggKxPUZE79YMkXoTmFlkY7iXjZJbnYnz2I5niveEchrFOQ/D
R8t6hDUQ3vQivG2D8LldB419aOEQFiM07crARtRjPBCjReIRAr7afHzNE/jqU9TQ6NkTMzHypMNu
/ApQ/WXdYnvWubofI632Q4Ckom6avzoCGlmgDh5tWsZLAnnYYk9eojYsaZvfUhK+RBPGzwuz9+jZ
06bvl60OEyQ0bwVAcDIXaB/l8hh59EcytHIPKL4KgLqfZfqu3Tv8ALt4TN/VGsk9quc9hrNIvBst
ly9FQMXT4AOo+2Bk+2EdfdzQUDfZrwJwP9M8f8f09a7F+j76WvgHmNERMz63xX3MW3Vai7aKC+ys
NksPeoZG6VNUhDQu1ruo2zAtZZLbPexEr1Yg0JIhrSFy8gOIcXhAFVdMQE8AmZX/3ed+3eeu9t5/
Lbo9MdVfj5R/3OmuP/dzpwOBC/oHeQJJjjIkubK0v+900V8A0CJYFYsY8tl1RPbXnS6GoRnGXmg3
f/M6/y016WpxLhCJ8P/YO7PluI0ti/5K/wAciRl47CrUTBbn8QVBihTmeUgAX98r5Wtbku/1DT+3
HzqiO9qSKJEFZJ6z9tqWUH5892+dkr7F+r4PV/J4I+nL5M8gXcmX8tOTTkciPmQtl4apFe62HC3J
eQbXAx+gPQOmgUjuzD2QJf8VfwlxIu2hs1sihXPIPVE9J/xgXpLMVpMus7lLB8fa26QYzjIL64+a
4T8pkjG5iHN3dr9hHeva16TJ6lubrjtQlquGoNiLJpx+q4eG7a3BXvKALHMJ31j7H54W3xLQsrls
obo0olhCzTvFAwFU+yUf3fZOGjbxki52D9lQVs3KHTS2LPZcPZqD6PEzdcYns6X82RZ5uY/szg/K
OuzeRlaUHGW8hBMK/KubSkQ78VjfyLTc5EPS4/mO6mCUujVexVppjV8qznXWSS/DhVsNUslhpy/9
oH1akZ/G55jhAFOGsCvbK1edHd1In+K7OPXVmGIg3rD0KKrl2WPFj/40suLJ2lY5pkgmnWMtMe/x
YE5OjlYifUyGfH5PR6MpNob0t34TTi8Os403tBE8u7TJKbeInO3jPDjzHaDY8qY6C+gGMBJximQG
mxjp/i6sx+idn6SEAdqyvIVdvHw6yfTcas22jJKj5uLJLnRnXEu7rfeg/5FOKGmAFkIYeYp0rmNZ
NdVo3ZnHraaiIrKWyCjZdrhM2LaMLDyQlDxZbpIf0Ic8mBmSzlpDQhcLCQDrtf3eSTvnzovr4tBr
vf9Qi8Y5T34jgsKoFFPc29V92AkUzmPuv2uu1I5m3rtMfQucH7oWtD2yl1HTumkD8930WHyS+qur
Vd1hrsPyllxMd7CxDr1Gi+4Gi4/CilVreuGmVnrZaU36AgJVrSXJm4suW6qXZZi0Ez+80dp01UAh
asNnbynkQwlevAHVSO60ZKqv4xFTUcmthsu/ZY0dskRLBy7x437TTXYXRO0s3XVU2s7eGI1P38Ea
n5tHd5Lmzeyw9VsxLdI/a2ay2ybBHObXnbPqJajsP8/ib89iboN/8Sy+/Gy/fH78+UmsftXvT2IO
lqrT/LvT4+9PYipHyLYTewZEgAvlKvnbmdP9he0Gh1RS0WCjPHj/uK+yAOGG66ozKUq4v0mMsjX5
+b6KpQJmAArZZ7RN/uLHM6epGZLsWZZd6cLqWxoLklqsk7GwNIaa6CU2hdPi7h+atLnRoQ0Gozgs
bbGfDgcRgnyqyTfx97T3HsnY8YFMxnuCIe1JTHkVP4dqGOb0ZcYA1DLWZHuYlBGVsFMI0NqwAe6Z
p1XZfDVp+bjyXeMNmshe2212qpnBEb6KOdi1jxPTOeQ/y3bwONQJ+eEwv6vNit/AXOp9NNlbksQV
AQSfe3P6daxaY1OkBT/vaiRYyz57CJkSahaG5h778Tqb9CuPSaIsUl4targYqTHj1Hr70VFnykzu
lSPWUiNJWdFzwT4xB3xtxo2vRpfkrfON37r4lquQqWMTPw8ZD4jSrvHPqv6NpRasqmP8/INmaiyC
nT7eo/iMBLktyu5XhssDd8q1fB/Hot4A0dq7TtdpHWjK6JbQ7fTkjG20qtAYr7opsa84sRvrSE/0
8zxbOPEs4zouK9KgHbdgp3F7wrZpt40rgm8sk/mjjdRDzNT0+9IwGfbFRAPmUZ+Immac7lK9ZWtO
zPbk1S0MS+HPXcTXUDbJ0XI1Rz/4WceLzZBK5sv44V1vTCsYBgW5pOllDKgxhB57rAw9YEnDAzKm
rSBqYaU+WNk3zM5ss0+WZk9Nl11Ugm1K4XJgZFi6dm37ktMtz0kceXGRBHad305xeayN9sXQsotU
JliHjeLe5BW86WPvi8VM0ojcc1lM3DTi3s1YMc0JG2FIA1TIdpwul7otuGhncpOprhfTQpOdUf8y
FMALaNhKsADD2xRL9GWZJI0JkK+suSCgq6KtVzZmcDpg7C/AEHQPWCJbTwbdM2Y8bQZVRlPMD1jp
pmDuSztIRtCUea7NVUiJTQ+tGWBeZN4ckV0TVN1MCf9lyu8bU4LjzoQHM6GWjLafkcq2RrRstOYI
6nNcG4t71rKcQbLSHYXoT7wyycPYDLOTvCNsUBivzoSeN5yrO+myAvdn6WP2ApBrePVyXyBAzzCM
hZ37WYTRR155+ZpP17pPZwRpWnqNGYICEC6Fuhjc9dDNxL913PNlxfve40df6BaaMcEAJQjtPkqY
aVcLqwLqgrJj2fXV/T/vj19nFn+5QN+Ca5b/pkNB8Kt+e3/QCWlivfU84TLcFBYvid/fHxB1PLcN
BpqC/0JZi/54f/B/E5fjAuAySfheTWQzCgWlc20XvYnODPXvnORdxeb9SNQx7cRPZHuujprXNvki
vp9ZZAU8Njtm90yW6Bj1zVhe9tKYnXVajHXNc4kNLor3rsM5UETTY8XmdQ4qvwTo7dP4ZTK7O2L2
cxB3ZbaWPQ1CMgqyhR86XZQGHsDcwd2XvnMNSFZmaSebWcOlWJKAJXPBRi7XkJ4XtyQMnuRQ6dlN
D+J/B/299yWLGJedVo5gIBKJds7C0kMvPTLbL7ToZa77+Jr1Q+Jcx/nsXtul1/HBJ29mrhz4uyqw
w0KU9w6uh23Y+jyBukkPuTxoXZw8DlbRsWnJ5FNm+DF5iqzaJzE9A3tDtJdIAY5ysG/tCCl2yJJE
LPn9YAEJV3H9hTUtc4Z4eCeBnqzbPt1Yuvkeq3A01Q1nZzBg9KbHAXchpgztQhu1QCuschUpjs2q
az3wZgldU7Lbw5L5BDblIdXPIIvsu8zjXJmiK5q15MPw3ftisD6FxQK0K/hHsb3+xjUzZi1wZHvJ
778yMKe/ziZp7gwLt1h8GTRN3KyK3Ltvct3YVmVGlRfijdWUGvuY8Us5jm1QyARHKXY+G903HLfL
e0pk5cZIGxwOYj6atXETGkOxXswYys8y9rztaa3x2Fz682QceBmpgiDxISo2y0NXILWwQxixbleU
/lsUVyfHd0+dSYow8YDFzcW/c0OYaXRL2ynUPmx/2eZiOjDjOUcsWFfERYK6XZw9iu+Y5Fj9ta80
uosSXmKDVnyRsU+z2Fw+8yPdE/ca3b1jEeLgx+sGSK1f9V517u1Uw2UZXmPpuLEpwKHGQb8Naw0q
KsfZIqbWRpk+dqwSY0z41fOQGu2qivpjz3ew74YtE+dkN9m8Vh3RVJulZIc7ctRp7Ce9688ctu5T
rnNrzuaPRRTfqtA+9BnXu8jRDqlD68EYt7ezG95zFb5ZGgSYUk/qgGl4xKM+oUqtDa+HcNnPeagd
zEn70jZaHAiLI8hsg3Iuus9qdWDrwA105+EZDnAULMeqdq9SNBPbykPeWg+luS7GvGfdLi/ALD+Y
3B+TwWOo1yWXTlq3KAzcE4MJfSd8cuczUVadD0Bg6elbK2q5nf3+ym+t51GDwOCjPq7SuUCbN5hf
i3lg3VZXt8NSr3uU8Iuaxbuu0rmUFeexbHww5FLuNYufzjCqJQr65DOfjWU3uO6zLelE0fkOjxW+
yLw1Dh6P38D0vIt4JC/jWJQSicKytrJJr5LIYcKZ3Rb5eObQoK1k7Op4TrNNUvgcHcpm6+QM6GQt
zaBpp3nVlM691JsR7lF8DQ2LFWT+hfLBQyNNwW2WXXmoGZ9Wpz12qeuvi6J4LGRvbAyfJcvc67vE
KV6q2TrZWjUr1gBNgnV0rcm5MVOvdsnSYt6cQRRMUIXKsJmJaVApg02Vi+IZFsAGe1zeW9N4aSgW
3PuKfaiBIBZFQ3gcfAKrJe8CeM0CHGgiVPSEcPu7uOwB4muR7/FRIXRWtAVJptfase76AoeGJDlP
QCGUAXaMNEjrulyXiTiPTAA3mW1+jsvMbMJ2LlNFeVB+5e4zRX6MigHxh4agqmB2QqzlizbySdYV
MyJCaZ8TxZEgUJgCTzPiwAQykYo2mT3AXx0AJVMkCvtceBbYlISDGiehuMaQKw8zAEuhSJZCMS1E
yakrMPlppQbni6PIlzpMl40NDBNZpqJi4GMqQJkMSjiIXSffelybVzwPl10JWNPifi0BbSIZ7ipF
3tCF5XA2T/zVTDvOyu8L+ncUq+PYc3jjlEa9pTzsgH7lIkWeu+0V49M1QKgkkMQaFGc+xsPwkTUi
3caKDjJqEwq5hiHNIKf2cVkuD4ss+N7ImXW4Yoy0ku9rhOVkZQMgoe0ABdE9UrE25gggpRBYSUsW
zoh63W7DDPAYoIkMHOpV17lYugY+UlFPA/hTPcT3pbHMvBB1qBqTNrcBHgPjWf/FaQpSU4qkmhRT
NetRv/YMtmh6Hl/3gFeMi0SQKRarBsoi3X4RAmmR0L0eFbVlpkxBjJCZdALS5YN2eVDueRcyeHPB
2KgYsoMcEKwyvXkTKjYsQge8EuBizJ7fqky7zsHIskiraKfhkpW2OtyFVX/mhIejQlCUqDi0VhFp
A4GqQObipVa02gi2FvoDBLYuxkA2bbiugNsomRH7dEqjxybOA6DNF0eRcAYfXWxGXxnbvdimxmKg
P9cjP8pWX3wJbcPfINLJ0N/kj4Mi7SrF3BnAd4ugzRK97KVe2yEZw+yUt5xELN6ptmL3dCC+yesI
nIQXnqL7aG45Eu7ygwbwL7XLpwIQcCoNdUGEDWzx/PANPTas/e28+NDAAOSkDSsHMAA51x6U7dMD
GOgUOdAh/ulq/r8SqECkAivYqaBSoIU3qLvszR/Sd2wh63rUBFEd90CGUP3UACx0kAtLJ7cEnfn2
KKghrbvTpDCHBI/u1oB8gJDgAgkLkaQR/zEP8BFSImlzfWUpeIKoRbLj5PbKCeyQTGyRFWhhQlws
Cr0YYDAcWIzQl0+6yW+uIA0ZpqdMYRtm0X9huvgUuQAdNWSHcAsA6fJRN3nh+ZRG2QoCmT3zPGXJ
Q6vwkFqBIhq3szrxL1gm+4EJSzJoBOHd1EYJD2fCdGsh50zblS4LJJbAKJ3CUkhPViiYQFXIVdwV
Cl7B4oP9gHMnhUzJRlOIS2m1BxfmRcK+xAqCiaR3NevproKog8cyKC6ay0CfLjz4mViBNJoFUsM0
fJemYw3jxUHGXN5N6BtHRu8eNI6lsBwtFDHfrOatUsjOZNDCyYt4bE98fO4jNdhImHDotcvFEel8
1268vRnle4PI5thnoGJmfVN+G5WIMnEgui1b157isaoEd0cUiUfmDZK+wgQ1zMj0ddRmhnT2ayns
RAussIoIPLgyQT6VHSsp+CoyBp5CQ9fiR+Q/K9BFN8VBkWlym1hVQHnREIRj9UwoatmUHqjZOEc6
ip0U3WB5Jy1n2nYmobm0fUKCaZOg0vmbMmFmJHWIXesNAuB6ShCIxS7ChTjpC5SifEKyzGpWthx1
Wqio+StihgvcWYGZeKXx/VPfO87mg4/7wI/p5GKxltPYOPXueeyTK39wLwgq+6uyS990HzTRty4A
GDjdVPU77xaCujn1sKWHOT2xjv0gPhdcZbslhSydR29vjcM1IRpwBuUD5Cqx4lwjA/iij1YWe5N9
/Zq8KoPNzrmwGoR9cGRlT97FLiq557l74Utz58LdrbEEdPth5BOdGvyBdssF3MqZp+ojxxvSucRl
d7XBadfXs9esSdZWfJVBuaX2vEJJdLBbtnO+N561rmxWZd1fFTbwz9wSUNRJDc1AuJE426zh8nI8
W8aVA2CFxChoWy06jqJ6QgJ36OPkpXf7h5riJopgxAYVz+S4d1NEyVJXnOfGeE1q0IRO48lYRAfE
3cshHfJXvsCHONGcgHVGuInhp048FV6tohqfimVkQNSkpwlNVdBRNbmeiwVR8Uxqw9Gf61G8TWl2
I2X5ltUeSaSu5yeBmiu7QsgTPxWYIP8ZCP8rJQfP85+Xc/9bvH1U7Z8HwoJf9duF3vhGGrCU8yzD
8Gz9eyJeB5Z3VXPJz/yS94urihLJzX3z33x/n/d+MbjMk5BjMafsAn9rMwcE8fN9HtGqL9AIKJcB
jp6fgPiqtpeM01F3JXLzPiN5YXT2ifLfm2wCpZYqnMH0Uha6tU/nOYVOJMARqihHPw3hSjQ1m7CZ
/DMGu1thwWbGtTp9W72z6hadpJrKwvj8XqVbxZucMM/Bj1pjVcf5XauiJUtZUQ1WTZdaQ+ykKFOi
9iqKok12GDASTWEbsW5gzuetRHbFhW26dMelvEgNgy4Qh36vKGT/bajUSwd75KkgjBMT117a8j4u
PcAklZYRbXdoiM+EXh+R5dVhKK3iExnqIyJJTTk+9hXhG02lcMKmu1xULmexo3fmKylM8EDjL+Gd
sj2k1AurQE/81prrHgS3qtAByHFADKsSQC7EaVDmE68oumQ3NUEhyhXr1dS3HwMRIr3nyuML/kI0
rh06YkYs23hdlRttuRhIIE2W92qnzqFS0SR/Bq33SSu1UXudqPiSNXqAwgy0M4d28EgMtMUKviUm
vW99FHUHtyUKhR7y1lDhKJ+UFC8lEHoPO5wKUCV6rG8NFarq3JGZtQNnUoc0neQqfBVmUl+1wrsw
yGXNQ2LR3hwHqVcSy+vgAVSIqzHx2X5rDnd8RKMOdrlNpGJfUS+IDpME45yYcjardxynj13m3lv+
8qarAFkxZ6seJiEdY5/bEbAmR10OFGTOeBEaqF6ao6nzd1nIpflmka6zUC/FdW315Z0XEkj0WlVY
UF0tVktZAKcxY9RUd8SbXzE/brEl0PChP8NNX7YYGQKNvD0HTPOTtOHn6M7ztut5yTedF+7dyX6n
kVhwYDR4U4C7kR8a7tiRdqfCE8cxTV/qxT/R8QvIVcW7ivlMwwCYyQcBwD4K9RX123LFWfPcpwsf
n/E+jsL3JqbbpjSxhKZacceQKeakwVTcZIXc9BGYL9VtNIPDqDjF1qPhw4nshzYW8REpBXR8utzx
e8qLZrRHpIFVhULHYUeoBJFji+lT99U3byJiJpzQCfTQeqIDnEf+MgysD8vy2BnDxDSY2Hs8Jw0B
dTIZy9RVz5EIo30Zx+11ysCPmmn6SspZ33pD8ci1ghgFNRkUGTNyMpiFINMrKftLSdMlWcKnvTcO
wO/kA1MnDoirHMTiiQPs+8HVw3zn8LWsGsdE4qM+pV7RXWMJWHhxlXurx1TEyy2tCKalaQ+kmGs0
clObt8YfOa1mK3YDP6L83QIDwBoZEDW/TiN/VXXjgz6lJ7sduKfMZ99q70aXncTSFbtYYwdTFtij
ykw/j9PwkNBUQbgnvi6s4SbDkuVl02VXLM9diAsow1++Kqr0Ecfv0ZrEfu66+56C+1UzlLSJVhy4
/Xy6yDoaPkRbbYuZoKvRTpdha95ksMmbSeob16iPxjCU3DoHzErhK+vwK0TKtCHU103qAlCN3XsY
UuY9ZMtzHnO4YIDhbZBcvnaFi/+DbOSqN+r7irX/RGHkhuU0GxvKTzLogtTeJ5ZTkk9WQbi4QlGr
onH/zOQFMxtG5X/1Cicc27dv/4Mrt/8Tifzrr/39Ra4j+Wcoy5Qd0Abi97vJvAF+A4b+r1ey891k
3vtFR86D9AfUT5A5Y9T/B4mMvMe21UD921v+71nuxJ8m85wFeJfze5KDhZbm6/t+Mu8X7uKXPCiu
AGHQO6/bphLHfNKtY4l2h7IyaBaiJbz0Ju3CYzkYpDYTBZk6QVxyI6VU6n6K+lPmTXcjWYQ55KVX
xxzqMT+i8EyWo5/0j7KYz27BGZnMhQmbRtwFAG6acHgNznqCSkwWgrIFthW8ez7BbH/akYX/anoM
LOQ3IDbJ5jWaSGPTZhq0imdthzT10K8hq8Cf9jI7fB663Jo3+DCKQLT1PU21AzCdRv0OLJxZL2I9
y57lI1O8tgyf4EGC3nB4Q3cdDV7y3aHzNQ0bggu6+4VPYbIeneTZaaaOykKH0SlVtQ26FlzDz05k
MSqtl3UozW2MmGxldsXecEY7GCtv302MU2drZCZKmexchQzxpytRcYEgrv6SkPJbF1a2ow7l4CGR
3+qTbIN2RLDhRfVHJCz0I3r5XFc2uWflJmEB++mExnImrvOWMKw44S1Bdm4bLFUjh9uvp98aOIoC
C1X2OlFS1QqD3E7K7KTbzUiuFcEAno+2J1Yyctd2ExK5brXNZ5MmIszZG48dM9e1BfSQC+nlLLwp
yDC3bWmLrYMw1+Z1zwGT11YWowdC5z2LJNyUouO2Iap85/myvzMYUz5yIIuDSqDAzbpcXPK6AkeV
WfZStTw6kao4zwTBi9uu1Zvr2DGSg6e300Xjh8ST57yij66B8uJynl6EZK2UoXmidXPJjdVSiPB9
8hLNQymqNYSjxE1W+TRMx7J+EKy9x10Iy/CqpX701fKIhBcK+pbU2FLJ6XH74QTYKTR8VJB41+I+
hhrv0axxBaeaObrgGveCptpfa81wbhVwHir03BUjz2SFo7sKTLcg1C2FqjeFIBel4HUodtTe0SpT
YHupEHcCKITPrExnVQUAz2pYbKtvVLyR3Lm/YvIA85VC59EgjY8+gvCDU9HxGyvEnhZnsF6o+0nh
9/ijg8kDyP/nYf7tYa7/5cP84i37/PNtTP2a3x/iZEZoXOTpSP0L8uXvH+LmL9A1hs5O8zeXyW/r
VThynIMA4y7/zx/jJN4vXMJ4rnN/Ujnlv5dPJu78p+sYmWlYH09w/xQ80H96iJsYU2BB7KtszKMT
REET3k1TRkyBD1W2k6DJDLUspYm3gyjJ8wPYgiRpotn7LKQMoZgNSouk8Hn6gU5uJ5xcKwuZ+8pk
WujZXLhkCuRA8vKo+Sk3qSVsQFLEFg80yja2Yv7ifdop/Nk4s5qFcVgKblPRqcQ+mGIh1L7pCJWY
sMdQSLzUec2VtLBT+kLJdC4nfLdQIifxGzZKdCgcPosIrcZ1iQWxp0jE7/xPNrV4Tb0rNCgHOrnu
WPbtwOyeNaVTLGnjbfArtkq0iDf0WTVXA2neFYb9gLsehYNHN6SVoWnU8TUyjz6YXr1JRUiXd/42
KLEj5m2eWD2yR9a3YIo8RcGseGG0DPZc3JCNkkRmrXHisXZuGKQxuYwuG3ySLV7Jfim/9ko06ffI
WioJRBHWR+Jm7rqgK8HGTknilCESukp/QbeQMYlza1SWpjsfF9yWXhvfzEp2GffpYYig3RslwvQx
YlZKjVkrSSZN2HtDNi8Z9kwMkdXaNttlG82o2qI6/oJPoV3PNdrNUp93Dh7OXAk5ubGcyxpFp1Sy
TsRHj3UYWxuz/QqmKfZOhtgzjLCERjaCe1f/qin5J5mtq0bho4sSg45uc+8pVaiGMzSz25scFTgv
Fh6FIzUrPXpRO4LlmpRyFOz/6OEgdZWMNFVaUiTXLxaeUjber5NYbhrygmOrv8iaJUiL2ZTwMAtH
mfmbuoPUced9pjSo7TchKmbUyfNZoOg2neR1tE2xp4IrSdQg5tbFqzoDylVMytmbEELq3kfqYy4m
26YHshimaNeTq8h5aczWjr8/299ZpzsabcTALqtoIYF7z2UPTEiS75ThUonYhPziTP2Lo9knIxj2
NEL3ydbXWAVQBo81F1Ih3s+juFr4MNzMXuruCAXIm9pCrjtJ42iaqblmWL4yG37NktQaTCf5BXcS
1cbkp23V2g2t2pk+i41lJtOBfkh7ZTdVcvS8adm5oy03LC16ClfZ64px3Eo2GxCiVyyjiAsY+qWJ
O2ZF9uxm7lzS6Hl6bhxq0A39CZxzvmsRi79AXzE2b7hamfrE5a8lmcVbD/zezJgPR6vRohmFjAWC
FbRxCM08fm4M7FtuSf+8Lil1YolKmz01TpBpl5nBBs/H8jFQxLMacm5CJELe20Hb6ez1SW61h9IZ
uL7Y3lHD1nDUo9wLqppbIuP79tVwG2YFMBckcUfCD2iKV2UM0KoMilvqi8AC+kV8aXTjmfKHcOtj
S9vIVnq7cpl4KmW5vasKrmUdIsrdmDUVqU/1/Q2dAlo8PDV+vKOi4JzwiWJONByhzm5iyd9aaDbi
oupEzcEOXrzfVD4z33RpLznSe+uJkTfPjIHvEFQf+5gtOMq8LcriJrYTK2jVopfl+Mkj6bGStdgl
dvbCSmA3aN3dko3jKs9bjmcEwvGjX3ZDG6EDKDiduS3wc713hu5rZNJsYnMDCGoCMvx38HiX3lTc
F12aX/jxeA013a0qK/E3RWW3qwgO0U77pxnKWlr1Cbbuc6L+Am1QcewzOW2Au3eED3/t7vv/njnl
ysYE8z9PbIPP/H/OHIr/zTFB/cLfjwnmL1wLeNWDUn0Lnn5317NQuBq8hq3fMmC/UVjf8hQcAYSj
6pdU1OH3u56l/8IrHceJ4TjfEK2/lTrl/PIDg2XxXEMwS5KCwCkBjZ9uen04pF2+lGx80fyJLLlw
o2xtjvPmu3+Z61/jGd9XYtJv+cMfxN+EB6y61CJxo/uLfqAfTyO0AmW2F2fy2raxNveUUFgbm89c
kUA6VkbEuk26uPz66sqfh4smqx9co6Uzg+HaGs62h23Us9PYEi/nlE1B1twDF9pUTeNVeJZdjZnE
i4lbKl1r3OV3NX/g2qjz60okaJDdEm1FYzTgBqPC5wulAvVOTTGtqcZmEkZtQ+DDw5v0DW9DZ9zS
pod8gAQZdBbvV9d60jz30rdQXPDXfCY7Ua0Rl90hTrrViumsafa5T9i+CZmkWEM4cfjjWYZFxC1D
ByH22MlFI/oVdYIYRtAgbeGTOjz5XvsJl/oaFfNLq/Rh2YCOhfKna7sNT45bJFuShHvHD1uOHy3f
obZ9qJxon3ic3/I4PnEcfS9lnG3HQtRcLEic5SoAoQ28BHIETlu9X171olD3u/TK8ri6zTnwVA3H
Avk1uPpD2+FgmYphVenzrdsMO+YNgM2RtuJwVvCFmnBMlIBRZ2lj4KjzdcGRZu36r+ARG8ECdlDY
VzdY2YofiMBDy8/3L93h7PrqzbBnwrEvwUDQYpd4dakeR0wynw1JjcmMzV7GOg3Een5Na0i6NU1y
M4V1GUVhBIlt7fyRf9tYhUQ0B4lN3fivDCn2DLZuqxLQwVy6x8RhsBrRIMG2Or/r5HDQ7YxVnSm+
iBx5RSTnxzxJ7N1kLlfGxGS0i9ORsov2Q8+ND0PmSOMnfV/l/oHVib7OpNwhIL4pqAOb3Mq5cM2l
hBwsvyxp/Ry7QH+FU93jbocpaNxsLwdWh65cG2a4xS9KlwU/YkxrLRlvyNY0b2VaRe128TQEILbD
mwo6KYM6mI2WI5MlmzIQrtzqHnCx3rTTMc9tRoXsX0WIL8syPziSHxJb345L1TLhzOrxERaHMwjm
CF7GdqKU7JOeBFlqHEz8Xzr24F7J4bzmjQaCWz3TPslrZasGq3jFTyOS25GJTdczGpYBxyz9gDcF
Xa8cL7wWob9q9UXIwTmvGxOV6JYvTup2vO/ryygR4bqrJ1oPVHlMd1GnxCP7bi9l/0w3Gti0n67H
VNCxU11mDh9Zs8yu2ZGcck07LDl24jiK480yzXikx+TDkahWUsmRZBr0W9qcKJHuPyE7gcKhx0un
fubVyf7mEFsttT7afnZcNpXidbFnyPCcKpc5f82tO/xFyHeHY82OPOf8llK8bmwRtcW+RdCKDjdp
WvuRmu9WjxEdL/W4M9203wodH0c0Wq8lWox+qmQQam1L/LLeDXp5NVfypa1SNMCz9UgnpXdZa7SH
3asBSuRZbbivDFXQ/V8eoz+u2NRTlNeFRXSD3BstGSrc8f1gruvYyYezM19LZDUraxcep7vq8pD2
K+2tfCIFcGBfsgpP+POHIN2Zh7/+89UG74/s3b/+eFxc5jfrFeLZH//4NhzsUXOG5Xp03+rw4JNV
86dXrSp+3QH/x3K/f/fnGFxbXW7KJAqFMiV817Lh97yzYNeXa50cHlO2PP/0owN5tP/y5/z49vv1
78O/J+9AXdCd/PMVucFMaA96LK4d+9Q6ZG8JEvy3hmbr333Pvv/L/HQPH2IhOoNU7jVszyNLoc24
Fx9eoLZulwU/Y6vbdsPFYmvsH85ekK/O42Wyfew24eYmPcrVnvHfBVeLVRRUW/5n8/jX31PjR+3E
r/8IyjfhcheiP+VbtPy7f+ycIkKKKIR+zZX9HN6IjbjUn6KjgfBwPQTz6vii76b1udnKvW2vixMg
0A366S1J6vW3L+Wfg6Ralf/ng+TlW5vUVff253GT+nW/nSMxENDZamApcSwW/apV/Duan95nE2yf
6xz9ON/D/OQ1dJb8fxADf6wMcODphHY9zn0uh8m/A/OTMPvh0WATIrBQoJCo5Sxr8WX89GhIWy0z
3MWIrwrB3eoyJh35Ouki9iBgyjK6rlAoHZehcV6dmCbJva+VDBQg4HiOLm736MdWdef7ib1AKA4S
iKV0+6fOpNGGwrPc3ThxynU20R4nA2R8ihYLo7mRrY3JQaxZ7gY2ZcPo3Ef5/Caj5Y29BXLv6dbp
PJoGHbEz8iK5MmaubnrmbKYxDODL6NxMobs7LutRC54Wifkta9oRaxHTg4G9LagPlvB5IQnjO56C
dJCNlKi47YEasoh3Aq3K+7pwbq3Rvi04gAQZnadzOJ0Xr40C1qpvTdnc1abxGnu80qqwlVvUuFhq
jYWAQ+JjGR+rZE3E7jZ13AtKfZ6NIttmTplfFC1y7zjDIxYasKIdQITF7n5FfZq3rpfsdmzqByoC
6kuTvmEICF5XrZoHtQUvQWmpEQIKGPb5Ey3LZZRflFWxWdz6GcJuXHc6x8VBtJ9L185c2LH7e92w
zzm1Cb/Y6+i3atdNMVz5a8uiXJwMGf07DNDilH+DJtTxhI4eW8WS/81iUboq/eqxjLMPPEs3nhXz
oMu/UPZ771RKu9Kn1gWM/oFRx01Sw4SOthtTsoN4IRqci4gkCz1S1i3S23urBYWNbPfDqcrTMpu3
9ezRUiRAy8uSNTQaOaiAaDqViU4wj9wuB91dnmjTyqBfdY3gnvFD+Zg6XR44/8feme1GbqRb91XO
C9AIBskgefnnPGqeb4iSSuI8z3z6syifassu2/373kCjUEZDUimTGfENe6+t+pBtSrhWRXOLYpnj
rffwVQlnQ93WXbSzAtcea6dhqLRvYsXueoZSVHF7PXVMICwjuMgmVkGlhoA8Gtt7gAavXtdTmAds
JBDabAjLecQd9mR7/lJW+jdim6ASz/8M0d1oo4OQcrpMYrwUody43hUPa36BXu2UuPHVNKqXEAXE
JkOyu6kGduwm/LO9KMZjo3jsdCs65ZCkndloRhrBI/mvFOdWHy514jeWWkX53McXVpFeYnk4YgK9
6mqnpH5nDufb5kYzyheg+VgO5H3aJIQ/5Pah6NTliKCBuqo9ai6a6a6EHebVdwysXtGYnyvVvksv
vasbew+96BR1FIgCHTUAf7dGyMD7AI35O9wKPmKTby+cIWFukalLfvnZNxw8lRWDY12kl9LTr0rL
3JRu/KpphPfMZmo7YLyRGulVgwwXZldwtNMme2RlWLF0Z7WjiSw5aklLOuisKPSEUks7Tb/1nheT
LpVc67X3lCChX4J4ogt0zZ3rTKcka86tDrO5NZ+JJ/zWGAT+WfzQXl5HRbhKPHePPPuSVdTWpBI0
CO5DUUqglaVMRKNOthnjbGVKMkg4aLGiBgfiXI1jOJsf608f5DBbIscpQ1I92yTd2TCp45xsZwul
/+mmLGdjZZmIZgvLEI3RbLssZgMmUZUH5oX6RcAHa8l7bl1ms2HTmq2bQPiGx2m2c1azsTOaLZ4N
LwFucmyf+mwALT69oP6nL7SbLaLNp1tUzsbRcbaQahFChn+v6V/X+5RGf31Nr5P/WeUVKr2f7+m5
QP1yT0MEQwdnYND+w25f/4W4ZAE5QyqWPLMU77e1EKMekwERljymPfMy58dFPSPuJWNlC90VpDFm
S/8g5wex4E8XNd+HBkKYyJ6QGvyhHC19b7A0vUOlZ+YP/SzT6dDraEyoWFjU1RVp1oh56GmfLLNo
lq6VcH7YGh/plJydWuuyw+STzxNPtFIClRDAapuRp8MeXpf6ZprdUOksK2J2US0bs80ZlbvcqLP8
KEKHRF4v+/7BCdjz2/cuWiWav2yjJvRnYCIOlKz+rkLZ1ITDIyaDOaymuK1ySLKsLNydLvw30BZ3
gyGO5LVc5CJg9TpLp0QV6ZvR0vGSo6tK+nA7zkKrHMUVrPNnr5GHRqGGD9Bkic5PNn5J1nLbM5xW
KLcUGoJdM4u5KrKHN24+vKtcveO1j1bEuLQrDB5ndzCeMpljM26TfAGC+Jvs8IvMwjH+mW9ull6y
/lg4RmcvtUDl+cNAltmaDmEb6/B3LGA7pHJs/Dy5Tj3O78lK31Wir4cZzJMnxdYE1WNX/U2vYn+H
IMAh7M1iI9RP0ypCybtutQFaBwd26MuHEAxQN/OAKMpyNMUOYviZFhSBDUq6fm+o5oW0W+I+DYxL
LQqLaWYNOWJ8cJKod66Gmq120Qz4YRI6V/cUaMXH1AYYl+DIr+uoJR56sHEOTsmwTUPMhxxn7r4o
x+DaiOU9+RuIumYXvHSCxeTHxvMkuJ3Theu2d61K/AsC9YrDJNKK7FIt3uHGB9wpbnQo6swCHBSd
4PS52cOHGbNPlEzrLAwNtLfhY5crVDGsrJwFhKblV37k4TDBaS6VuLM1lCV9hBSyZX6ZqIPZZrzE
KD28aHgsrPC7baQnT4tQc+nYY/oKdbWttd/wXwJTN41nTSYvTMGAUfn2FgosZu4gwoXp35YzZWRo
p40mMU6Vk7MZs3g1RBBik/ikPPust9grnBHXAes9gVt63bUORitwk8siZgfaadGbrrQnS8IPDYab
JGhOY6fdkd3w0tDVMstzUYhpx3KoLoTh3Q9ZdBz7lHfLkw9+SiBfUHl33mDjeOUVKqRvboyC8VLs
uBeZNJ89u79XQp9g/SYR6jzuS3K4X2vTvemr6MKfF17eLGS1u0uwMDfGyO+SeuF1Vet7aIlL03EO
s2uuVf2x0KxXf2we5qkibBASp6zLIJx2BsuKQlCPxPX4ZLWOs418rDhxSIwKxxympRKviovef+GR
Lb7swuqpqtOD4Xbn2JD7QEwPuKocXg/PWJZGvy8wqi95YAmz0pIbEp9eCyMlHiZOqsWknC3eHWNN
houz9pq8XlPM4693CXA0iXmIijQiAbpYDjUiQ0mk1XzickrpmNLM7iqn2lpI2IYbjFDXlPSU/CQa
Cl4CzqRrY8Su1rpvloJzUNjqHrjF2TDLaGm0JBR1uOxX+XzEVQGGE1/cSjfDTgOJVxZ1uqiJF3PZ
Fu5S0gn0BMSvnzZqqXje2sm/BYbxaqek0PjSOQNZ9La+r2kbxuw3YBsqorVinexm+1WCJFrrWQIk
TBXr0SDCOw2lCals3MSk4FTN5N1G5QQAudLvsrDLAKvZ4VsRaBeKEOI1cEBIZOFjH3SXGIx3qeV8
TEyq1g0BHMRLCeK+YEUsw9rS3AXj7fQxJUfNP0/SHxdUlDnGYesI6+bOnVWD1awfnKb8JZ9YKRVm
Z4CSnJ68Dv2gjexQNVq5nNrqygyTi4B2y0CgOCBU1GfFopFVh2SS69g3IdE01jUCxXPrYp9Ws94x
QvjoIIDElEKe3KyJtHo8poQv3BnIJUMPgRnyyWjWUcaA8/jXTE/Ae851OT6kFjvTPrrieeBFQIyZ
IsqcLDRJEAZoIQTt36zcHFxKe6ScOj5CgbTTFMN9JhGOIflUSD8LFxe0w1+GWRVqJ4q6bVaKugpJ
TjirRzOBwnR2S/RhscsQmFaz0tRmL+rjqeUkQoVqzXpURKkoU4toP81aVS0m+vtTvTrrWAmzk3si
qMKVO6tcsSpl+Jkx4EF/1DFOM82fVbH/VmWfVZlFBfPXVdlznvxJQTZ/zY+CTCK2pOAhtBfkgWta
ZA79Z3CC2FJSkAlANrggZvjOj4Jszg22APxTdTElQRT3tSAzUM4oB1WIM6+ynH9SkBFr88eCDEOo
Iq4ArY6NNsWdJytf5m9NBbwLuchwCXsMYL4DI8Sr7hrJOjiSY7NiOpffhZ2eXMomTW/r1qt2hA+0
u3bydIzUA8K83Jvt18aFwQqOTBR2WqMdvRsThKyGEesxKLtXt+1RBY+cpnGZDFeu77MxSzN76YJp
vzOJG6tEi84BC2MXBvklicPcl8Ta33Az8gFjJrz2OxL+oMzcp5hKd0litNsIAQlT1L0xOnd+2Vab
wYwkGyg8ggkJhEtTuS+w0vqd2zsP2SRDphV9zoBozDYNwOylFmfDknNQXoY64b6DaNxdSWFw6ffz
oZ4yhugLG6i0b7i7IkPn7fv2U15zZ5kFkXNzxlhbgv5ytefeokdrwFWC5sdtGxB825rwAHyxln53
ICX8iArzgVfzjM0CG0eTz7YPuI1ZHLxYnfltUJx2FHOP6F0eKytL1kXg9xjLw9uGpBZ0qhrFa6YT
Iuv7u3gCgqCp9B3ETII8Qh1UxQWF2ofrkPSCTaNZ/ibwsBBn1vTMGx1x2BS3ueZdmLDSnCncGR75
L2ZhfPfG+gqXWHdCiTiLXnB5lb1zAbMgWUzedGHlvKUNpVA59ldxarxKo3pEOvlGBDzwgIDsk2S4
VD1HuV3oDQWNqNmqyr2FGI0OeCDXwXcJH3SapUzNncL+xr7PWee24XGqBc+FP12TDXqMSqoubZi0
RZdRoPB8kLDpEKB3aYwiMl6FpMTZ2w1WYBs1l/ap66p0pl0Jfjccgda7hioCCIC50LWR0p7NkDdL
xESXYIIIKVJm+RgrkpMxC8oSODj09HoAagDr6WjFa6fUMXhqk7ypLCwLnVMRquzHb6UsGMcF4Ygl
H9VmHrmsc2L2rfHEixzW3l4b6xLqKNdszwd8KXhSDb+4STL85F1o7pEKzY6PVNxlgVdzObAgIwcP
qU2E3dRV6WxtZk0KBsgYvfdxlDsUpRZ5otZd1XgvMsvAlMbGkiX9hVlbyb43LcVErmWOQS69RnjQ
pd2M+WIAI0dXFKrNULGLivN86TXWSYQkZrnZ6C4RmhwqwH0HfUSjZiY4yvOQd6lxSbh7qnXvUut9
GOXkC5h0M03JrbJ0U7bAbP0W/sh0rUxeg8RCiAseQfIxKQqb8VeavhRBfRjsvtjHGolLSajrl6hg
Z8EwfMIoLP0D4w2gFo530ZXoiyNXreXoUklmHc85AChY5cP1qJOTPJZFfCgZgjISld5OlI3JnDA3
t6OPV1doZU07kB39QNhr8KbGoVb+dCgjiNNmXop1XhbXitp0M8Uj8w7/CTKscSUjgsE4/eK9Fpou
iarFQTOYJw6+t1ZR8VyioPuos3SO3GjNazuK3qdoalDPukZT/Xt//uo7tLhQ/vr+vGuTb9X7zyON
+at+3KC6/Yvr4D1gcoZWhC3RbzfozEWGLeTg+p2Jcl+QoMZMmzNtG9OEEDQRc6rxj5GG9Qs9MyYH
h5mHMSto/9kN+vsNGyIZIgB1tCUWf3LFzy6Nrzeo75XoXNO8vZgISFsMYfsC3TBAAdYQodolq7FK
HinawiV6+3NYOT1CflJ3qqy7Sut8D7FAW9SW9AknLYnpC6H9Rmf8sz3ClPCW0+U7yoOYlPLOxn7V
p2j75TmfACYzhvQh0xWX2SAee0COsjaf3JLy2mECufE+XQiIPBKGrhzmQYDlB/qZzyY6LKIHy8le
ijG/7wLqz5wgjKWn1ENVNvtsyB4bV3v0MnIulQ3KNDx3cXBq8vClzh3QFfA9KsN6S1wfGBm/GAvv
UG2lzA+tnj8jJR/XZmTgkmrYiJdJv3Pc/n6URbX2m35jmlOzkhGfNs4VZIya870M8Cg4iTrVTXLX
ZxOAMd9aW7FzAwbje1m7V6EF8ESWyCjEHKnmoZ1ziu4JZs8bXdqzV8rLOs/eTK58Ipcrf90C/t3V
2P/Bou7CgGCdyH9JZNOti8QpVgw4EuRx+Vuvu+dYo9aBmdDT5M6wORPiRliiVwVIdeKmOZSmd2J/
QZ4SPS37942o+oNPtIIvrZtx6j5CM3q30+rOCP2tZ0xPqQ8qAynFhcOb5IrKoppBmCcFwYhyKNW1
6uozOJ+PJHJz1vtim5MVtmwr1vqpkI+mb92YzeitQEffmb78aLFx7Mdw/nKrbTem0T6lJPfWQJno
+dWmbVrCVdsm2iqVPOdmBPuuaC9kYNHoxESYlnN0ijC1hZrijbBxsqLL2pYNygMfFceiLXjXyEpG
PYLS9hP4NI8dyB+st15dHEOPYOkpjX3mbWTaW/10Y6Ny7DNr05ZmuQQ5BPI55noVzQD8YKpJv2t5
4izgpPDieIjHmvcwlYWPVHK6RYnCT82cje91G0+0t5NjHEAdoUCVCTJsEhBXzBXAIrXxG4kfT06G
1NRWxavQMaJnOd6gHhNpL8IdtgxtmWvBTmRatNJsxCJC5FsUxFtdhO2yFpq7a9BXcrc476RTnpwh
7xYIhIp15TYYFkcY/SBr1n463OeldQBXQUwb5exCGc0r0UIFlB04IWy7pqt0UPJoQpZaAQVHHZB8
crTiuH+ED1V16+qTs8XLAHNLNrbfr1WIGFh9UrmIiYXQZTbFhC2P/VjAGCO1r7RPntdYhsGVUQ7+
M/nGazYDNpVmYHoXBSKYqFEt24NhISwf3rDr3wal0Ja+aw3XOH8P6KRDYz3YHRMlGEj4RhxVl/vW
FmQUleHQkNQAIihdAdxeMpa7znM1lFuqKvkU90KE5yQrKMOjJNBXg7LfhN+2mFbVSEOMDYohyNoj
1pM4xFDa/p1o7KR+ll7ne6vAYAG7KkWqvJfYCgPzLCSwMhL3BvYm/7abn+2midTyr6/L2/C9qv5k
Uz9/1Y/rcrbpCx0thYOHkmfvy3VJLyqw6NsGsVGmxFv3W8PpElzHXAOl86907d8Unwabf4T/Ds2o
bUjGuP/M3Tf/076oeFjVs+63saywq0dPhEPl99cl3uE0wIcLH9uBi+elZI0q/SX3vwuXYbQXIvrO
TqHDPCXsXXlCv4zOXtqXCt1TWxYb8tBuiL16qetpKUZt2GL6esoqa1sW5CJlSKHYgGEGf+bmLxbJ
jKiy42NjYcL2a0Ag0m/viyG7Iz2jXLSu4FzkYCTesXj2onClLHm0SH9P9fLbBPtdj6YnSZDoMh2a
Q2Bla5cR7DKmc6pbruAom55oUHeIH/EkxM3VYAfPUZrdT05+cqPyyVQ44WJLfmh99oh17CHWU6bl
rbWBHrqZ7OkqdGObRXGxLdyoXfaYspwQ5oDhUR7bXs8egpkU21v2dubWLrVNVXfOYkydh7LHYlw0
o71nMQyqwKN3Yg6MD0PbsW+m+wmRgrXES+fmsJcsgvtC3fRFezM2aXWfWOO3pACfokqGsIF4FCmi
cQFipxDDmSuBK8u3tbUVZbuGWTLqt/ZomvVeYeBmRGwdRv071uwX32vvR2hsi9FEHjk5/UssaneR
lMY5seH92AXIO0u//2zEemF2S42c8Kb2/cXYd2othnEX1US7IqEvgJ+3Na+Z7yfmqh8ZfKGmj9gh
XzRDowdrz47ybYPKcDhSjmBbMAvR7HMHXGljA2zRGd7COMhFZa9lSCzdGtla434jV6rfR40lm5WK
xZCC7OpHqEgyr1Yk0dL7BWW5LEz3nLZluYZR9JYFFaGjHtYUg63IguqGv/Vi1U/1m/JYTLhk2QOJ
n7OBo9WYcUTa+siu24pv7Im9uW3YF1pAbBiWaL6HAAipBU/JYD5nztAj3+1uizYGFaOxDDZL6zuw
pA85Du9TU42Lzk4efFIVZqsPrSs3Z1zLY5Vp4TrqG2NtWt0VchR/ZbjxzgyqZye2mo0B+2xtec4z
Y0BwBKbimrf77wSM94ss4eoYU2IhaVUBz+FDPCe+duEDhl9lPj3ZEH036dStlOclIycino4qy7ZR
XlzDqA3WQTzcF0RAsrr3t0lAdgUaU7gN6tEr0gS2kgcJvX+Et3XNHns5mlp96uvnzEJE6o1afsTA
P4UrvhV3GFRmDRzOgnqF3UpAlmI1UBD0vONRUN60Y+7vY+TFk8ouJuw5GEA+FEb5ZWJ2ldiUY1y9
/XuvfN4r+t8ul095/T//L/Pfk/f6515s/tIflwu9GDogOitU5TReX6Gu8F6RXgFesY3PxTMd3I9p
pvmLI+e8GZojDvXZWvifXkz+YtPcwYkFdga1BajMP1gvz53WbwJRC8Emu+XZDDn7EyBC/qETixwb
E07mRhctGiPLZpG3NcvHLxfu/4eX4NefggSVRpRLlAuTl+drv1d6mBWtyYoumjwKk1XuiAx6cUVu
pGfIeB0ZdbXMcXxhZnAyaGVBtEwm79gxZb0RRXCdhCyYrCA8UW/hKNQ1i/KvTRaJHoql8IN9D6m8
7YJz2DFxbPWTmPrrepTncsqPQ2VchpV/EFFMIU0KzCISpbuxRzLL0ccSgiDd7wi9eyZShOuQ1zWg
X20/OC4rkKtKxQt0tGzbPb5+sNnMjNSo6tBrU7r1+sFeNRp5l5ErEY23U87SjWSVZSXNB89w7S0F
v/EiU/YqmiGwJ4k4UOuA2ytZ5yMzyxz1PnA1+Kk73wWDuNcN2Fb4rZwLNdYjBiBIjqDIsHQvyEIw
nIdJlmqVlDLZVtqkrK2e92Q9M7eyAbEsWyulBwJZammX+Ce0M9+/IJ11vhKH9pjP0Yd4kFaKuTR0
SQn203aYaiZmfGjpspwrfl5tvFijb9dHOSJ1W/louXK7soarQKe5oF92j26l7EOHYeoZK4352DFY
hN42TreAWgiwhChvId2W9Dw7J+jwOoq+du/z3IG3m5nFGgysuZIFKrekhQ9b+v6476TVXbhta68b
XvMTVMP6W83AchjhXo2DIxduGe41xpBrmx5lQX5ifzN1OMEEQA43190bHznBAnsXcLXRDTZ5gZ97
iE3M/PrKLsNHNGLdibeuW6mS9NuqATxcs5nGBzuEB8Uefc0ocNo2TaKTyADluw46idq/rLfK6Ha9
mdmrYJD1tY/1be1o6TnMkjOYRZLYqvDazC1AAC0gHZXscrKAVr4hrmq3v210u7v3u8H5yOcwEzT3
qh/URx62XB71KvZK/U5o7cYnpwREerx2NSJjHVoYEugXtSq+13XznoXV+xiND2VEXoXRHdwh3XCA
cKtMW3PAn+903G4Imix5miD30DC+CqvF2KptEoglBhd01Y5vGZhWP3+jh9Tp6xNjO8ysldjqni0V
viaTMteqhkuOp9FnKD2dZIo3wZdnWA+rvo2fC96+ujGQ9jn2GirUxpfOrhUTqaE1HSECB6Y81GQ+
y9w6E3uwgNFKZwJq2fYVv+MNLTm9YDj5OFg9SI0dvVRgKth0nrxuErAFfdkcfTnwMINdTcoBLaFn
85Sl49HlQyRItZduRcfmnJzCOJlD/qhN0P4t+xYl6HVWFieb/+6ke0rb7jpw8c/KYk2qfbj2faau
IzVgxJCVGQKjXrLPL2Itfslj/YVx84F4nmOeOIeo1a+nXl8lYC3zJDkTCMCAphyPk22TQYI3yAHS
Wsb2rnWtlVvh1QzoscepPzj5NO7LCRgPmGHyRz2gE0i9VqPPwtkajHhbugWjAl27mUbCUv7+5AUB
/vP5LgX8MQsa0ZwQ9IfzPRh1ZBMqgVlXxnImy4xruxtjQpW75NSkBhlOxOX5eZDu02J614uyvi7L
WNw56GehTA03TFdOYvBWsWs/iqHZkpb3kcWRz9y6YjQVsRNmYrDJJ57phJFd7lk1M2KoIWbZyZXt
NDvAiK/AotsloroHSYTtutMbmmkSfpldL/tyWQ97vaCmb7xsq0fVViIKSGS+hZDzfUzS29aODi3Q
0KlODmUrT3aRn5xautuGdC0683Anh8BaYnUhtRegXmBGWyLR7FUt6htzbPUlMJODCFw+14YvTl7D
uiWqhvso7GBsKUzRcpSXZohVqFSQRIYwPnfFdBHU0T7ura3VN+EqTEriV+f9isOcI3X8DYqXteUX
J3KbyWvM2Igl/ZFUsR33GiuTAt5xPtZQOqrLOEpuSKXEmMu0fqUoSZdGIcgPrq5Co+5WKQSXBQH3
9+YIj5Gd8zcka8eQtRzG4wLo1bSJ43Lm0271Ip3FjTRN4yo1UDKgnew5h4w6/5679kmUyCl8V/vu
6WpiOkdYRFsPcCxSXELFfJY1pxBshxQJqxiqbwiaz5A09CUtRbw2A//SmCx9lQHfnVd2zg7EbfuQ
Y/A6hmFZEYrep//FqfLHHpdCBJk8LTNhUeR6zgEpX0sErLr9UHUpqFhGckZ0qGT7677gLz0qlExf
Sh2+JYspHboCVhym247OWvnrTzDUlFkOS9SLhPpeU5dhG+7C4oZtLk8CVDRVbtxo/V8+gLMB4G9/
6vx7f1kWt0XcFKahaWcxZreWlCAc+Au34pNvUnsEbhYtG8d6VJ6x74iWpMOBgptk/czZDfNlVk1P
uWafwsYUyzoNNonb669OYNqrVET3ykn7lR/TNyXms/Li4aAnhmp5mrJ83U52tnYISVrpRYfvLxvH
fTvYxmueYZgC7WAwkwrfEp7VdSlAeXECj6sZgrXsWve2NZMJ+3t8j59b7knpuwrG5jtW6R2X0l1d
VRtV9xjdrGhniEADv0CFkvT0PuPUimUJr3hV9RbLTVT9CFzpoEJUhYaPNNsdjzz0H2XdQ6ErQlxy
WMJ6826YokciOA5Ww7SyiinWQg9kXdTgCFX4EOMpOsJLWGWjR2OZCMEFE3PKisdujroOo/TsBMM2
q/o1KYI8wURsNH66DIxilUepsyimyFlViXcucEIiVWeTSNSi4w+3GAso4Artrm1Y1RkGSauT3Wzp
M9OF3ubflF+ycE+vyyJdVjTW+AwOHfYqBPHGzsZyvyrYs2djsBs8QNdd1V4UijsSNP++qsx3pxTt
0kMciJZ66xfmye7/z4/zl4/4p53st3L+52ecjuLr09ablBhy4mmLTtmVf6FtymP5gCtzj+T95HD1
LN/oabHun7OX/vj3z/q8H/qTR30elSkpbX0OAP76w/UicLLYMbUzMV6L7CSXxQatg37UHu0NJqX7
S215euzWDOu7b/yRXIwnsTiEG++ChK/0v/xrfn/x/fpKGEzLLMdQtFF/dL6Noof8oM+JaaADDcLE
xGPV7f7+N/79mfXzz2Bu+PUXJhqJzWxA+mtevvs4ZMbrv//+f/o72Bi9bMc0FNyx339/BuYTUvOS
y1u7KpkZVBY1568n1L8Wrtlv9ddj4W3ynmU/N+7zF/1o3Bn9MogyQaPOUdGf4u8vMqT5kuJ/mPEZ
DvNg/Gjc3V9oqE10Rv8nDOf/+rFEZSrsSL4Xf+hCxxD6Txp3Rq+/+7jNU2H2sULxPR3HRK/wh6cj
Aw4ih9ZxLyW4E/DF+lTAWsv97NrQuLnXVkAC1wtCy+oaVhtKl7QD+zJ17klF7qnKCCQq0vgVzMZh
nG09soFpYZrI4fi8oAOqjImtplGu2869JmTkg/z0cIlhBpi53Go20VR1iPyDXYhfbJ0MOnih7bQw
ebWqAa1FlJ/8qL+O5eytbyoaEbWzBTGhhJUsDOKiQjfXOLHHLTvsCwm/PpQw4PrASjYtzfCodyys
NP01SvXFAAZzXzn2U2Eyuq36N2jWZ4dNkLX2+N2eXciljUerjlL5ncHCKkayTU/eMAEUeXnJmbjB
bpwtZafvyiY/djGhIn0jokVsaNW6SO1szyiG3xYe3qrOp0fyXs7OpKeolWvJXWRWDEeNRWDKbWS0
/qaKDfTflW8zWtS/scICJIRzvTRtHOJ5+5wO3gtoOzIb8sthRI6tpZ61SWtSeDOR7XvIacR6UJfp
OLdXAufXIk+dfFvMkDiSSwAvuS7W7PE6teJ97Zf+IpDR9zFllC0wqkMJ91CEYx8z/PFbJluMY7r+
0UjtoHftvidSMUJ9goyHgqKr7QxBV9ufcgJgWdaSrTKo5jTFyXuqZf0T7ycT/5cpVWeTIOAuSa6S
MjqAFr3tgXeyNWQosMLgXAYnTdI8rmHocD0XCdFvCoBg7JYXAxfqPqm5A4jLDbYhsqiBeN/SPUtb
Cw52nHdbiK/5ntelgI/DBmFLKq576xGvjYJmnBk+ZU6YSzeDfYrKMhP2oeB+kNug17Kzitqf4Qx5
dcrZAesVT5+nwL/H4Xxb//VxeFl9Y5b583k4f9WP85BBJgRMyWyU6whAChX6j/OQQSZCDgZ8TCxJ
1f66JTMYcdpQrnG7Oigzvw4yDc5DkCjU/b9GV/2z83A+dL+UHzRzzPT5/i7SUYlIZWZ0fr2NwZ+P
Yc/Wlow5dh7GlMRQqlrXO2pDKY6ZXc8JAWJsX8woOBAk/+z4WE0KO3ozOpod7K69jTEwSTv4xiLC
xVcW6yEKI5yBKsgfGKTQGALUrolDCpCoa1GoQBGCL/5m0vm+N63wEO9n1kwBgqGVDURieQNxIi0S
BFSeNKzM681uU1Zotw7jPEt0GSrWn+PFOCw4v6J56jhU1YdGTQpikomkFXpgNBhSwv7HUTPPLTUD
FV0yzzLrEe1KwHgzafXLgnFnbQng1f21bkwE5rh0otrJJLlAZ0w6hB4U4xkbPc0zVIC67QoBTHBi
57EVhXYVdWV0U3jOsZlnsGqexvpurZ+yOmeWp/XxelSsiirYCQzT2suhqS+1eHDYesGcHoksnXL0
7IGP4WqRoD8vlqExVh+x0dyGibhlUphaHC5NdqWVyM0NE+sRG0q/UMET8QtLmwwbD3b1uTMxOxp5
8GHXfgQVxsaRAyucrPGVOxrpLUSRflM47C3tcpKw99NtVs7TXyLEyO/D1zDZaiX1LLjsCImh08O/
a1j1phm0/Eb1gN1wlNZiBDziooYvJLr7UDvrk7HplE4oX1uY9zUsGZyObFjHxNmIBHNoQvnPmBfX
Q2EXz5bXIovUNTdEy4j5eFmPVbT98lG8+pnF8ydl4LxKhj+jwCvQff3+waat6kXsAlGTIig2RtLL
bzRiZP1gdAx+bZL/Pf90joO/Pv8Ybr1X4bfk5xNw/rr/nIDmL+yeLZhIv1Z9nED/OQEVrF88ghRj
6MI5DH+rCI1f0IrbAjzvZ5r2fDj+qAjlL0CmLIeFH2MJphL/KJ/vT4Z9CAQYIQiDc5hv6M4n5JdZ
A4O1Khu0cjwPRlHoGx3jtX0ubPhKH2Ji+sFSAvJ6TvUVCnva5QrxDZrRIUJqo8z4xpOkbjh4UXaV
3tnIfpR8Q5JcL3PX+wbM6Zac0/SKTNcAc5WSG8PSfebOoj7nSn0EBcmgccoeWs/qkEOvNdZ2HVbr
RvWsM1LdOk0kX+y1LGlKLP0wtJeDQskTkYp8gfWVADTCZHBtxEf8HdkKwfi4qSy3WDQlgaMJoKQl
XCbc/+QQYsIeD2hmTk7eeMc0xAUcay7QDQpeB9M7+1EoQONmcO1gZTQD+RjGEC/12C5W5ZCEm9Jh
+oy06zlRHJxqyA520N7pKhArLyVxhWSXgsNv1C6qSL31GaKmMrf1LTr1jymKXohvwVtkdnq67z3b
4wiNxntSi7wV/LyzXxtUOUH03viTfJZw3a8nFEwcLUm5suuEwRoVDXM+N3OPmKz0teqFdjCLQZys
MGu2IcymhV/hsK9s+9pJ/OgWPM2+D8Y7rQBsnptIG4STX9sKzz2cqWzpCBOccz7k+ymeqQOip24e
Y+2kB+jl7bEKrOeu8InOEwbyDm/Um62faiOF1VRVqroMeO86SZriedTDEtaUr6OOwnQnendJoHhz
WThuSX4g1Zy1R0Uh7zTZJuFedvF0qLrMvQwxY5WLHCkH4kxeBO/SJe2GtJnY/eh0Nz5Jgv90P2VL
1FWAC/+XvfNYjhtbs+6rdPQcfwAHB27Qk/Q+mUz6CYKUSHjv8fS9wPp1r6RS1Q31uGbXiExmJnDw
mb3X/rxp/zm9pq3xX59e1wwExOufz67pp76dXWKC304iImYhE3WEU+jb2SUA3lE62aZgPY2iiefP
t27WpgUWuJylpUmC3X801VBxYaZBHMrIFjDu73SzEHx+qN6Yz9A002gLG0y6zhT4p+lslOZxHhGc
dRY6eRPEq43lHAtO86XEkNVKdrJq4kYbxa3Teag5D24N1NIt/WJhGNZbncRXK+mcGcuQRQPeCSV8
8NYo6rZqi0OkUMOVBqm36FPZy7X1KtK1l86isahER9JDUWyhb871MTjrtbJNfOcInXumlWCjGzcs
5u0ASptd+SYNwuXYQdHU60XdmRkCyvEmYpc6j4PuVuj1sxNYtD9ReuHW02YZA0XFD0oS5ph5FQE5
Vq65j8OnOBheOo+GNzRC2Nl0q2VRzSmP9olKnGY4MkYllOKo5nKydMoZQb370chPbdrs7cr9mjtM
40FjE8AaXSQNMg5Q99hJoB2ewFlTGksULNprOWQkG0FDgxjyQIv91bMYdFK2FlDR4ns22l+hRPFG
Yga7kX0cYg/wGe/BVaMjfK3XKsyqVesCwegQQQGTK4x1ChHEBY4GugSyfO6eq6Z7SczJC2iJQ28X
61qy3XHwK81aG9Mn9l/kT+dIACSdVsJNp0FxHx1YH86q6QwyjPy1WtsQTuzwkhIoN2/TniXPiBjG
VpegP54C3yD4TBRolZzooaiAvCIZfzLGbt8hZp3VVfKR2eURgKN38CPv5PiIlNLaXHYV8dFaLTaV
yxytKrw7EZdU+D7iTqt2dp2JcJQq/2vqWVfPHdZspHsgnclumHicja689wA6UdWsTICd/G+bdCJ4
ypYoBzTnWGjC+oYALDiffXKHTWeifzpWsjCpBdB5Qga1QIQikdsAF1+bbeETjglFlH+IK7lY5hln
tDqRRlulujL6WIcgSOWgrQkEo80GTvoZR1lnmQSmklyaiWBKyPZKTkxTArWWg2/hS5p4pxHg0/yT
gDqxUAVQVAEcNYLhETtTOifYVBl1u9DHQOmXwwkz6loFsFqPRKQqdmANX8AQlo/ETeoL33OYm0N0
sW5FDkWW/Ssa1YuKaPCW7gMJE5CWVa2rPICZBDTC/Yi8/t01YD76ZLanamHtrLR/qMzyrY5YteUZ
jy3PWSt+dNHyeGuzk59TVkHYsIAJWS2bNhXeoVGfNGQJvLl8WVgWZP4+3GR1L5eggjriOSzYQ5AO
54zoF4idibIZ8IMJHvD9i+3aS9UZ7vmi2c+GCjpw5ZAW/tqPlC3IG9Qe2twL44WjuBs2aWzaU0Ip
bZJ45LjT8/pRK0q4K4O3EEkPppEdvB6EBysoIkJMUSL01rpzsBHlCV/IQ03dP/TNqrFRqSXNNlCg
IEZoBQZ2+37gPCUhnvaq9A9tTlcxFgEBlYlJeknEZKZQTyjuvlQdD3Uwg0NPnmAkIWfmw1E24bYr
pxm5UEu2Hx3f7RRSiqGwKr80ZXtGILCoQnmnBh4e/qFkrGOhukZ6KSPuQhWXf9FrzlQRXo3GfS/g
6+CdSLbEF9nzymo3CDJ7APnGRupk/6lju/dZPIaBQS1FW+bL5thZKfkkKWb0KMbYZT9jJpzVjGGa
aRaFaNyxmpvAbB9VkW9d2a/MFnMRa0/Ovz7FKGlmt3rj1PNgLM9SRc/hhZvJb5EH7ck1xzs8hLNC
1FOC8I7wnplZoD3t0SeOo1iZZrnUFW2b0bQynktHTmGdbLt6r6bjxG1ELzkosyJX32KXeV0tmhc9
gAHVIUuCgePdwEyb5Z530Ub74NgY/sdRCXC6dQy5QBBmHai33EPGCrICoYPRrB2/v8E+uIri4UY4
9ocuxlWaoKUx62UFOnvFMpT1NXXRUOc3tWXfY2UBL2kY8DETw2F6IOKnSHeHhZe3H2HV7P1efYib
FFVldvCdCuleGZCUKxYiKD8Mb1g2jZafUA+sinC8J6ZqIstED5zAy4rA4lIhdMNTnWfFLB/7ot93
CVaGqiGOiXjFOWLPvYBK4feTGdPbg4DmGJfD1i2cEKSqWwyTi7CKHtqYZn6hKSnAmbHu5nZvL2OV
Ss5Aa5R3CTL4zP+KoxygXJv1iwo2kjOOZ61kaUi5gMsAdEhf4op29eLDqnEqOHV0rAMqz2boUwrR
4DELxU2WiFsZEULfZnLW+9UX5NaLWnV20HDOldlvR8H5VVoaICojve8H5YF0yjsyF6CNpfoixwgH
sqE7txGLOjna1xGoNVPBsLmUNUIOI7bCjUxVGBNui5E20fTW/w/bJPFnz6+J/WmySTLEAhc+9ejf
tVZVYZOkDCj3rF2T2ZOxam9w1s+SufN6d0v7swuW2bzeBAe8HQt/gwABMPomPPp/jAL+KXAFvepf
F7hHCtw/l7fTz3wrbxlO2rqwBI25dCYgz7/LWxxvfGtYxpFKAtYw+Gr/Xd5a00TTEqgw/78281tr
zrCTVh+7uImUnx/7LZUlyOQfyluWNbT51NaaYBjKZWT9VN5WI5v1xmjMk6enI9kopppDArf9Qi6U
3mtHMnbcBmWGQhESEwFNmstxUJOqWTI7ZMBXG2p8tJtATcgwZ7pmkRuLlF8ueQzI0MEiNgXX6mNn
xJh76rDxHgkCV/LFqHpyIn8wa8y3lSxB7TgtFFvqB+AR4MgyjwAUjEANBjb2L6hSCHyuJ15eVbWY
1CeGbxmUCcAepVq5jXoXpuJYpibyxQSV26DepkMwBR/3ElRevs+zZJ8W7kHr+oeB3T6aScxueU4g
bL6Fr4bxzcuhN5hhQAAp2fIxptdZgGcL3/KIPqZn92I5N6QFN0BSdPLiK/Y6KJlnrEoxoSX2rkyH
r6Kv+0XQtE81fiK80zFTANVYJNlww/NhWHVmizSGgSGld1EDkB6JwKnNmNwGnh6DURpA8cUSbdyw
QOFVzDu7/arIHsZt4CEIg4WUuNrXvs8zNJXVCtXoJjAKIMpafAht1jhT8AIC0mQeFt2haqIGjkor
GIHqVwW2XGE1gtBnd56wzKFXcfOtpCqFLJydQpHdFkU3dy1MYpxrfs/53EJ+04jSG5r4TQ7Y5Uu/
XVBYzdo4WgDdVea07zvpJssyh1qDOpIIgLpnHhtnEXhoi9RYvT4mCjQ6uCzottAxap732EAvnJOr
E6yhyQQoyL2b3kLCJHkaa0W9axvc3IVaPnoZMH1CIffDoF1rj2i/PibbHb5ylIa3HlZ3LFmLyAqI
QTbHYOkaQ4xgngqqjMgqUnvnRjUyCy+4/p7FWrXR4GjOjTQ7GRpDDV+HladH9ww7H/CT0RwVZ8UH
BA56EIdHDHUYxNEqjJMHUrnxGPizRtWf1bzJFsQKr9suvvaRsU29gkG460Pkt5F9DVXYcqELf48m
jQAOZ1Q3ftc9prSZi1DUj73bPWiygpnAHMkriRD3nXNYGXMlBOZi1G890cdofbtuTqQ6A6Ip4ccm
81ivmyvB5BFJdxrW9cHbepX0WCAitTfH58j2XgoDWGMfkLTi4NEmHAMGtVSb+zZQWYtFCG0z09/B
QdqplvOagpjEjFmIuci0K1KlVVDKu7xS14qe3eDK67DD6lfJPHFh+2pCyYvXwJfHwMqVuR4Fqz6I
HwMJ34FEkFcck/2G7BASb0uJvMN25il4hoWexNkKhhMAA/pCSN4I7Xrg6Y7KapTt9NpTx/IwpR0m
HTHJroixh9Pkw+siiLoazpom38uYgJSsLE4AJbH3uf6Oh3+M9ah/ByR0GxIzjM8vdwkhx2hRjcNH
1zKLalukja4n5Fzgnpp48Gg3LfRMbtxckShx6bBiIiEDC3uWB8O8GDJjzt55Q9vwavp1ysQwTZeA
HYD6FUdNke9R3euLrI8pNKOBC6omgkpRP8pO7r0s2NCcP6eWJ2COFoRGoybOe22vUkSu7F6B394A
++yF3Ho1+5Qx5CjRRHjU0HgOo78e6nCPPP4Swm5P4nDr18XV9YuPuneqRdqVB9y6Z1PJ73IbppA+
AARUSepCAc25VwYZd27MrDNrunUYZY8pDt651ZFRTcD6zIB2v+zQu86DtntwKvBDTaZwT6c5vzyI
nnu91rkd+1XUwCNIbD2bO71A+Tv4j6J770rQ2iAXgmU6SKzFyXM/8IlqTnONu1qgvM0eyim/Qq+U
ByGNd9+rDRjjljobdcDtVfaFfdnLWKoM4LgYYDze5SVfGGIhfWHEMMY0Ly3IvbJuWsLXSbEgCdrr
cCHG7clQolveKoJf/wzbXa4MOemmWgXwUGwdLLaFCx+eTpNh5iK/ot/KzriK3H3Cajmuyzh4Tzp4
BPRrLLq7Md2wI7/XU4SRptXjj0T0B9zhszj4p0qaIL5/XSVt0+EXVdL0M/+qkgy8KKzeGNp9q3e+
DQFZ4ZJ5QeWEmRXp/LQ7+FYlTaUQChiKCqaEYHn4v75VSRMXwLQobT7jjX9b0vKjWNL45AJQXU+S
FuAFhs788vsqW/fjXPNaqz4lkYl0P4sD2pBE2uNlEO1Ipnvg+O5oolBtVR9EUxt1S4OxjgayCTwN
3vgh0ON9YQfFcAaVZ1g84xku8ajXerNoZokR+/qaaIkkZkAu46C6EBwaolNWXCdLuUvMRt5YTeOU
6cJS85ZITsPoKng3ShFWr6jJS2q1GpZcha3gj4uXeB2mNVXuHP1C9bdeX2Ic7jp5X4D4iGzc+gW3
B4rdKEwWWtG1e4Jfh5Wwg/RkxVFzq5lR96Zi+MohEvreWyvLnlNYTaYTOluSBuGeQoXpDY5Cf8M6
HQq53enDRbMECcJN1h0ZNHQnLWzrBWXGR9bZ1ZQ3K8pXO0DNEddSNMjqDchuBM7coaBM5nyCxhd7
jJ1168fdwaMScwGJrWNF6rf2qBJwqnukxjZqLxe2hlDFoJ0ET6gyMALcyHkFI1XmGnntVQWxkKAh
/Y2vqd4UTBDYik5zDsfxxYs++b/9kYN3FolGvEVAWPZNUXnbAVXJE2tZHROiINQkd7zFaCfNucG/
zkeabqmVtatWBbhOQ1W1j+APHOzxmX8aJl89do/gZEx+e8eJS8amjn1itmJskoKaxxmSEu2nN3yR
VDIHCGbVQwN4YlXRD8PGDAQBQVo8zkyfSdrgQBjSJtCARhYXMAOjutEDlKNs9rM9WKZ2T++8c4lc
J5lBAQ5sDP1HJ/14Y+eJt+szqCgzI7SUI5lFKlEpFdbSbIhjMMpscooB7HXuNdpagoac9UbJnnoU
jruLS8V8gL32CBpTHIRi52f+fHelRORpVJmQq7os1TMPK9Il7C7cekEKTw75+VFW+XDrT4yMtuqo
HYOG2KB2dFcV/E5v8c/JyiPK4Mz7u5P1+pr+1y57LZrgF5rB6Ue/HbA4yaFbsAlmJ/KTRgY5oWGb
zBAsTF9/4OC/HbA2oHiCYulANbwan/7zbwcsZy9evz9+2edq5je8ftgN/9SFqlN0kEkzDA+NzeyP
5ytyQgLE5VCeBwWNQz4TtD3Q7+B5bs3GT8+BNI+Bb/kn0yDWCmvZBcMoHnNPvdVdeRuVzXuGLGbW
9/42bJkRWhOMtjlEoJCVdtzFqUa6LMNNYeG6keSl4sohxgU6UZOcWDStXM86VL6yIjH+gt763hrS
R6Ov5ySRvNvSRsFmg49OtxEVv68oIJV9fUsO0QOAGCzQKkuV+NQMwYI8uBPQBvIszP5g2uPaKMFH
Bd69UaC04x0t47J7I7T26DrEfZX6i+7F67aud6lrMq1m6yqLk+v7J4fBsQOc3vPzU0MKoJ6h8+7F
I8u0ja8RVzgMM4W48VALEeJqS6Txi4LoIV9t2fVUN77fHEmpmcMp474mYyw2TyUuIzaeVemIZRIS
l8M2fMfR9OqyCg9M+RiG7VapALcZFfXVuFbCcIEBZ2bm5RXTH87fPjhP8vTI6hZaaN4bhNKOQ3Wb
2PVbKsgustOT7xaH1kw2n7FM5bDhRAVVk39YYU6/RSMKK1v35K01LQZsJd/UFuNbGfO4aJimawPq
cDd61TN56+QmS1oQJXFjnRulPngiWYxeuy1xxFSWchs6WHRU90Emwz079qUJwn1W+LSAEX2/76rF
3EqKIxPXbmV2RX+Jh8ZdZIH5arVOuc6Lfm3nzEW9Pn8UIvdnSde/QXXHEFOWnlosq8HpIGVUdhlu
Qif1tzgASoKPxrFnEP0ZgU3sOWl9IMsXbV9tDSUDAFNgA+W4vI2yOt+lJkEAVYFeR4s1/dgbY7to
B4CzWPtYRqWeWMCZCW+FJtaRALZmkMQeEiTF880hkztAEJbC+IduNxE9cnrx2lZDmsJObtw2NRj9
DtdADsWiZjjM6JMOamzqfE4nixTMq+4BiGE5MBsUubG4BDbWyzH86AwYb44y7cvdLzgg8SbK8whj
VpbRiSVOt4i6lgxk951N39FmxaR0/NyxbEDv8G+beYHrHUGGB0Qtu4iMBrnBkZS3VU3ooanNR19G
WA3km8coaKYyIAHUUkBAls4pKHFPWvjUHQVBfiubZN62bE4jYb97OaFMg7g3DPOdvx+LaaZW82HA
18fuAclpwvMP9Buq4AjSRJtrSKzKhW4H59ZPdthPHmQ/fDSWShqfvaONo0VVmmXg+Q8BdFEniYvT
4HbFCscZQIBGMY9Z7F5JWiTcyYkmVOykd5VkRHTkJHfhyKdcJF+VDDCy2hOmjLE0XYXkK7tKvA6n
wGVnbJ/HST4Rk8WMluXNJ5u5R1EwK6e4ZpRfG30KcLZ4Mns2OB1RiJWdE6pZ6GLtkvpcT/HPHFNA
ro1t4DXVrCEhevB0frkivwRTeLTp0NM39ZvSlAscoqhVXHVRkDdNWURTTdsyCnwucsqknsKpZV2y
zSnzO0jPcIzCYaCH5XvvXfcJq0rDTtq1uL70VTFFXztOxy06xWFnGbclOYgVf57+AcmoX7dTfHbD
hhEoaTfrEpK1g9Hkb2t3OUToPqHzxGWDFVJHE6Ke/Lp9SFV1V09x3bHiODBRGUlQux0iX70CqNsb
qX+nDbSFLanfaRli+5IdmcYkgsP902bpEN2XvjRmQZJbi9jKadd9n2i1sqs8H5gWEFUGaSpDk9bf
SoIz/RjzXKoS3aqOuMiGlGFfWiUZwbNix/78kicVQZZaH1+CDGveP7XIZy0iWC78dZfHLLx+L9+H
X8zD+bnvChG23EQEOQhiGYd/Nw+nEIEbgCLNnAqBz2rjWyFiUr04JBjiaMAs92ObZzs4UabcGbo8
43e0HpbxpzLEoRNAJWfrADwIU/ypzUtyOpoBP+Ap0cd2lcOkX2Sq9WzBI8ms5lHU5n00XoCZr0Wh
LUVhX5rau3djCGcDRQ/EkYj7cDiSa+EpX/Quuk/AVC80fVrBlincY8jj5BdvwU5vVI++kAHiytBK
cga5+OdC1V6UtM3ftJqMQXCe3ZJhlrsa4Yh3ATYF1yt3hPPx3NH9x8TIDqAfn0elRvxpl1QZxesQ
RhfH119LU3vq20HMzbo/1m2YzQf07UTdhfum4fg0kqx9JH39JajzYJ/mmrvUOlBhah7eR038okKt
28rE27oVtlXqmM1YiBd22icHWj8haVcenoAyl4WDIQ7e5X3jB88Epm86NXusSsXbWYBSnAosS9rS
AeLEjYdTPwSnKVClGEoMAIH/NSMygwdDMSvM7uRM2SFZILYSzDMKWn/IMOpfJ3+btcrr6LkQnK38
iWuIQRBdtXYRS/JUa5Q5cyLq7HtXurPMqKpNazopdD19HbrKwUyyjv281WJza5ZdhpQYYqmpZuNK
Ai2ZTAWAYuOvpYLOsBYVmSilui7N0ccu0NwMtoM5hCGkyqN27af6ex0EkqKS14vjeWV45C1b5RuH
TYCx1zz49rjIqpCVv+vQ51sHTLrnOHdOSS4XZmiwjxjCQ+fBJMIuaRkA82vZg05QWSwj4UZ+N06g
1K4lcjWSPE4sxI5k8ybkugL5GQL27HUy3ji19WrkytZTgnoFagdpDFEeQgyXzjKruaVhOy50MotR
CoElv001NiM+35yS6/dG1s2KhN5UBSd1KNhhx3Z2zMP+hW3lg19Vb3lB96Z1gOtG02QoGsIPG0rG
z0B8tu0A+KyFE9EEhMiMNpO+wE8ubiX1edT2m0RDVliyVpqNg9nNMFfoOG6IsLc/+D72WZ6fJYKq
iEAlQ4vVecLUHDeoAD+oX1EZvQDR2NdaBx9RtLOxTnduVR9U4sRFglYkVvOt3dpvIc2643trU4p4
ZuL/7KrgmjfKfZCZpEMCMcTiiAx0G5FkTPbLS1rF92YEkTgeu4PUy73eZMemjWByR1SHSbvu3eAg
G55FY7fJnWyrlYwXWVAXnr9DTk6ow6DvcwzVXaXeqKR3rpBdM1munzqLyXQlR4bnaBIbpJnDaO0o
tm+NIN+TzbiRETh4nOMNfQq+brU8erl1TvP2SxUgG7I9ca2y6pHB5x7967HxJTqX4TZVYxgD3PRR
7FPGBo9eZK0NL9skZmBvByNFuYNOILDqo55SiDBlu4BI3LJLvCRKSyQSdbDflFvakyeKlxhRZozE
RDS3+JoOaDUYP1uwetMxeSKVZmM1TGThKArYvfPGTo90Dy+j7aw7BSy8wzA+aJ/TEmahoX6MlQfi
K6BqIDonYNXJAm9U0uRWBEycmQvEVDkZEp6h1/WdIhlTlGa8R0B0IJdo29cN6h7N2fu+f5ZtvHe9
oZsRbnkEg5UsAyd9awG2z5QyPimqsy4y51Ri9Z/oeaj0VW1JhuVDoDWHHt6HHiknzQ2v4/QVEnX2
liPnzCpvqYtur3nKY6+2Z53+SY36hW9a2ZIW7lUoLLuC3IP8VbBnAcRFy2es0sYL1oUNAxdu0+Cw
5KyDchNlRJGSjUHVrT0ABN8VCCZ8P8ReoVzagKpXyDvLo9gMxrcwtq7Il7xDahT5VvXc2zxJj8qk
C3DR08nReNFyc83EDI0UEVBhDeGio9HbTA2MEN57xB4Ai1Gm7gdrOGgM11aalhsrNdDXVkEtxkWR
E1/GBsf01E2VNE9VF1wLFrpD4925ZbVJFRaY/cTNBv7Le74jyf2xBtS57eVNFFGhq+1chCY0/6Rf
GzI7d7V3F6gjHYjZbhQM1/Vob8vKRC6sbUrP4aPRzgrC7plPNELbiGs0xVaoWkowLqasWat1l1w3
j1XM834ZV8RjLJuuCB6MJKg5/E1rL1Iq98SO25VfoFcqRnpQu+XuZBON1mtmlrylYcg3rAXWlpc6
NwiyCDGpQTuikYGN0NJUE4RL89Akb+SwLOnHwhVPGIMNHJn3uYiJsgB+ldUbIlIY28Y1j5jWaXch
XkISuIaPtKRn4y6eRaRyzPWw1GZmgOzEiOPHNqM1UwdzKvZJcNJ8Ws5ZEpq4EBPv0Gk1wFaQc0+h
ZiFvNMZSmXRWxqUCe8pAbERU2MXSpj/B9bvMuxHqqKYcOr3cAVC4ATC5kn24hOL/kBTurVeUjB/h
x1rkdYiYYHCyRp7czgjnE3ey1OBGtlG/biRZVXpdv7Vg5rTIfpaufmy7gYdMsIAosqpdymW9usvB
KCxsy3/lZH1Q9XLjdv5ZNVDBhfo+GfmYHFplLqSMoaP+lI/G3gqSI1wknT1IsgiRryt5wiKWR3Q5
NPbCLN1zyDo7jrJbYKoBkQbjNvfMg9EHG62E3RLl28TBzJ2p0YJkCo9AC/3idMm1xnfUZrA5kzS9
g1+WsoCO9qwWt6qqEIeszSmF1qIvtrWLCC9iZG0Vew/Fmyn1PTOcHdZPEjpsJHH5F9afyzDyLr1L
pTAYOVMFf1my8zSK+h2h7AFJ2LziouuBCzVO/MXU0XZVTG4zNbgtBaxCQVOFOn6mJ+YGAdS1mtqf
OlUUdG4kdGHtwdG5goi5cFx0sI2DSyfUNkkjnlqb1MBQ61d0+6zwlYHSopgB3Ck43aMnJGhzTzPI
bC9pNSO628aLYVyED47jrnV7vFFbsExRrd0NnbbSw/wxQ+3BfhQBvkJwrVtm7RwDRLOsff3UGerJ
9fQXkPbmMgBzKl0LXn6wxd7jrMg13iN0f88HYqNzsmI53+uDKbhYvKwz0A+gY8AYpi1JfLXPmZYB
7GZrHNvI8mv1AlP4QMM6zhVPX1UVSGHX8An/Y9C/8Qfz2ejC4epw0mBe7Q99bzeY0rJHphiXXDGf
hWAgnAfFkwp1YKaazSqqWuSVFe/adrWNMx09BSrFNiNbxCsh1xt5dMwJYok8ZTwrotyzXikWwqxA
0pcJ+8CelnMgv5jgvo8hggTYFlcv6PN1PGJrsJiGDXUDRmh6ahvyqde40UIV1EHZO6w1BnnSouBE
hN1chtLfWv5YHXKX/UfQ64/Ci71dR36LU8XPWD3lZrrdYSgxCkl5mkdlqz/bfs0sQF5QiwQHR4fk
qOVbL1fvhEdFkxmAeLuGdXW2UJPoUHgqwSESfJ6RfDR2FnOWC1aW9l1UI8Jijxsh+mhh9i0rUT8N
WnHr9EVKwJJ1CjXvlJCMCF9x2EPteyhi51n27Do4h/eGHqbLxjOzlajl85g4W3xvCiuHgE17yy9W
Cg2xbkC8IlrDTRgTcVelOU9HTyaqfu21UNBGlCWaHChYUiC40E1lKTQ8d+Efre9fch4mtdkPmAfY
3RjMGTRrZJOZP8ftikBVWe6kwTlk95Kmx2rsZ468ftdW/sJ29qPkDbrB54uA7oI8ABv1c5j8neQt
cgGnkSIdnNUBz85RBeeoyLu6u/v7l6ET/fN7sUDkyYlzir3tx5m0q6oOXYBK4S4+uuxe0Xe//fvR
dzFYlyrNJjbRH39/5QxEeplJfE47LjQirzFS/Kv7/sXH9Iu/Hz+s4BPig4I28dNMnaQNZDhGkZxt
+g7jxnAOf//7cdz+7efz098PD0tDpMXnI5O1kswjgiathURV9R6Hi99+qQnDA/xdYkoznJ++ithG
FdKNWXRWw01DEhxZT8hl5JzHsJL/saP/y0t4+rN/uoR/+FqmS/y7q0vVgqS18B+Q4TxHZQEziluL
M3VoV7//pr7//n96U6kFKxyu8+cLoX3CMdn7K54j06M4/w/X2i/uS8vRAO9PDCMdVO+Pb0o3yJnj
wZueKx2U/GvbQxX98vdv51eX23cv8fPlNsLjzSBbpefUfg3dZ6n8Hy5n/ItYhSAY43OcZjfffS9h
ERu1xOB/JjAOohLLmP/D4YUOEnAF0x+BhRB9wvevkCop9b2pZefReu2sUzPp+ur/cHb94qbhpmS9
b2BbmnKEfnwNx0/ydLDH5FxS+A3zSVdnXBgPZ0zj9f9wJf/itcBwsJ3WLBs56c/nJPwChmyhkWKf
oyZZwmzygawVKKfW4vbzy/9H2DLBuP516C5e69f/ek9rmtbTa/L+P/+9fy9/sXedfubbuHOCrGom
URfm9B18qle+CVtYyXI0axhjUW/rpsXl9m3ciXoFkioXugoPzLQmT9y3vav8DLzAjMbegz4aPfFv
LF4/L4F/H3aofx0Tp5UD+YVn9aQj//FytLTcIypnrE9WZZGaSNoeJpqJvGkV0llbrf1KHmy3KnID
59UwhlLZJZXdDM7CCkT4HAitcc++mzXFFjgHBnQmRJ26JP2vsW5yWZbdTdrlpxx94J1SdgSoQZa3
iHAbK6yjfviig1+9DOngrZm2IpfxnC5j2ZdOChshR39Vf4oFCuADzVa6SkKYn/YJqk/AYvU5cMyR
EcVCb8wqqGAc9IG2SxIeFldvxOe2Dgo3FMuaeIK1A2CPhiT11n1bm4sy60KajKFYdoRPr1Hxa8uu
L8a1Gpnlw9j6DeJSHtLjUq+YmC4G4Yz9Mm50s8C77CqARmSuVJi1RvPYDJXPdFVk5jXAEUIMJZkM
7CIHRGy5H9XXSI+JrDRlHp97pNRiXVj898Grsqexkyx0cuL8QggLfmZtC5aE6vKfW/SPrQRn6F/f
osf39Gv2JfilTJ8f/Haf4kLlRgAFguIeVcMPpH35/8B1sWeF9qNK0Mb/uk+lCp5fcBNR6k634o9Z
u6jPUE9YPFJ+aysBToGb8N836eRANdBgIIxDpYEVdTpevn8uWXHt2YnwlLOmxHOWq9pcleM7jTw2
LgOqRIPDDYTpqvz0vNHPlLfOZIQTVqtgirMmg5z36ZVztIGNZqWVj+6nl85QyCg3ScScRsZyzcg9
m1UCzYJXdfwn6QCpt9UJ+9HZawIn+mWbK86q1MQTHYb6xSviZF6IPl9lvhWjxWS90XpTTHfGv9U5
RGZNJMqXHCAt7oAYq6ffGrsutXZhWDIa0UsmLwkNS6OsG9G8Jb1gDYhPfRY7qZjFgiWzMhwHL3Nm
iWUsicJpT3aq4nApQ2/p4Ppbl8PgTys+wiAj4HfZZIcbHGK/PDxKwi0ZDEATRY5e3YRVSjb5UMfP
rW0MV01DsFwRDKJEp4DhLotV50IsFH4FoeFyCDPUbMGZAEeGs6gHbPYmso7rmd0a3dKye4ZiuO13
Ka7zmaEH/RYNsLqsjEKf0MwE0Ni9mvGZMdTma1HOsgByb7BAxWWlz2t2CAWCM87drL+Mdmit00pG
l75Vz1nu+xsnYnLlKjg0yEgegxVx66nLtIHQ2FkYdtmmdCeLvLBSHF29xGpnWzTvoe8zSHPS3L0a
vOy6/WQacWGn27Rs2zVJRcHONRX7GEgUhLPacY+RyQ+nR61o3IvW+M+xbzBBS81XrwTp2cEFWPK8
eo602iNHNf9QMdDOa8U7xJPY3Q6ZPAFNpcBIPnz25IXu4T1LqHASS1pzWdq4sFIsBkprbssW36Uw
yBNtmSv44f+ydybbcRtblP2XmsMLfQCDmiQS2TBJJntRnGCRatD3Pb6+dqSf9EiaTyrN7YEHpklk
A0TEvfecfVD2kzK2NSP+5TaOp01Wj/p9ltsFuSkjLwDTnEyTGEbdvBgYeJwxbiPi2MiMK8tqUz5t
IIvIJjBceHqL+o44v+68qV113XOjHYdytDdNbdUH2yQwXSnLbcl2RELq0m9Rdz5lA7RsdSJPVZna
s3HKDZLkQg1VceBcpnQqlNz9qgPAt5P8uuz7+0AxLtpKAAPVlepyVuJ5r8t1PyyXnWIRkpx3Vnan
kjDsO863TpkOcQY11RTnc1S6Pk7nbT3Nvs0Iivd8dObi3CJqbRmUg6XF53nkhF7cW8FF4SDHzu3K
2PQRETHzFO7rKNszJt+lNV+SE4mzaowhhyYiWOmp8xz2I0+gHR+ngVScqXCbldINOaCE2tPsbO92
lu+QTZI34HFACnslExmBSrrLNw27c5XWnjq0JdxklUEZvjHCSQWKU3ckZE2DXIbrB6P2lN07Gb54
s7/HUelwk7qlfQyo3s8CZ/le1doNAqC9oGlo5LnPINJA2zkdkG7jjh2eI9vYoovxyY6oMJs7V21a
3Dil/tXFvrDKM8Zs7nxjKgzGQPFczDX5yanpVXzHUF9p1GsEOOYE+i2MZGDAfVnm+Y7MQjgfabJv
+uiKIdoxl9EbTEKCqdyJnHliyOUzS73Oi+lyrmdPB4RcBLS06DVHi7Ilf2NHT9/LqwRL4rRRLAkQ
1uMvttN7GWIlBSJYGhFPV5UMblTkOYQTIfYF19qHV3qXreMh3E0YJfJSOR+GeUOgFho+TuHpRFsr
/040ixdgCMExRoxfhqHhWxn0N1OHtsdRdzOjxngsHq0aTvDC/NjkGl3jmYF+BNZy23b2xkRFYoUT
7gH3LkvwaboZg9ByVLc5oQpuQBcsJ4yMI9/GcemhAWtkhdsA1PPaiC6uM7lkqER7Q5t309I8qlp3
tljOrW1Xj07U3oQ09fv8azFX32pVBYVOQ1QY8Qb4yKbFN0o4rx+psxca0bUBV6QcjBs9yL9rDKP1
Rl2p6MloPu8Ud9g5rbJRo+w2YWDdWdo9MUmkoSBTsenaBgriVbXf8Chetq6z0Yz2DGMqF6z9kImc
NxXtGpMH+jBT/zL25SN/ytxMzNXn1sShQ7wEzfnRQ2b93BatVzjKAaLJflEExhhGWgO1VgRNZBVV
Qe250YyfyxZbvRs+5X3x1NUYvyqxR31AQqcZeGXX7ApSGtUpL4mxcQE/D49jo34qm+QGod1Weojj
gKBSDX9b0e1EZ3F3ii3tz2tOrocKadqgYIOIxc6ZgiPSrn1h0kQPtAvcpw5Bo/Emx7sL8GTPA4av
1cHj4Z4b2vS5wgg2NxBZMfbe07G8bpv2WLTWDbQ5lUCO9ra3rPVQYe5o0NkUVnaeWVC2nFpl1BBe
NHKhWsrHOe0OOlE6VUUuPUZamdDWjrI4KQ5BVdw31Xym6YR46GZ0VAI1eAnnOLttW3PyFr07o/W1
WvAdDR0TACX5itniPulysdcZZjPu7j7ja1zpUtxVEikfa19tAqKKrn5Mm2iv6tqR9ZbRQpNuicg7
WIuk1WYi9RZV+xxZbbVxjfQubzratVO6hXtxlaSoI1OwOkWJhRqTzi5IbW/UFWaAS+kNhDEwBYFt
OOsSowhIsriaQpsR/0SeyPy1UoD3M3bvkNWj0MaXHmAnTwaBeTn0m0gpPIUTQtr1Xp6xSUxusRvI
qxsGa4OOe4vCfxOrk1+UFetPm5CHOy144YvD3IWHprPuSgszYIOsrmgZFJCgiWBAOSM9nXs94zld
GBqW+0zpLhZl/Nw21ZfekSxyaB1BNsEOo3uVq2x/r460H7T63rV3TidEQ9MRzhoUi671rozrxqZp
kAgrRxr2MWb+Mr0BYfCbdsK7xth/LmLLLhJdOEN/16+KlVy1aWkox8l5acbt2H+eyu+hsc5pm//6
7Xx04IXV+/NK7zqLZYAIh0Ri5ag7l5GJXlCAb1v2pf2Q9E9xaXu/vtyHnx5PExEgpqZRCr89X+sO
bbggK8OrQXnq+kMdfimyL7++xEfviNMyh2UuYyB0fnsJZp0TyIcquhpMEp22PQq8DBVPHm5j/Ah6
d/nry33wjugtUbTQVgCpY7+rGIbCbvVZ7eKrGHJEbJCNRX2d/uY9vWv4yfvhzUXkz1815NpA6Sw7
4CLMFlZdc5640W/avr97G/Lnr64wdEuHspYrNNWFDWo+Le8CEf/mIrL1+a66evM23n01VTqn1ZC3
8dWkwFC1PDe+opXBAvfZQjzTHvW+/c0VP3pbtBmlWd+mMfSenpzGTh4XiRZfifq6VkMP0IgIvv/5
HcD8hUQpg/sAltvbjy6wDMV2hiYB/RL5ub1GPeCN2f2vL/LRR4dcz6WXSXtRd99dBDCFEHE8JXw/
nwtUT1SKKDBhft0mhIsNZH4H17++oryn3n9Zr6/47ssCSk+IhTYnV+oE3rz9ZHCA+vUVtLffDgYE
kouEZIaSgERmpiz3X990bYkVOpq0/Co5b/bdns3zovRIL72Obiyv8OON4ymbX1/z7SVPBT4L938/
x3eXxDNGIF01JFeDDbUelKNOP0gvd7++ysefnclHws5p2TLY/vUbsxfNFh1o/iuYG56uHWR496+v
ID/999+OSXOeVCgXNvj7G7tq9VibWyW5EpS+s6Nz2nyKTdTUSfKb9/LRJ/b6Su8WOCristGEnVxp
2Eqdayu4rZffLG8fXwJNqZww0h19d6vFWsqIfwnTq6I4WkyyJ4J1sev+Zqv76BHiZvt5lXdfPZPm
qJtDrhKnXzJFMlF9KTbDsU/+oJJuM+s339E/3pZO0peQE0e2IsYp744KeLoESOkyu+qGbd08jbZf
Lze/vg3+caO9u8S7GUcxhHygUZ1d4aqFQErnNLF+87F9fAlGWbiWMEC8HzYl05QrpP9mV232RVn2
COJ+c4F/3Mq8B4anNNktGm/wNt4+LCydAtH/kl9xzst7y4uSPbKLVeF+O31W/w5O5MziF13Z5+Yj
x5r8pVcdWQTYjMo+5AIiHeegxjrDciPZ+D8mJzjWdMLD+fJYTkmP4977MTkBxEKLipLaAJ5vEvn2
J5MTesNvFjtGJ7RjaWVwZpSvgj/47g4RMixSUZejkUcPtZF1UMJnKeioSTVZ8o1T2xQ+5d6a0RdP
7gP4D9KueyRQuWvfJY55YZTdHvaWXw9O0K6FyGnjxWQ+3Weli3FYV69DpWAPwjxGyGOWKC96BrRo
VZw4QuLEFLJOeCEJGmolciiX8CGVXui67O3bUYKJnGE+uhau4kkyiyKQETUUoxmaUQnVyCitfqVK
0BEZ2Hsb8lEUO2eaoLiGiNQwkwQYOLKC0wmCmeQ6WPmHFohSZ2irAK7SUDUp/vri+yyRSxHspUBC
mHSJY7L06djBZ6qzZFpb+PHWoEW/1hLi1KkEa7mobkKV2rQqI8AgwhbYXBWoUONUKl4EJ0rD9GWg
IOvhRy298BhWCSBmoKU0fTg0Q/UpkswpU9CpzYzrFBpVZ+UPaYyLtYFT1SHfGiS4SgtGP6/K7yjs
1wNkK7evANoZ+XkV5nstnx9SGFjEsn9XG2teI6IWnm6AEVtiwHeKgszIyNJd3cKNNiLbU6DvrQOd
Kt0iXOSoz9XsLWTmUS3T+ovK0esk+L9EpbPKweH4Tpri4JroebLVfIlm4jnpvGw7KStraTsWjr53
bWPX980xyGCmGuxx2LabmkXHtvt8SzuR2tPK8r1BK6htrYtuAhpilFgco2LYmFTwKV4lJFrKyuyn
dVJMz8iGaHZQdMJQJCJswrET0Z6PDOVZbcBXNwNqSC0l8qp1v8HPdS4YZ9BzV9t+o/eRfZ6Nxq5K
iuY2agmc0zuE25oeSteWm6wX5L8YnBavtcF0yBaqk+falgSpbkM/wr7siUcUirlX6vZBtayd2usP
49CBt4tadd21ukbCip6cV1TceK4YwEUWwasQKekkTIkJ8kcJtjOF4mU1GbjW9FLs4nTYumZFKk94
lqeALKZaf6YSQp0G7+fIsWQkodbczE6+6Tval+DXM88ai5eZnqY+xI9lSLwDUDA/jPg+E2ygR86C
SMPy7atF7f+rLjdZbRjUUoedsjHfrhGVMZHmoLjaMcvvU/MrfZvfxlP9Yz8HT+oKG78KhR7DKP3t
JeYqnFpw7+YxbV/69Gqu7or/CH3+3aM0jhX/e486UBy37Eenef/+6//9P9pp3Ch/6cceBcFLblFM
8bFC/2O6T6goYhKwFidj0s8tysY5zT+C/YOBnpzg/9yiJLWCeb+Q+hYBtPuP0LXi7dlSDvcNEhHY
CFUaDmyJcgd7VT5rgdFR2wrrkq620dzrLhEChVfMubaOIgUfqZNwYr9onRTh79/Z8aTIqwq6p1Ou
fBPLjPnulDc/O3Zb7/OyWdbz34n0Vssovm2DsxHwe7Qqs3JJr8s8/cTA5sbWoqdp1DsPcsflbCMJ
NwuagYvAMhvW0UspAHLqKgmXzF2Z3pF7P3VwDYskJcUZvedotLeRFjzKNl50KNVkmQFN5eH0gMq8
9fK4X2i3NmmFG5u/antlP3fFhanM9m7GLRVL25QuDVSqtFIF0lSlJ8tTKG1WnZ0HnlYVm3aKRw9Y
2I7Myh3MxI5JZ/GCTDoBNkGDeTHz+xgnl36BaueipNc5SZuXKw1fQRbcaTjA8lL1XRxhyXKt4Q8b
qUqJNffNgunTxb+HxdMzZf3yQXzgEeyb538+ivLXfj6Kzl90UsigFyoGiDehSDyllmB6j+DKlajx
V8dF8y9X1XTwzhwM/zP2/3FcNP7SNZOWKvADoZ0UAX8gtHm7SstHkRpCQ4WJNBa8rCkf1VeP4qQq
4dA0RX+JJsUjOV7G12N1yH9TtWgn0eh/S/DThSygDCY7DqIF9f2pVMu6obYTs7pUe8u9T6NasRnB
En67Y0myIFefInB5bJfbBCDnii4snn9HhJ+rMgFfF5Kfq4m8oud6CtWdjRvjFLRrn0J3h1MA7zDJ
MN4xqIdhk2hgfwdziMHWKtlxTLIWO05VlbpfjhkmIkcJA/jWbVA8Yil2fQnQJseo+GJl5ngppCDG
7NUq44EEZ7opA6aEGYA9JWvxp4l4LI2jOmhWej5kybHp0hGwbTF5kXtlaOo3BglfizrcBK16J4Z6
V2D5sxS73Ooq74KMPKCgwcbNfWvK9wGErLWR5rj0mL5lc/0dTNvNUqEW16vvvTHcZiDg/dFsks9k
ArVrN0z7C0VUDV54yz7LYhfEbZ7RjdZbIqAU47uJpmBnBjidGX1Ufj4EuAAyxfL10bkwOveSkRSO
eZ3w2xDb+RaA4f2sKY8ZTkbOhxHuna4LdYGKAz9ASMKID4Mo9hER8ic6nD6oke4bszMmhnZFdNPC
uPJ7oTW+O6nTI6igmU9RL4n9S/GDm0oDNdBabmq7c84iBZ/Tq03wgzONhFm+6vKcbjEKY5UuD40E
QOvvynucmyQi4zW6bP38eYSveLvcEh67quGMFjsYXUT7+vlW+I1fkOhnbgxf3wXe78YRpxL8v7f6
KeSOPZQSzKIVbSIPfvtMoQgbeyaY5WWgh2cQ+SYvDRnlVaOprxyRutRVgbFpmMqz/jvqRSia4Ezj
O8L8l3s4qS7dQJ1JZFieMKa4m5bx5abrqg3D6ydhYaDBOgrKfZk+1VlFoG/DsFiw662nkQxhLUry
lRVN/mxgitOAvxNhU5tOIEeGu4XyaNb1LXUjNIqOaOPYBRyeF7sEaFFp4BQAWOKPY3iuB8RWpCAe
GOpRLeSkWfEQX46Ta2zrUKKZjfA+RO2hGflFPzmqxEogUuNGE25tEkmW3P76K5ZNpzefLCoj2fFi
vUSYaLzv67qLPrpVHjSXKti8LQtBJke6DM/iyLdACa3MOmS5/nm0+uiueltOS1H/22u++zaVaRDN
kIYtU2qD8JqGKJuwXC+t2Jk5HVjATavQxmcq6tqzMuASllnMGEB6GNqKdc5U9VGNadYMrfI9SM0N
ZfgFarxrNVi+WGH9lGOOxptdV38DeP89HBt8Qz+/wX8oXyV4aEWkd/cB2E3+5o9tGZErGlNGXowH
2Orf6Oo0mG8mUxA639xuLuvMjy4Odn+UeBQzKBvojLOb/tiVSbPBYcJ/shlDAs/9M/qteHuny7WM
9QuRLXBe5qfs0m/XEHSdFhRrR7kUVp54Wbkf4mBcFZlNI0fal1Mx7xRpaE5wNhNa4wJS5SYccT0T
OVCuM3zQizREE+KUeIANypUu7dK1NE7D/noZcVKXOKortb6Ye2MPAcQ5r6Tp2mR3CyoDZk2zzaUt
O+yym0katZGPfSHoycOG0HqBoV670tQ9OqxITdKQdS2+T1DDNslY3eZ6ci80UueXdGHMp4jFz936
0ezJQo+1ap2ncDOTsMLSCjisqIFcakqzHdmrV3gGMSv3+RknaNA1FnkoTPwt4tuDyXyqskGZr5Nx
cIYN4o8RRVTZduVdXydqBTJRM3HFgcslVsvdVBrSp6Gd2bxU2jT1bPiDRd+IgIurPpmBIRXgaUuo
56xWXzshvgUckgAAONbK6C6z4V5vyUwPZvJcRrfHAjeXt2LS0pWW60+cKQgFdHHSYcuDo1MOBzto
27NaLV4gAiQN3bGIY7g1D+T+2LmpX9dpmOKkF1Tcc3qnRoOfCtA37ZSq60k1HwuzfMhjUZJMNpXn
agHtUxGuXwj3aITVvsjKy1ZrtzkG9cwVZ5MVPEIphEyVGjOD6GTTF6a613o6MBHvGy8mQT6Bje9L
zRbD4/V8csIuPhtiTIQwP5ECagHIcwAsRzaju0yaXsGZoKTAB2ueHLGdNMemJ59sc/LMahwhFrz8
akvXTqUAw46Jxbap1Fspzwmk+XZB3VbjxlXwC9e4c4G87QFSbNOB3oy07w74eDsnP04u1IpJl7GT
AH1IBW9HMAeJhaw6Tz7BrbsDXbcdsQiD6SUjB9MwS/BdhYm4wUxMpOxj3Gk7TbqME+k3tqXzeMGC
PA0jXmSq2c0k5nNb+pT5ymG89Mk3djv0N7w2ZQ4t35D+Zhuj87SIrYHxmTahH8gWZtdnFwvW6Fx6
pGfpljYU8zbux5dC4ZzR3jW9pnlu7V6H2Kwr7NZFRbIP9mvVTUYkKCAhMGZDu0UBilU7btOnXHq3
FWFvKunmNrB1R9LfrUmnd43l2w200leJqV7s5XLEFB6pDgio8VC2yrrENK5jHjcqFSiGtJOH0XHk
sFw343mE3TyTvnNVJ+pCOtFjTOcB1vQkL+h64VVnVPkySPe6MQbnrvSzGxjbs4z/DaP7KB3vY5Pv
HSzwg1TkSE/8JN3xQvrkSTXFMo+pb/bsk5E+UplYEg4efk6w2RdW0hO6i/FeaXdQBT63GPJHl6QN
DPqJ4Tx1aDnzHi5ziYXf0Hqvw9LfhNXjLD3+ek4rejQJXtb7G0erUa5IIkDTGI8xiIARnU0mmQGl
Y14bSOc4Bl7rkiowL8OFJTkDE8CBoGicPePYXQSKIHbSTxQU54gw7wWiuBUppzcd8AK9yi4iYAap
2n9Kc/O2kZSDHNyBmfOogT8ATH2cJA8hnCHtE3u/y3TwXyATuEnOSslQiIAptIG6GSRdoe+Hx1yv
URLj1BxalcPHeKDHdlAMZID1qOzJqd+pTNE4de1zEA4jUjl3Sc8nt9t22XJNJADhfDDBDOAPU8Ut
6+RMecBCBOAhUhS/Zm3tO7ARrVmdRWAkNCN6GNr41gIvgYokWyF82AwWvlIAFCkgCk0SKRbQFIEO
lBdURSGZFS3wiqhMDzEwiykzbl0JDdeh5mplrXoJ4Avqpk0BCAMayyEGjHHakv89m+js0//7bHL5
bXj++kG7QP7Wq3MJxxHcXqaO1cuQcaI/fTnaX1RYkkKIoJ/uHSfRH+cSGgm6De0QU5Uqh0s0W38c
TFysAJbGCYCDy59K/mnTvTmBcy4RyKI5nXB24tDAq3h7Lgn6uDKsIJ6PcXFlzDALdbbG1dS59xOH
85U662C69OIcSuoNFDZwhpniCfDq9PczYzXHrboSxAe1qXzIcBROiv3iRulF1rsPy1LfG2PxHVHc
hv6AhNeKz6RHguJrbd0DhrxV9fwcDR7qv2BwEZ/jQFcJBsqwaALqSR/s0F42Bu5VGd3h6TTaVqVu
PaaZeAjn5UUJyOcMUnc31v19GndXjWtexnjBtwylb/N0ui/LKbwMhu6sHKHnzkp70BxQBhODjHwq
ec/LOnGMFVl4+96JNpwJAyTCxaaIlE99hW0flDQSjkusoZvFjLBPChGwldB8WMZ+DfB8Uzv4DdiX
V4QifgUxf2xTzV6FEHhvFyVHoxsw9qhab6knG4ARgDUFe84qLJTEdxXrc76kcLuJ0PMnGK+syzF4
xREknzIFW6IDkrUzSv6Qy+oymzgF3GXFUntrowuGG2A9QPlmIhTCUcc834ed5KaVzHAmG3rRvTaO
2K/xIdSkskIvi3wOk0MDISlMbJTIYWauwd6CqBjIErQ5wLTzVs2m3TIOtt8jml4lIVYmlYAZsVAM
BihrTVENUnL/rUqsi0xt3RUiqqfFpMJEEgYEIOjvu6J4itEcBxbug6ykkGr3c98fpkaQrJoUOyaP
ih+lFWxiMVy4aom5F+BNFKmfZtM+yysIRLk1P9eaVd+bOVrh3LzRtIHornHfw4ibkoRcUysgISEO
diiQSi+sjcPcpxqsQaS2szLDl82dB2VAg27XCpuXvlVjAqQlEd4Jxv3iWpx5yoq0oLBYu4MCt7Ou
tjEU0BUZkVeFHmyMHt0mqFxAjf3DAq0js/TvpcFnRjLaIxmE50WQ3iMB/hzmzdVEXCpdZofEgOWx
bQpSrUC7A9kRXsY+XUzdWd4L7uZkeRwQuUPeeO7m2BeWfoCgv9bi6rMdjx2kRjbLVAWIkTXZXW82
9xHm11XVmy0vLT3gQvGrhbNiJz7XLk3lprcvmkrcsGVtVSP4pGEy2Koz5oi+f7Kc8Ia57kZoxRHh
5XGqVJdnbNGJcqANVtsFoUnDpW6Em7T4mnLg7HH9++0YbMt4VAmbMskEsGYSjqy1o1InuyNExk60
j0sPHzqw9eecKHLPUtPOU1vzTMtCfYUs/c5e8PtMZcbhqBF3RREeEBF/XpzoInOna0NXtpqaFitO
XV+DXN3lLnFNtqj3sFa4AQOpO5987HXfLDqOPFDaHbfxo+jiiGWhvOxixMuu8dVdZvjHynhVBmBh
8lYzPSj8Yh0FhUUWbwQiiykxg+YpI8PTvUlT1hVwFfU+GCLVz2dt3BS2+zIF3XOa1VeB1hCdQYdm
3Y4qIRZz7fpNYh3gD5pXi+FsKR6i4ppwjeS2KrQvwWzoUEmWeyKAz40lfNEgifRZP+/ywFV8IrOg
FIbJqq2iFqk+mBc37b6VFbVUT8bumimDtHPU7qoCrrmCYt6xFmUk55kEWmni0OnaWdxr+yjqbhpo
NIjfjb29mJdTrxzKnHcZp/W66iIVQoxirhH8rCkoeyhN5vrfLf80IpCq3F9s+c/VRxs+v/Nzw9f/
IgYXmAPTNUQg0tz9c8Mn7VZ2/200UVIu+2o+QMwkCg8DWhbF3d8e3R8bPsni9Mf4CaG2KvQG50/k
JIbKS3vVczvt+DRTTQ1NCdE+9Dbe7vhN3eamNejLsapIb9Vgfawal2W7suZ7Lam3QeR8MUetXgdV
/6L2wVNsT+hJJpNc7SAjGES5d4d6rVrzhbUgX7cw87Atd2R6xEc7zjZz4FyRE02YtNbrfo1RJJ3c
i9Ggd5aXWyd0d32iQ/YhM82xmW81IfnRJOTe2hZYcuQe3xS7ODCuQ4c7mOGFsFPZX0+DlVNb/qyz
IdcK7hMj3qsElnuV7jyIyriCwHO0XCwDfVMM7jlV0ENqz9tgSjmnWO51loS3IZwWUoAJVrHw3IVZ
qa7nzvw2lmFCZHhfPRcd15mtYbsojYSahuzVcHiUVN2EkwZ7jREkVLJY5aQUVme9Gqa+XpEh3DP8
WTMG8eLM2rh19hL28VqORUHNtdu+btDwl2aypdaYNkKF7T+mu0aGfLBfw2CN1o2ZaXt9Lg+GmsVn
mmKdBUAXPach9DdIxfmYluRijPZtrcU2ooOm80A48i7cxjw6mb0vxl4leJZAPqu1yBQU7qWN4sIo
is5ru+CpDZ27RMFvEivGzpyDb4j3yLLDhkE0c75uYSsiBi0mlDHmrowCwjrTXL2j1MNFM1l7YErT
2gwrtuBshwtQeJGFqStc2tormbugjhvUFSs5HmPC2WO4PP4SxbNfB8SWWGH6pdEgJQ01rZVOWfQb
t4Z1vVgpYgyHAhrNzVrpNMqvUXVTuAt6jl0wKCBzKxYUW3X0RsVJ9yRBridhhvC1TWMFJCbZdqWV
1bumDcvg1hkd5YwU46+hUla+w+nwbJExlxp5l0wU7lqVU49KEqapVJ0HiMFvo97yBwfyzlCUh8Jp
LqD5fy+ngnhLkjXVaXisWqpJ8n4eehm+GRN/xYm1ehxkMKcgobMnqTOXkZ0N2Z2LDPEsy3DbkepJ
3g2PhPLQjcR9Qr3fJToOUjs0j+S6b8HObqyYVAD8mPCZ03abkB5KbjzkX7d7WsgVHdT03p3AUeYk
joY60aMAETHAa3XMbkQwaRwVzy5JpVHIcFtGl9IGvSjIMu1kqOlIumkcxPelMtdeqITRKiEB1Yir
B/qRayXM5lWDY/l5IC1V0ZTPg4xPHTtmSjJQVZuJVrVT8wnZ8KHVxFextAcYWJcLWazMmcxVW3KU
kDGtBQH0mQxurYR9MKaGMh/NkaJHN0Oo9quUtFdd3KWKb87OoSIG1pV5sIFMhi2IiI0HcvO6NLvG
MKyQDdR8rpTuJpG5sjDlriK6hp5N5CxtjnVOBK2i2LtFuoeRNmEjbHC+NATWZgTXCtelYE6PcY6o
2uRb1/EFDTLrNs2XJ1em33akIhDcSGcJNLYMx2USct6Py94lNRfLKPG5mobKaGQvjpPbLrNeXBm1
208Aooua6kMhhleTgbxNCQfbiDo/r1kLV+6STdu2oPr+ex72b5FNstwvdtzz57b99hH84tWey+Bd
dvYpr9nZkIW/LbIN+Z9Z7WwDyQvb8X+KbFP7S6Ppb7OnIoz+e2TwY891/0Lva/MXhdTpU2j/yZ4r
hwXv9lw0Acg3Ic6zpCIBeCfyhZc/KQhfxuOM3ET40RAkdC0FwZ5Y4ajHdBk8m4aGP2NXTR+0XlPU
NeOEuNtXS6yupoGN8rw98eGTSe8WPx2rosT3UCBH+zLZoyAdvmqCxe9CGl/YyZrdZGuh+91VwaMC
1G/bZtPFwgzIq1sWd51VOJWp/hTJl6htLOzQRtNRiUGOaea0oo6cNB8aQLP4ZGPniDCdUw5Iqm17
NXWcbTOEpnWfaUTebgT+ehgddOkL2+x2lTJg9jTmHu674UybEM+l6odhknc+vGayydIpPKN4z17i
oLCZfo+agjdyHnwlg5020DGHF8ipRM0V+v1WY70MFk/esuTGtkPnCAKxDs2tNUff7VExV3nhfE8K
thnirXJfVPysUhJJuOsbWUOPhyisWk4V2EbCGG1r1tXk7jUKKhwh0pWudWmzzvVBOrzJpuotGvzo
+dSd05jRimFN8aw5MiZlKcOzqlGyK1OGszGwcMH6F99SsVhbIzNowkeDuW3LDktiW9irlLBp37T6
7IrOJLA519zTldSBUNYjzIGSjHvH+BYBP94hM+K2IEkLv5ZZ+00ZUoLaygtnn3BnLxkERrd0tlHT
fBdjEGwrnQJI5MnQrkcEFbwnXWzLMm/PcO4la12JkgteMwSr0i7PUvj6cZ+oa+xCbMdinK9BBBLX
6Za53/aRhak3B/bYEEIx9qQpF0vDy3SMx6wgmy6sExlUYLIyjiJclWg9VmwKzIJKI9lqmV1fh3ON
+jccu2sBcB8ar1aD5Z/ndE+AS7ZZVBcoHQ55Nrup8idN9Ks2b2s/mIp0x/YceTBU8t2/hcrfhcov
56YXJTQSqpJ3okL91cj0tGo6+BFBz6lQR/jRz0pF+wtBvI7XigXyb+ngf1dNJugk1VsEesr56M/O
5Gk9Zf6KKB4chk7X8k8WTVOqO/6rDaBOQVtEAxTSFz1Q1m8W7tdKprqszY6wueiq7hOLnfq0Nlni
qHHTMxkNTwsXsjy5ivUV99a6PS1vczd1JGeflr3xtAQSK7DjQTeC5yrNE4LUxyJTDugl0RQirpiB
AS0ErVyR0cuJYVWbEb0tapcJM85iLVnsZa0LQhwyrjA4dc42UXagi4lQXkEqFcsqaeI62omxRxeQ
JZaM6UbMsKvDhjzHQkYA2PWYNcfQzHoeGGMehc95tmR1gIypLl2vfLMQCm//vfX/vvWpnP93jX6V
PX/51nxw7/NbP6v0E1HHxDlxSgCQVfLrex9hGzc+z8Wp3v5xYjDcv3ALGzJeF1036El+68eJgfA4
ZHeoDDBB2pw13D+5+blV3t/9QiDjQ8UHMUuXtse3d/8wj5zDTTEeO5Td5Gqkn8phvhHlMPiZGx5z
rU6+lPFQrOLZuCM+kQavoVD7iPG7EqkbHC3majEUILlO7atFBstYAC2Om+ClCSnapkw0K1i7Nyaz
IprlZbAdh+DCyUmujCrx0hvxrT0snyLqI/jARDbqlemRiJ2Tx1OdGbJ3kAuZBekWmyXTb7nWeuwY
rCGWitZ6P2sQJpAqkKF00aXuPehIDs5p+DVpSTADiaqa0zEK210JG0w2Ca/1SFU3poNUIDGHq0mH
ly3N4Suh4ybARi97eRwAas9gRdgzb4npAzMnhiq0cTsMGfT/Hb+fK8M30mBrk//KhDZ3d0Fl3jUu
wCBoYr1h+D1ho6u6wXUb5/N+0ZD/d0XkQC5fHiz3a14G60afZA14JobusVeX2KsS+DWmETMWnJlB
2ANyIGuavw0qUg5NcABSOLGo0UOoka+JewUYOYReqLIcN2TNJ6D7CPRzoReWzUOpWC+kIxxEmUIG
W9Y2lJm61fZ9kF7rMyT70LJvHD6hgLH+SimbzZhll43p3tix+pJOC2dC1aWVqWoyEWC8z3XzcwJ/
U68ElpChQJfUa5iLJ3HQEudOycA824v6EA9JxqkxOSxGcF9NzWVF5zD8f+ydyXLcSJauX6Wt95AB
jrnt9l0EEBODweBMURsYRZGY5xlPfz8nUyqmSqnbadbLXFVmKakIkgH3c/6xSd1Vm2UvhoKaelBu
Kxqtpmi67lxrwwDyuVeSZ6ppYUJQPnhNxVyySIGAaCk+n+cbtWdurA33yK/pfExsv8aTEhivZIev
A8G3M/bLprLROQojvimRTVuJ7LYJ7e2S0FDYFOUXvbAe9byd0Y1PT0Y/8vnSapbesCDhm654bci+
BXwi3YZqGWSIcuQ46615V1rdt0ExMLJG+q3JTh3GsUKZdH2pqWOH6WSYfDbCaNXQB+MrEZE/s+7I
KmVa5Tt+SAtEDAI7hLIGTe2dVa0RpZGNkpObRohFdUYyXXgh+vJ+ah+zeq/zzD3mAE3lXDPKhkRT
L51BP+wcXc1j4+6DFC65tNsJ2pU0IbUfDa+vtYRaY6asWKlegVo6l1TvugM+joJkXnd5Wi93wxtv
Yw6TA6MSIi+7KQIdFoS85PvYSMq1Ae+DIQ3rCkzQVBhQQpIbcijPIpxpS2UytBELkt+NTXZG4rAt
laIyEFx/LAczQVDK45ZFfKSLscOgw54ek4GJ5C73Q8edbpwKlqokH3+Klm+EWa0IrHJ8NOsbFb4L
HQrE10SJR2E5kU9+DmnC9sVkMHnDli0IG2LYs8gxkVrAp1ldt4/h1xrSwTP4tizuN5XkWBAU0MzQ
guzBzRlREV5ksHWpQazdrGtbxuSLNoFLgddz4fca3Si8MBi/tpZxX5b651y1EQvCCSaZDnVVL4ts
K7hHJ0nnxcLiTyj7xShJRYS6IzE62bkK38j/K7xJOizrzgRhgJQUNVZYPX2dYSurxL6v6viYNcbX
piUKRM3tkwW/afWlihox0pF3jCguO7AWNdC+qlNy7cCP8suDKE2WEQjDvsuHYeQJ0TvcQE60JpLa
R11h+NCwDAtA9GXHwzTz6NmA920k9ohth1UMrE8PN9SWdobM5RD03TnBa4SRSCYgGy1EokPurvQ4
z1gfncQ3co3GMEgEJVq6TenWyabr3XhVVciEJecwSPZBQEOgeXlS5vw8gp5QJE+hTfOzIpmLuZom
rxlpoGgN4EASzXw7rJ9HEncpQgB8hFi4ix3rEFXVc7zAERPXlN+Cju2UQtyRTJV7QcVvI7ODDdSb
6juBw7Ex7pF3s25aPcYuboeqe3bFCGCUZ3zW2pxWUro1QqUhAUajPAnMuFgjqm+J/ela94vI287+
x9jwbhYyfrsM3ERPbfcL3kJ+1Y+JSGO4wfkm5w3CCKQa4cdEpENpAKBINfY7GvJ9InrHUFgFsBgZ
b0P/j4mIzEJkS7olmQuVgAM2hb/ja3hzWv+0DyBZtDHbm4QUOu5P+wALgqpXGWZvFRPqyjQoLNOM
8R7tIjhrrZyqiFSIdomPaSYm5nJWhjkE/10g0jlPX8o+PvL83TLlExmPocZHT01vK5U61NHtnKzn
sArWOU3v48j/gvmvRuh7ksEfW7PzYGQj5vpo3U71U2QnR3LhX8iEWo90ARJQR1C8Vh3ryXi2DBJ+
Zp5CvS05uuO83yVVs2tc99CSJYh+YbNQCoBVCvrSHMjPL+/scbgYRdTTemPE22gRT1nDGKeqnyOV
0CA7CHqvqvN520Cq4jqEIDWs9oziSAq+gwpmUNm5OqFGUXKD2qHyUHiNBAJOVwX6yVXrVJvRktQq
b+7A2ie8xRkXXym0YqVwxrl69o3FqtrOAjo8DuFMlDm4bbLyNavweKrFiFOyTY6pgbE4DkW6xumU
ecyKpmdP5byyZ2edKvNZZHaFHxIBQlcSIa5E65NSfxUBnq4Kxz3TBiotbbM7Ert4W0c96VjTVTzF
WA0WxKdzPm7VxSHdi6GPEOarKYI/Nxz3MUm067mtkP8Hpe31nPqUQ+m3Sx4/pti+xgzdKOIwKOaY
Uh2kb0mtvsr2ph3kMfKwuJ/XUWuB6gQ6bVrRQ5Tw/kPwbdo9ZRl3Zex6C3toVegGQkCKPpOUhkrS
JkN4gJj4xrnTLI8KixXZTe1qDtxiVRbRZ9pwr6cGGqUECGLqJqw/BFKqC7j9bka1MSZ8HbeB69Nb
bGxp3z2VpfNgagG/9xZonMZdkK7qUevjc9zV501M44ISao5nWnQcGqJgymvp2MoVHUq4q7aBXl4U
VE/Q82sTA8WGGbbxBUGSj3VSx5s6k/R93PgT16Y18kbHAWmnlg27WlMvhWhJtxuZ5bXg0IT9nhz/
u14ZtmVbICQrN6h+Ictp7/XCdnA5lbFfWFnE0a4OnykXfmkH+k6TaUtkJS6Qos4A/kpy8vmuZvuy
rMfOS93hxkmzTUdrzXLRDcdAiTez6lIPXZw0s7gUQ7Ajlfek9JZLSSWqUVmZIk3EfRktvlgaBm1q
BviAxoFnKVGwqiG3yoK/tMjNynMskXujbN/J1eEVTBHbXK7bkpDjUcWnOtHzNxI6aCdTvy/pr/aC
3iVmrTD3kUbLxIIaskEop8crp3CnraJMIf4dnWg2gt42ruLg6wDUDKcIAVGQJlQ4Gt968sHJSEy/
lfrwuV76Z1TNybpsGfpCfbwE9cTrG1sUJHZWt+Y4GnTP7AvKJ0gm7Q6cPehrHYwe8VTTmVnk3d4s
qHpBZlJZ5h18D+hqZDQArQblmeFYF8Bq9gQS67yhsk6hgNDWA3zyjvLcGeRWJ/bsgiKkub95R3xH
t1H0Qz/15WE0UQl/bhZDDKe0q3ZliDG6SkjqxmhobOKY9pBaXZ60JrxukWp7XTqdGUbRbxqlobRU
sQ4mfkqfEnRiVjPruS5LMpw7i+k8MT6nBADRKjdQd60u1ple8mFOC8IQ+c9VuNTySxUYT4inhd85
WFn0pX5F3jDgb5czVTGSWapK3LVrJo/gwuNMDuUUu9RrV8oRe+OVEvSH3Cm/DPGIEFX3xolix1ab
cGpUJjGD+nQWzXtTZWdw7eoppjDGkvL6TpAmrWN/xfk03qgiuQha2lqSmdRR8bpoKn9LaL6mQ05z
ZOwry5mYJ4Yqs1nTf3edTlK6g5ZimmjzOWSRfVTTTPXdqXwaw2Uf6TruEVIjvRrhJURkfmHZcpkz
3XCtKuTicmP6I61rfjz1x0WdD645BR4/hWpnF5RytKXabXVj4GxH12K7sY2ei67gIlBuu9RfzPBB
NEjSHSMJKANOUYKl7siLY+yTU7G+uACsk5Sfkd1A/cpUnvKpIjK2HM8rp8Of5GChDzX7RMzjsc/s
3JugFF2cqiCvu7Dvnix3nNfg3jdzptTrJQclCFwuEJS/d0FPJlU/Fg+Ybs8SJeU99svnvnajDU+d
wWdgQdalCsVryu6ldd07DugNHrvzNI+IZwz1nZ6UdwjLtkpsTx5E4L4e9cuBulrXLL/GXHRov9QL
Q+0OJGkEHptrQO+y1qAiavYhPAKn7hiusFQQ+pCme9ecHaJ/cUE5ot62Jr7a2GhPadyTGWFvCtHd
DzkNrSkqQqMXfAB7Y1qnaj6scZrVvptSaKNgDfZsugp9C48/9jpta4nI2Xf8QEmtzE5q1SZ4u7qz
voAEri33jG3uLkNxvp5LLkGOrI0SL+FWGTX6glzLA9IDHudJO4SauLQ0SFSlrWTJj5rvFwGmPwRY
1ma9Dmim0/eGEV9GfXKvqGW4oa2ZyTsOOODMcbfkgkeCmFLRDAu+ZfZdq5yeizJ80M361Bb282Lo
sD7qhnbBz2UaEjRQWX6HIiLIq89q6ezwfd2MjjjoieLpAi+omkWkNI5PYZ5te1u8uOlyhkThClkR
i0un3hSGPMQVkzUKIP4fIPINiJRT6u+AyD5/av8diJRf9WPsBogk1hvc/A02/Im6BGdn7iZHi7AZ
iQF+B+HVT7CINvQl1aKGxvr3Y+wGo3zzALvmD0/T3xi7MTX/DEQaDINCTv/QBA7pD38GIg2ah0HO
Z+1kZmOX7kgpEYhl6/SYBJlnyHT9aHkICMcQdZdtx9B9wLzXrnIuaxMFhBtkyH7Z7Juu4iwumytr
KEnVUA99QF9XPu31qfWXfocb6LEMQ7AWwIPwpCVueERU4niWKUsANPp90pZ2R2teviGFZdruGVQJ
TX6E08xACpVuY4wdpcj5bkTD6OvmcImIUl/XxITw5+phGSYqK/FssMkQZm5n94WCVSdv1Je4al/H
RXxz8PGSaJNGHgjgTe5MIAeT8TjOygP3p4WdRF7d3HfD4l4U1jwfFCO9tuT6ymWxUHQMDgPozD+0
r2bQ48RcSLcZNJ8EVOEnIsYiGhjCzyOcmkupP6vpZySVDKbLqlWBYsYGbIyAw8DuGh/kYjY8MyUg
Fo+RjvqhgjvYNy2z5JMWG5B08dTQnVUMESE3sGiEudToe5V+1UmOTQ0aRNxvvJtwsg1S0JRyzKEh
HUYydLPk6mgBZbxYsuZqkEweeTX1inWeHxWVDKtWMn6R5P5yyQLmNQfOAi+I9HNcG5IrZBhI151E
tibJJAaSU7Qkuwh5ZJBUDOOIucvD3lCeEWiAZjY14mMgGUocWO1ZRBrqdpL8JZVY3Dc1e8hKifRg
q6X9q5CMZx3V9H9LFlSDDh06fn0Y6ev1ILlSrUY/Fkv+1FCtF1cyqn09jmuqLhHsQrdSPN16pZlk
l46OXEt7Y2UVBLeuVhhbQ3K26dCaWyeqX1j/3K0pmd1acry2ZHv5yYHaSAbYYSxkXIQVxlXGz0Yy
xYXkjPU3+liTTHIuOeVqJg+zbFEMt5K27hylOYyShQ5H+Gg3IpKTPGd9W3VWxiIVGaugNV8J7cby
CqWtKYa+bd9oblUy3olLXXzjOMZXNUfXDeKNREdy5MiNrVVdGQMDi6TQE8mmJ0UPry4Z9gapz25c
0qJbR28U/CTZeBc+PXnNyInaObBvV6UcSBFQtIcuWNTmoAPkNep0mylaSFNsZq4K3U1p1a3vZ8UN
PXUJ8D7Rn4FwaqK3tn3kPn3ISpaUwHHHdZSj1h3ysqQoDV2CPSf3WlFeJnUbf5ldEuNFFEYURjpk
r1fUqi39VVzgZDItqDY6BOq921svUTZ86dVgM4YONiBXeR2TrvXMIn7UleSMNt7PUvaw1VuCB7K8
kYeIe+RHse9T97XkOVV6qSvMnVvVMS9rLTqr6CVZFU15QWrds7DchyFTJl9rpstuwWFEUvmuXNqb
dnHv6sgKCPQARqz7Zk16fIwEIJ63ukBKT94R0kXCemmLR+8VXYdqY67sMKiYjvX6YDJLo0yX6gyx
i8voLLWDk6OPR2XSa4k6ODwptJcXfNhwUGQETuN5+po46OWttEt2oU7KgW30OolDrnFmEe7Jts/M
bZj5V7c1ObPUvlhben1ZjsoNKv9xm6RpfBZSlYnOGtgjnUeHtwTQOiuEeIPpWqugHMOrnKoYtO+t
cvUmNFjUALZDvmhXMSwnQexu1baKr7OwqXxH4H/jhOm3bcLmrJiTu60MbV4vCXwJIeQZJ4w9b6d+
TtZBG+u0nuTG2l0Sa2U15ms7h4ufGssel94JHfsh15NzMg6lWU0VW51ElzVmqmCT0o6wwUSpbjOm
JN9Qy3InrMn0E8wBcURtfUDr61boE0d9wruNcp5aMSL/ygqqJ6yINXGuOKVUWbEyFnynZjOYMjUq
XPXs31slQU6S5MAKddiFsLKIRTim+tU/o877qMP48dejznU8vFB5+e3lF9MOX/h92tGMTwbpKILU
vHdI8AfGKPuLsDsx0bzZtyUh+90MRS0KEw7iLTTLBipoaNzvrKv+CUySQBEU11KlQC/K3xh23uIG
PkKMto4623LQNVgWc8DPacaRKAZzIB7j2JR1XdnnSkaYe7ZiWmlz1j4jSU9uL/SUMt8ApjOWrJY2
z+yXcxebaHDV7NSXtcLZPCl70yz0Yw8k5o+iLQ5YAPIbqL3x1E9GdS4d789d2I1nIh/TG0Mbm4NR
JnSJdxOmZREjwSXjYaMlDRUINoUpX+BHcWwoAwB9g6UW5nabCg1XaVYgjxos7VXR4+VatFbckz5f
lDSQaPiEHXe1VFbt4/kWbGsJ3d6RnV7meR/cCmaN675SsuhGTUxiEbaZrdXLHsUsTp+GHhviQDSq
jAQv2KtDj6EDm1MT+Rww5fxENOJw1TSag0GkbAROooWKhgvLopQoN+M6uVOSxZTeotS2vUlYdYMd
VceaaA6EtqY9VnVjQBa2MIX69oKHhbh4p6vINizMyFeHxjUPQ6U3TwGYCgMIfg2oO7XlOKoHa6ai
vNB1otvaZD9HMPN+uRjXgL6DvRODiWPFTp47fMRnlUU8/tFM6m7v1E48XC8J4tuZnQ0fdcQHczzm
bjYXyj8qjHfOQcbu/vWJcPP0TLMH+qNfBTfwld+PBKHResR+odroznA/fOQdNFwR6Ca//wlf9f1M
QG6hA1U78jHlCMAU8eNMcD6xyLMU6abDVfo3zwRamX5egMh+ITnCltwHHs6fA1r1ZCggAqcR77CD
gLuPqw39rcm6SqQBbuowhqUtN7VpDI9jkh+qlkvSIsIBujCOvWAOWz8oHI1mJGuN+h5eey5s0hlj
5aB2y5MZiOXC7buX0apb6lrISqqy4EbvFetYDAyi86DXXOAktRD/t07C6L6LxvVIlMAmdp2zvBNn
YIWv6TTfjxGSBSM91Rk10prYuTEKDTdhWoxzxJsJoUOo8vRMJhMA7bqIGJDIvCS2cTdaypd0UF7G
QbZcAGl704h3rijzb9AOFECpykXH88+8VJARkWJ5GFzr6xyRVeYSouFlaCVQlABX93N5H+XllbDC
tVU2tKLMBuN73w1rytH68BjGe2pmrkkRoOw9eFkATucCzISec71JL4BTNsuUPOS1vgpE8BwV5u1g
BohBk9c5lAawTFw5tDGtnH5R10PYIm4H65p7YKs+i7LN1GXgoy7TVmPNN3nYmX5nj8YOtX7i6VnU
IIkhlm4pjYWEN41cySBx1wxKrW904S6NMNgBtW97hA/XppYJzk4MjMmMykCLzcE3S1p5mlqWUuMr
9VJHq85wjFyX7UTchVLS0TvR9U3Hp9/oXQxalpi7PnDn9L4IFTs8inbJH5LWVNxVltekdWbDAmfD
gjtMMbuL6by2dBhPEWEBHcGnKCMgQ7s3YrQB6/2WZ6Wt+K6GzD82tGBj0hB/stV48phfqYQWc7Gp
jLE85ouI7/BE3DfUau3g676k5E8ytlcUThmJ8JWqbzZidm7dYtzrOUUeTdBTf4zJo9G0O6VnIOvV
UV9PwVJsh7EIr3MDH7vd0pHZFnhVSeKA6xqOUzQT24HKGDjTLj2aNKfLYkaZ4/RjdRvWw9eWuPqD
nYoB/2f0UmnsD4sxq+vY1S4Up2SvUBHd5YqpwXl3/a7pg2YnGiu7qa06o13JLm5TQdRApcUR/o/q
tnQ6v+ssBB89l0cYm+ieUYz0gcKgrvfYA8qZink38ODbJi9P6UQyY7IXKODEmBEH1lk3q09TUHl1
NN7jcSZ4tSCuiSmaqBTDZQ+eDGWvKO74JU1GQluWOvBjpyu2U1Wmz6lutrusH1nnaweRbTTtBgwg
66ZzF8NvcHCsAISbq1HXgvOIouYjQbkXLTcVjkpaWLH78mTmQ7OhyGfyO1G0R8UBV221VKV3bVrW
/0yo7xMqWtTf3UfFf/jxS/ir64gv/H4dadYn1UFa/4fXTjrvv9PgjKgY5R2KbU3AsDcr//frSP+E
YFUmDNk/Ioa+j6jiExCdLlXttHL83SAhTYZ2/kkWy4yKncHByQ8CCDQu//xDwF+cJBEAdacfySlj
PTXTmiHS6y0zPcvjfKyw1Q8LCVcrQ63E5EfFvNz0KNpCJDbnep/YT2lE6G+HF0itvyR2pmmXeM0x
8iUDTthVOxTuKS870GG9z+J93c3iFkJeMfdaqzbKynWV7pQHenCWzpbarUWaJtpNbGMPPizhkrXP
bhFa47HRq8a8IoFoO1hF9oJJFmStiHuSeQyEgVtVTl/u2yDW1XO3NzIB07EsCFTWxKX1mMlt7MV2
HakH0bvwlHWduF5RYMCLJrf2mrrp1r06xwezm43zIFgqYj0opHrqW6hRrt8AwY9tEMKSFlF/GQnz
ieDsL3YaPicWRmxUzrkH4/ZSdfmL5Za0fA15bXyjdshzSCETdTjui0U1Nx2APwn2Ic4EoXKpj2mv
YZobwRfQHD5oCo+wm47B8wTtt2v1QuwxVkTnSiokx9og/Kv7iaG6qreYL0sPYL9b5SnpgqYDtMOG
DcGL/pJfbuWTp0eBUhv4TpcfnN6lFSJo7CMJUss+NZgIYkHpluFGWzuu81UDGb/SZyfxyrYvECmn
fuW4L44RKVtnWHaZRjQDs/N2DpDDKW2eoixrAAEMQv2oofLTcRlWyC62peZOq76bvC5qxotUn7Bx
RxzRbmZOfkPXMObqSpzwPKY3ymjq1wRGFy+JajTw/HHxkAw0gqEUo8xrSP6JP/tjiuYJ/v2ptaL8
96n59stqUXk+/Di6jE+aLoPMZPXP20nz8ehyYBGYmGXcB4ki/5qkzU8E9+rEltqEO1uUHPxrktY/
MZbLAGHzj3Thv7Nda4K9/09HF+MpdmMsVQSgqUJX5Z9/OLrcyVQqSkejCyWFFzXl1ucwje4tuQkO
b0thV3cNSoNZYVnESM+wHIx1m9zNSUpWxttqWcgtk3i9EPrXktvn9LaI9u9baUivLjvqlA3YLFf1
+/6qWzK2In1bbFmhG7bc7m3ldeCFIe1wEMJ82aqFEmRJbvOSmDDmwER4WapSHKmhhFgJTt5NVRHJ
WXZZS/ZvjI7S7O37AklLvyIParivSC7AC2hWy+wZBROUp7R14aV65Vzq6VAhcK2TR8WszB2He4cW
ZcgCpjYtdFZoOOMjVlq6//IAGtZzYivw3FLsi1DNPZCz/qgqdn5hW8VwnVPtu27oPDU8ioaHXa8E
JrNv7XwRwIoLsSVuuawGAiGmle0gEsEvmtnXSEORuixdHu+yxl6ec6HofhQac1t4s4obUmx610yY
WQy9T8u9M+jd1mSIVlo4bGV47GJmQuBymAcjob+zWAMgsPOzvw/LQMDKqOMu27khyDK9hU24tVly
rtpmoILZLdorlwLoTZLRZL3KWiO65cq6cPW2IrThrcu5IMAWq1grw0DCt75nov7pfnZkDXSateJ2
colUAPLrMUuN8PbZTtWLzpZhlUGyrwmIm85ym8bRF2t0whdXd+0tbo1gk8URlrnYJf60VVpAVKWx
UbDG7edI16rmVDPjIZLuVv/MW2/zlgwX/s3JRQfvr1wY8qu+n1js/gbPpdDfzyvBHPZ92OKPXLQr
9F5oGuZJh8Pi+7AlXRiCMhb8nK5GlsKfXRhgeOBgHGTvbs+/gQcSxvTTiSXTkfBzENpI8gJQFu/v
44k1COQEteLOJ1PKUlUlK9YtYGBKOJ8T1Ae2yYkwgsFUFK7oojqOI+psNijTSQnlahYwwkg1z6cC
SQwHEikBrXFmgF552axTIq4R22uVJK6y3VdXwsDXhH1SObBwm0Du5WcXd4JHL+hzUUPDUaB+lccU
LQRjmbG3DdlKD+3T4mSDV5R478OK2sO4HJeV5pAA1sfoJIpcXKW6ku2HHP12Hpg0JUbmTrGniSrh
oN3DshUO6YCF6cVVeo0r62VM65uSNKAqHxu/wQGwT9C5nIVUf3J4uNVJ7a0vAHY4+PlbAi09AviO
6NR6v52KzA9G96ga/Gh0IsymcLhS0+U+76s7N6kP0MNfyH7fJlXOm11GQSdFcm6YoA1Igo9L5Xxb
XOwecJW154jhMNsEHxC8UHtKj8E6IpHSBRZII71dmU65CdgwbaU+FqL6nMRyM9WrAIwzb9ajOX9d
YnGhxQ3/guokJu7IUxO9di5bncbnLSzRvKoiaS9R2eTrpkRx0RB9SLAzSQ2qOxLw3B16zd1ozfKy
OE68Nu3hUEyEXNuNTZBQO+Ns6dvKI98whxAaK84/t1yNwnio+uzYU47t10a1HiZh+u38EtjWWgjC
B0QQypH0tbeJoLVTs/A7Yyk3mtplGDfFZdDM+F8sXAZVUqGhXJ6cGqpdQ27qRRn9hI1sdUZ5tx/Q
vSRJedWrOdeiVREDmSWbpd7Q49F4kV5se83iqgwfMDS40GItrg8KZAcFYYyDCoZILiT7cRp2vj0v
6s7OiniNlRQ1fRh067h27zleL9M8rHGqWIdgdBp/rls2VjN+UudFWujLJ3tCE9VOCsHXSrDsgo7Q
bnQD6RpHLpnDgoQKLCsVusTQWMHD3NiBzWeq1MWOamYAjnLy+gI7SjAtdGfU8K26YRwyZbzCQPSI
AS+gsCN31uAd57kldsD5BDaF7mkq2tbPFIEcNdL2akhJs1Ux0psU9ZIjOZ1KMHlkSg13VPrcJ/1D
kusQteNlIktMiON+Yai6aETISD06F8NoquvEIYQyaIvh3J3bS73SvyUG9z4BPjs9m7+OiXsxieIm
pjTHy80Fd0hHzYpihhvHTJJNJYVaXWA9tmV9JUK4hCRJX5JlqHezCCgAJr5EZIrFLE5/qBtKb0xI
gGMYZ2sSTx6KsXwAa5/xGxlPjZp8KayezJauhDUtoRvjEoahdO6TRjlo4XBGAa+6VidzbUW4VqC8
UVL2Hig4ZixXeWTP2tpJeV42+AdGuyWmK7Q/d4sgBzLU3d1QAZ+3uYuCgtyHVd26xkmkpaP4tYSc
/rkW32EI7qPfXIvkGW+ap+I5bp9/BUXwxT9uR4GCXrMR1r91dMjJ/MftqH8iQghRzlumwVvgwffb
0f7kCgy6XCI/vuo7FAHFhjnXdFSNfOS3i/Nv3I4SaPhIloG5A0FQOcLdh8Bf4vYf70YzU1UnCZrl
tHQPNWHkEn778IO5fP+7/qPo88sSer/97/+Uf8O/XsGRYev8HeQwGMJlXXhD5j/sCyBnVjVVunbi
PMFAxFGGatH8NgzvDvHn6b/Cl/IXr/Pn7+TfX+enW56i5Yp4HhOJk/T9Nuej/f5R/8sXkHPMb7+T
n1IWQyQqlBzxnYjJXg3GnY1CAejPVeAThzXaL68dHqt+18eXXcn5Hr+wa4ThpSivuoLQIhLeKJQ3
Q9JsEHobV31yM+YRtcJ/mOX/8p1KeOu371T6Uj/8zPVYCXCOyZ+FvmYLQVvy0A+oMjTjNGJlCwLM
AfOrrSAC4x8dK35XCv7lG5DEzb+9AY3IfznEEVkvftKbFU6odYNqzycghFgj8KBBTGoIrFRzZdSV
5xIc1e85l88aNPhmP15rGKNYBEqc2aqyeA05hytRwVVuulA9G4GRm22Wfxa5fjYGKlSNUBLtbtJJ
nNdTN3EQrXSrgnq0xmr2FYIwMdQbrZt9svlwYpwGK16Tx7CSxG5vLdtmci9z7uYl2QT95xY3aNje
kq1ECUNGhIblDwVvgEI2CpsITESXkFR+SqUzSfEYPWFg4EDjWaNrrD+3VVogqJiqP7dIo2eFJMqx
OGidcZUkx4SeqKHAHZITjF/pi74u3dvOsHwD91gilQ1mHBq+EWNmUR2EF2WaPXYKddT50qxck7I3
2tPPf/9USrHih98QOOefH3zjp8dljN026aZ2OalbfRfsl/PuQd86++aEIee82wHMrR3f9eaN7p0B
DG1Kf3pU9umm26pb6xhvkndP119/ZP70fv798QXb+PiRNbKst3P5kS3TPbNxMfoNyVUbWsp//43/
6pP58Tj66cBz4nzJIgKZT0qxym6nb3VInIaHlo81/fevpP35R/z+LX18CH5GSvh9NLobi1NEIPxl
OhE7REzaamzZtr3wBNf++xf81QnIkgU8Q80F6PZPv9IcHaZtZ7qgVYW2keXroFz+/gV+dQB+fIGf
fnZwlYAUoRCndvClbnNUGBL/v0Udv/ggfHyRn05Zd3KthTJYcXKHw1KfddatsL78/vv41ZX08SV+
Oh5n7uqmyU1xEjzbU4a20rp2kws3mt5/I//bYU/H+Lkp2/K1+z/yb34uq7mJw6j7v3/+1/b937kN
Zb3Cn/5l/ZYPctW/NPP1S9tnfOn7gyf/y//pH/6RMnI7Vy///Z9P3yiVpnKga+Lnjuvl5wQS/feo
AePR8YnQy19/4YfRCJaGtjHCk6WU6ONoBOEikC2aBJEgHfgIddqkOhGpQBkat4uML/kX1GnLeYrb
hqCm/5XRyBWkRpnChhMSPwOdbT/2dW7N40ktL5vQINXJ9n//OeSdfjiD5QEBVEtyhSnFEWRR/PQ5
RPiY6r3d96fWSM5iGxcB1ZtXrbHTgkuchIQT//71xE+807+/onxHHwYDQRp/DKDZnxISA1bOHJIy
TM2hwOgelu3V2JTO2dARDGel7JGttbESlMh1MAE4dHlnI1worC8Tk97e0klXn5Fq+lpbYqh2onOz
RIztiNSrGhUzf/pKYNZn2YpbasKAY4d3T8JGZgOgRqW/CHo1U1BShHG4M1Jr285ZvAHB0TdhFZfb
YJ4KD1NhsrIbVJRwOGxxIoa0cLyqj6+dYcCKo5e0Pg3nSh3wWyIrKg9IBcC55hsziZHWeBUAOqwC
whLLUrsc8H6DsO8LldaINAkPdKcS5aLcNchkV0PxZVj0y8mOdoO9tGuta7dxh7q4ohspNidQi3Lc
KFXTErBJwxupMTd2BxYN/Az4elOiON1ZzDeJVtS72oqU7mp5G3j6vMHVk3GPd3jCL1CZAx633eLn
vV6TCe+cW7BtikHDqB3vpxTmzQ0uFDW9mBfrAX0AixzA5srVZUdR/EwW0LcMkTTYiHGcKuOMgAZ/
SKvzjubSvp/3uOEuVWI2iqAG853PkYGc9w64SLfkqhea46Ed1IeabE/DoMgjL5Y7M2MWCfI5vYj7
4rJIO3INIZCW9Ez9f+ydx3Lc2NalX6Wj57gBbwY9AZCWaWhFM0FQFAXvPZ6+v6MqqSiWSowbfw96
ULMbl5XKTCRwzj57r/WtEkfmVJlMsjuk6PWE0aUdGGxDz1q1iXXHfJGYB0kO12peweDuxw4NqIqv
AH72IZtLyMv4WLL8iyONZz2yr9sehq/CDNSNomatVPk+yOLLvpBuxgHyAIR+txQy0dhxrbz7YkXM
1hQz4fw9rpw+72EeKD5oVKqo+arDashxHj3CqG/GZljLDMQ6E1yKIvtlWd4shX6ZB2QBjRNa2C5L
h+tpjq4RAO4gnfh2ZT/gKPYmy2huK9paOP+arwUQE/R+CFzxgy5UiDpkSEAUrzJRswV+xVqnr8cK
tlPx/XmaFq9MacSZGl5G8XDUDYICjRzktrHKrMLrp+CibcttY9BVXDrfaKUTdFdfJYOAheJqJgGE
iBM6HhoRZOhePulNKxoLOaJ5wlEKI5u36QgTtMlQhcRhz7xQ2qftckvjHYVR1p3iprxJBqT6ycBt
jRzG62312emT58SyiUXKEndKoKeObTPTERlRkASDvf22zPy/3vU2r+UJaVn78y73//OmJ4iA/9wT
eOw/P/99vxOv+bHfIZIjuMjkNIwM9pv04EcrQCGP0ARfCCBYZHqy5X5vBTj8xWGHYBd6P9qz/+Mo
Nn5//vQt+ui/Es5q8s8FqzgTWBoGJh3osRB7iZb8290h65pOnspJPnc0rfFF4wCh53yhSn0FDEep
rgzR5SbKhn5ZGrTrsuRs19EMb8iG5vBGfzyGb39oRM9c/9Y9H020Rv1NZk/VsVkkrxqIBOjsF4XV
w0czi5SpD0hUGXcOuInYqmSfO3sDLhwbm4N+DcHX3QikQoePekuSHKKoqnphJnRR0oluFIQ+eo7z
1wR2kQnqRSn4FzhHtpMgYoSLYHtTMW8ABOmXkkbPEyf1qvuGAh+lAM4KePAMTvgMLxxe4kuQ2yNK
qoL5FVKKHZZiDtCldN3BArp0OpatXEDIMw27QEBAih+QpwuTFWd2EWACmnQaz3DMW3jmkVGfbAE4
r6L0IVa12650Kl+CgV6hCeJsHt41Q0Fftt31WKPdfFG2Qe18kQVIPYmibQpZvZCTI0kLjznE9WRx
bpUE17EhYOyNKt9WFnrghR+hi+hFI7xH8tChkeiBubdW+2Dj8WFtjMmVM/BR6/KlLRDwURBfxQ6r
hJSP9rifZ7nx5qIi0Lray2Zxspf4YpjLcKcl7XVvssVNhgwNsMlbzzJpgZqZ5FpVhto3RaUnST1k
AEe1OLEyWE23Nu3JFfBg++yo1bzJqAvcwUx2bIzOMWybV7Vm1IGPJLySenaSJTYAiwzpqZ7VrxmA
etNtTMDOUSJiGyIwzng4mZmkRkivOk/XRQbTJ0zLMxOCCmOkfR6lEsCD6TBBmcuvePQ11Fflvm/U
U1VWLMAa5+ku1skg7MsCaIO0SaYBc5fSP5lV9ClN095rejjOalSQwRhx3Rgf402AMm23yycrngWp
/nMeBjTiNYZAhXSl2NVXPZpXfTRtenZGryCB0ZO7hpE4mKHKzPdTZ6z0UDvPSnpmIiukGOzncpnc
y2NwZ+Sk8gDXKr1IsnDYhQYfWz0EFZmRkt3D9K9zgJKyfJ3P3V4e402dJtdxjCyzzx5HufmMMK1k
YwKRMbfDyW7SHsUkXv9SLo4MscDI69Iek5WOohXMVo+A0S9C6yDXygt5hprfdvN9pam9OyjVumqJ
cUc6hMllGnYpZiL8vPJpzMbPkZjGmGIuU5hx7ZaMajQGZg6jG5MRTiJmOTZDnU4e11aDqkUS8x7A
naWXJkRGiFnQLKZCxWx8EVjlsYbykTM4qoNGZXDFLClV1Q0CmiebIVOeF3cKQydFaq/4fJm7MI5y
GEs1Yj7FB/bDZRjRT6ZHW8ywEJJeEyHwNIvpVqhHGeUjEy8pnaVdKaZgBeOwgbGY3kuvEWMyW8zL
KoSQmJjEFC0Q87RFTNZIxVg1QU02iJi65YzfEpnRH95KjOJKu4DzYkqXi3ndLCZ3KiM8MM70/8VU
L2AUxchsusK6BWqT0R8Ek+SPBsO/+6zBxvTP++zta/Sc/2qn5VVvdlpNyLz1vzrrP3ZagcEh7RYd
H8c6xk4/dlpYN7rBic+GjgOy0hBW3e9Nd1DCtOMttm/kgf+tRcVQRBPjr6a4OPGZJm1R3osjJsdf
tvu3Oy0kP/DwfIzzAB+35R4j2M+Qt0lRSERNhBw80DQbwjcfDP0ODbfilohFVsrg7DsjNb1K0xSA
vPMt7Nl60yeMggolJlbHzFdJX72E6sS4CCQl4TPEDPaSr0n9p9bGVTHnybgxGxMdqz6bzIQt36xV
zausoTkyRO+BvKsR4WzK5w7/qwy/agsbn5laQsogBrYUu2p/PSvTFeZ786pGHYjMZ6R7mRWQA1E0
upmD4T7sHaQkDoNKWlMre0pJFuylrZIQvZMI36Pdx1+UAkKn3wrCWlckw9YUdtWwWgCPaYjo06BQ
zoHKAjz1Bf8fOWlbS8kUt+LtF+G6axDe8C448RbhycPsAh4Amx4cKx7IaD9h3+sa5sldoT53wtln
Co9f2Q0GZv7kujRaLzXLi0GiMmlMGIwMn+fNEikxSSx0QXsoA803J6Et3VVYCx0shnCK7J1RL5fN
mM6+hg1Rq62XElsiMTeW22BUpD1+iSjpNhxwMI4sPgOWxgZro4zF0UAa6COVND3cq9amysqHZMz2
JsbIKcEhOWOVnIRnsu9g8GOiNArntRKuSoX4IsyLOC0Lk8vCsl7BLceKGcej5abCnqni07Txa6bC
uDkKCyfeognbArbOXBg8l7a9N3F82ia4Gyh8qzSMET+FqLGBM30qhVE0F5bRyTZDv8VFWvLTZ98Y
KPGAXBRVFIctDqBeqPeXlYCmyAKfQuH3ghv0YYCrAvNPXwea8qUSyJVIwFcKgnADgWMJC2tYmwLR
stQtxl1uV3jUoMrkbyyXWGBdKl3bSQL0EtqEbWp2yYMABWaGBqNDhdHEmceBYrxSkjb1exPvdwE/
AcMtVaMN8awSiBlQZ/gKA06RkJtAfPCMBGTYuIOA0wQKHEqBqxnh1oQDAJvIns4aRBsVsk0E4cZM
bUTj8bpX2QNQRBwd/s1W724qAccxZ4tZunlvOfkZfBHjWC2Z/QCiTkr8oCwIO0X3YAnkTjkxsy6T
ylm1ltN4JdIut0uKdZlWR1XFminldy0Mn7QOD10OuVCB7hOr86UK7QeQIhpaAQBqpumcZ+qyt+Xs
MQIWZJjQikx5tHZJbR1UJz/FgIUyQRiyBWuoTFNw14I/FKKAA0GoxLseOJEKpEgBVpQJapEt+EUm
ICNIBfd9055VQTiKUNn7k6AeGRGIwkaQkBg1py4Cjk2o50T9mMvkwaO7Hs3gfhEkpbqC6EXKI0sP
rwNTMaEPyMg7TXfB0rzWgsqkLtAESOzbyoLYFAl2k8Nl9QZwTipYp25kvKIJ0hPRArqfDo25TcFA
GeCgdLBQcRTRjRCkqAxkFF7qx8XUbgPhdmkEVQqEgURvR7lGBf6owKIG6FNcqYJFpQClMp1+0wlK
VV3YAfBLnG8ArAJAVkPUHuVvZCv6PbFgXQVWfpUBv5qsWNpH4LBiwcWSu2lvAsoaROwCSZ6GMElk
nlmM6SoTZK1Fjo6LYG0RdzD5UpN9DZfgFrUjHSlF6HwFo2uKki9NZZzDEnqXLDheAuJAZQVWYeQ4
se3AfVkCSLLUy9UsSGBQFolTccKbiV5DL2BhQMMcJx/WetXs6ZUiYVGi0KNinGlbmBxsTFov9HQe
4COISdozWo94MwlGGXFkJ4QIdyrwsoUwTzzw8Uof9HUD3mwo7YsY3FkCxW+7cBN542LGFJLyZraU
F/CTRyNkzZ7ApmECWdVK8wrz6tiBVVvALxHETkdmZrICeK0klCNIYQmRhA3nEFkKiDY5BPUwcBPI
rEeC4WbFEHAMwXWbZuuWBt+Rau817VgoY80sgSBaWx7uye3Awyka9e3UOufGgd+i6uOnjPsWuQw9
RkugTwaV4wmGDbotAwrTpSRBK3xm72xWZRyRF4/LZSVrmnm2bYkMKGK7Nk3bEDqv3BhY7z0iWO4U
q3vEcBy4DeuC2yLYAY9YAdGfFOBv9mctsKdN4zRrPt/nJqnxatrllzZgXOgkyuBDe1hO5H0axPDU
l+x5x1Hnb2MVXXQOyTnd0HhaJZUrJ++/BCIhR7bqL1pUnJPEIcxXClL0OMFRqUwO1OEcrZ3SIRl+
Iu4nSHrq4Y4VLLCNU2TJPGVVDAcuLtdlH25nJqiEmnwGKAxmQCpu5nKJNrGUPIH+fTHQrGhRnm+Y
BW+oI/gNguFGMfAwEUNnYYOydiRQsRUXeoorTLcIAkIPa0pKexaWmHDOv6ZyWnqka5wni+N6K4UH
GaglqtXqqy0V0JN053FkML+S6hxAfmHiWjAMtwqlB7nug6uG2FFWc7DcR32INlGsGxB3exA+Mueh
+lRmWRlxDozlEGNDXA/LSlacOvpjFvpvHS0wL/9cR5PJ3T3/L/e5+fzc/KKcFi/+Xk7DmKdW1kW1
TK/p2zTmRzkt4/hWZcdkTgLrXQDgvzeujP+g+QRjY/9Jj6QI/l5O4/jGow0bAwMMInKK8O8Tq8s/
ymSGXf84Ov557kkxDSUHYjfeXiw1aGnejY61SJHGbs71U5Q/Le1pmh7fXJY/3++tggUm+Pty3bFA
6KucCADtM4DgS74t1/uAHT8wpv7UL4bQ/H1FxXDKKB6NpvtKR8gnaDv2cx2roiIVO9UCdVsnxMFV
SEEls9wQjrkprIZwcPk26eFutdUXKaPCVJ1Db+Boa7t0dBeYVcqgGCmxV12tncO8JWZhAlcdchHZ
hVnWidGcl9YdZWM3RW3wFX0bwbR5ZBKBFVs+QKrsS61mASmcSrbSW5WSGDzrQ0IfGXeL/kKfIl93
ihV6OkFXFwrnVdBi9tmqLGmV2c0DynpthXSXppWuo6ubRoVhTdmhnNQA9jTFxdDETxzTDwZmb3Yf
hgshWji4WltCqhafY/NtYGQkNsdHO2LPWwi0lWRAsUSS0JeRzh2MGdBl0H5xEflh1d1Y7NKSXO20
GmejLG2Lqt93lYxppp+vptTeg39ENLM0PoyWfW1Zz4EywIaz4Gw4EkDj+Llrg9xtBXuFoIEsTM4S
5F9SxWl1qY9tGu6d3tqS7nPQC6rLRh2OmQbmLdeQidZbc64tt9SdT0m8sOOl2SW1BA2ghaU6lh+r
WhUQjmSvS/ptl5E0Tt+EjXwhdVoraN20MEV7O97NWc02mbDMBYm5oQRsOZOlT73uYPYlTUkOcf4U
8D5BMu2npfEcfbjXS3B4kXEyW0SG3QIHTb+OclRCfZDjfRqO0djsSphBIYbaaMDImzvjNhuIllaz
G1Mpc2rJ7B7T4SclsO7NoF+Xjbm3F4Og7+YJNTJwwc7ZSFr7WPLl1TkHkwiDiQTWFYGX1E2Gr6XT
oRoTG+5OCCZgBpvX2a3q6lbghqb1xFOwTuLkMQwwWkxtl6wlRpdWVX8Fpra1CZnUteqpb+RHSZJv
WmvGrAFIaZgcTzayz0saXIGdXtxoDg9p0qQbJaxgP0nWbQSvjcIxIvwUAKuc558dBa+GRAYL3hLL
ONpTW+zj2AR1WrGtGuZN4ugPfdUCXVORW2eVeHoS6IBKckG32oZjNda+UU+NKynG9WQjte3nPruA
XScSVbV25WTV4AIyD1Zja57CjtN1bJifQOgSVF8H9ufGweoccZrjkMX+y/PdDEFLfqQUzCJ4Oj5N
TWweasZivsOlgFVZhV4jpanIXY98PaIZmvWSvOoWnMhFF6TXJU55LGO9fIFjzbWjWXW7urnouukM
O7DdFf2ku4rGgVFR63YLNCNZcTQ7mOhC3Tatio1CQA2qWgd8t8qIR8+qVdnVJUiFODtbsCvYremW
LZSxXhCw0S/zpybQnq203rK+4U1T2KEVSfIhBR6CFLYex2nDTU0Dx1hW5jelQVAbPL8gu+/T4noc
mpHIXvOsx7bLyuI1ie4zRuh9eqoXVg2ok+EE//14VfQEa1QW59Fy3oc1XFCtXiVD4lVLdwBntYmM
6Chn8n3awI3shawryDbFlD5BRqTrGXfeaAcmwikZPboeW5+rUYJxyxkxxgg45repko/rgRB5DcOt
B4MSZqW9pKsljpvjYqcnTa3ombdXSm22BH607pTjpltGrOOKtVOVoF+FGgqxbB7uTKm6zWGPIsbt
M79t+mg1j13usOb0+1E2y6cCGT/rr/SVZD8yBntQprwdfuDK1M+lljHLnlNr2A5JBIBQp+hm6Y/u
g5p3UPvstmAyATNMdvb93IA7SkJs8QakIzgpEI6wsOildWvUZcL/SvQFaXVL21UPcIKn9a0Z0N8p
jOVhCQqO3z0pcUYfKhS407qbbWlTyUOxgV9fetguAX0MRv/QUEavJ3uOFy+jCGdXirqtPpAqmo5A
D+wcwXdePppDRdRgTJuH1nUroK/WPq3nOxkowoCA3C2r6K7P1Fv6Hw6dW1rBpZQ0fhlkM9P3ZHQr
WX6k8aH52qTXDz0ybb8qoadRL6fXVszMSAq0B5UY9ZtANaa13WPMSbB6fqBqeKdK0rG9MU2j1CDN
xiHZ472mIc9pAoZJceoga2K03hkM/cemXf++Cngv//zzfRjEIUDQeOzfFwGdteQpBtxTnmViHnPH
qnRp5/kTyyU4lNnhB5iz7TBV68xOt60aHaIBdqdaXLBSHdDxId9Or8hUvsYLsNI4gvXkWRRh8Fr2
JloKHgF9sU+mHFKu/ajrflHA/PIKQdaxFB38Jr3Pn8sXI+/LuHPS4jSSahHOtwIeE5UfKArfhZ3g
V3Rgi2uM3IGEc1qy3v0ObZ9Wc572w6kKQQcSjr3TEJzS0anZN4aBDAlpeJDodF0VDvegI+8YPCHI
nAnGDDT5akly5v5Lf4XG1rkp2JX6ckACAfxGZ+7oGSQtCxrhKZbiPYIUrrnKc2PmI+JMwhSuQTw8
p11GRGQYbxas/EGrmKsoi9NV2mkvErY4A48uDOfadGese15ZY2CJGCuxFVHaROauXtRXAG7PKAHc
3qAhNVnZcV4srLXWLG1lZUyOclTl7jKB3QgV+iqRgzBIicNPQa/kt/XIgMpRwoORV4gezKrbmgoM
75ItTqk4/ycWNgpZPZNZQ1+BszLrfXYI5OceHDEYaNbFR1uioWaNynZO9EcGjREYPNp2FSFJGply
cEPZxHjMQPz3CDOlfNt0nLByZdqjmH1OYzV6QWOzkc0692k/HdWSY6fW1utYI5KCUKTr3DQzgCVo
MOjhXNRW+4GeEyfXT0XzH/cDDyS9dKFVp8/9810XaFJZ8LfuhGLrWXPa3F/wOp1MqUbY2UZPYYuE
kLRvTzEn346/5bxkR64KALoohfsTtkcCRl2IjkejtB80vYjWbW7U676XiV8zmFeFMYTswR7slVzq
+RZHdeWPSlz7dkMsu85CJNPwBMhY34Q5VA0lakt2A3pUHS75oqrXZr4gzjOfHaEFHBTaR02u3pnq
TO08w5/sFLCtRKM2BiT5ZjQfAEfuxkD9YlpIH6uRZcDJtmYx3QZOcqCF7tWldmNCd1smSHKzekMD
4pgm0U0dG9e5BVVm7h7sNNVd6kZ5ZdY9tWA9kN2GcckWnEFor76M0MkHk/gscU94laM9Kpr0oERk
9tYdEmLO++thkUh5ncqVojcbWU52TjGs1NJicDzQIu1kz7bHC4sQl1EZkPVmgqvS3WrCq2lPpLnN
zwDcXmqoTAVeJkJhjpjI6LelZ8IwD1ZhrkeMP5EV0xMHdqM68RUw53Q32wug7HllZoR4VhQ0pRly
LuFhHCTnaqy7r4R/BgBjBGmHLIuuTz2TbFwVxgGqg4PZaptYQ0dt49dhMrqA/6ZCTXu89mSSpMp4
X2KOCaX4ks6jG0blWk3x07GLR2MI7jB7HKp2TfRf4YDg9RWFXTMLxnXH9k6AaeX3UML9LGXAi1Bg
SWieOnHljko4eq3MoruoyjohtpZgj8vAVrZh0QF1rA+FIPt09A/PWSUE3Zm118PxolIJJzUENhKq
ouKNMui6CrlWyykhMyGU5Cu0YIUXjJemsbJSIm7tUz6tzXld6tvAGu4RFQEblI+mgYVtCvRDEo2t
gAkHF706WF6Lu8ezAD9uQLz7FXXDtpw7BrqmtW0GqhCrJMTFwrA7BI3ywdb2wZP6TSv+VhUYOTNs
yrRH9YcGrj3mEA2mQbi2z2lzVDix/H4/+nn69beVQczZ3h6n1QieBej37lSWr4TRDtM1Sc9F+ADb
5/dvJLSgb+Zsf7wT+V+6CmUXF6ghdsY332xsCYRN5GE6Lcocrqp4oqceqCJfqNxFJRr7dBouaJuB
PSMojCGybQCrLyFYJDCJRv5dr1WkryCsrqZCA1mt9Z9osJ1L2brJKN849SCAUW+mEAtd0YVrAoWe
ikS/l6Ksug77dFgZxLxvcqO/MBLZpbBYzQQaeZR4m6LTrHtsQDfVkvl0Uva9RsyOpgLggINeOecx
DS8atm1LSi9SteBhkuhb2sC/lfu8alZxFuxG2pH44mwXUcQzcHLDy8bwsZ6c5l4Vlj+11cIPrurP
/Za/X9R3MqHU1AsSyOzpZE9P0fJ5tve//9U++vffbRwYdKmRw3Q+xfYNEdT4T+9+/wZ/q4eoVN7c
Fea7+49pJJ1LNZxPhnoJdsnlMsnR/IH8X1yFv0a8368SWi5KUsVArfzzrTdZ7Ri1Ot/CURHkvHRj
Tk1yF0/WB7+G+vM9/q39pVngGNhqwT9Qmf78RnMSw8lcKvVEGfPCpubfZmtkTSuYn969W7j3O9Mb
Dp+vYy/6NK2es9X8mSe63Wq7319VEUL5t2/8dsN/VwA6Q8ysN2QZ6daDL3vyarrpN/kVTeuV42WI
PDdc57XikdvtRivHr6APnIqX338K41ef4s2Pa7zzD2RBm9kqGdKnh2mnrggNWDuXlovE2o38zb3h
HciZ2DgnBtzb4sbY3gLV2Uxb1j132ZQEqPm0znzHlw79tti05wihqRv6n0q3P8nevDF2zo4whm1z
l69vfv/R36uzv1XQbz/6uwsoqW2cVVLMfemWbrVuXxHj3Co+6Vg+wQF+vCrW+b7cXL4cVv3O8Diw
J3vIcPvkhDrKC1YM0r4E3qfff6pvXq2/38g/1lBTNEffrKFxXA6NZfKpop3jRt6yZWhwWyAFJhzd
hUfrIhxzs419qrfqE4201e/f/9cP61/P0bvVhqVGIjBmnk7yUq6scbxYpPQ09HL5waYkVpW/f82/
3ufdqmOTbzYMSzafqKndYXyRp+0IGQ/yuAxvp1r//lv9eo378W7vD5NSzuJv1EnP4Cbl5HddhVf/
szd4d+bTJjszTeRJp9S4UBP6gM5H7oUPfhhLPIhv7gspr+zCmnnQyuoEjmhdqQ8LqXz/s6/xbnFr
laxNBivpTpP4VZYMPvqfMqp/HB989D3e3WA9tOi+aPP5NA6TF5unPAVnl1/+/nt8cHdZ71YlMwil
meYcuwFBI7pTECjTnTWt96y59ZJRPQ1h/MGl++X3MqCLwUEjzFd/95a2hsu+irv+pOdfG2JYtIgm
3+b3X+uXt/Gb93j30GSh00p1pE8nI9Hp31/l+QddhY/e4N2SuKT5RPZIPZxkFm2a0amWfXCZvu2P
v3vw393HUczQJ8i4jzkbuADV9sM2PXJEwPfoRavw3Lv5HxSsf7zjABr/fq0R3/rNowPDB9S8GrFH
PdAYLlhVkcS6oMaflcOyG9zLxav4g2usck9x7SvJve5WYle/fKwvtT2ndmAIq7lzt4UXbT76eL/c
yImJ+FG6vL9z4maU0U10J+UsNnLJhSes7wrFc9ON7t8X7h7R48VX+TOHs+Zuvhjd8YPVSxXL0+9+
lHe/+yC1ZlQ7M7WEP/iLz3xaNV3nIvOvnZN5gOnpP6prIBJ0bNfNptqgbPlghf7oI1jv9j1p6iVi
jaruJF2gPvPpbCZfjLXiWxf967StVvmBCJqN9DV81DwEP+fQT15//3S9M+n+rYa03t0n6aDleltw
a4KVXNeu4saiqtul3u2wm3a7WBQtJ2Aq9zL+3HxdbaxLBHh+v4p2UCGeMu+DzyMK47/9Kn897kKn
+fa+tSWH2VDBklKv0BJvTBC062W9HOILxX0JdxDgPXtXbWnqHSbPulvhyuYn6jbp+ib2RZHwZ3Hw
7+he54H40eIVLs4/HZjCMfN//vcfo3u06MvfDSfild/n9uCXDBBdBhAlBvRwlt6wJ1T4S0QxwnJD
hfqT4cQCWEEQJP1cIiFFQf/X3N78Dx5CNLKWArPyW3T2uzn97+b2dNB+up/4l2yZ3rxhmpoh5Lia
+PubddAJJDpHtl2diwnVCrQSOEUqnN5sKu5jlJwrNWkUt6Wch+FGNulidLvaUL4OpYxjMc/H/SjU
e3lE57+T+21YEvzG9QBAjCWxLGg+iXSDxEo+j0EzAWpjODsUiEGzDtuFlRs2pd3sXDJZvzMaKDH1
qM2ukS4HCpu7MOzIjo3vg0S7zfHLni0lkLxyUkagTBb6lkmJ93nGwEcnkSR1nCs7pUsz9eqrIjX9
OlSl8Ra/wxYF8EVSTfNanoqV1E7XtYJopqyyHWldp0FoZfV6Y8gtAeDGdMit5iZqaXA3c3lsDYv8
707bpLITkZ7dvswocfBrhsPKWmYERHFAWDKadmdGZSkE8jgc2qaJdyimnhQlsrxxGikwRDzIwlM6
MTUjvWEbYd/xJ7puftYI/PNyHYTKvDUkhUvTx8NFFuNpyY3w5FTx3rFJvCXHb7V00pckyRy4PozM
wzLejMsYe3XAuFMa6GsqETnS/aKt+wxgXljQeSaqjrxPABiddo175bpsv6h2+dXin+tnLllcE48c
Ke1zhLsIjrPFvM/q/ASiEC23BAGCqboA/YArZDoi5LnFYOJcQ5coL+tcIbAzmVbYGSpmuCKfmnt4
A4v+Vqdz76WD49uScVcVs7Ovh2SbWrTtzTo4ycIzaAfpOoizi7bsLscAg2RGfsWIMhNEna8Y8b2j
tzpTStXxghZeh5PV6yWG5FnPD2qZr/VieNLHudrl2nA9tHSslWV85Z2n1aRlr4NVK2cA3JpbKzNq
ChscdhodHVh/h0FrPitNwCG1UdQdnC/zKSLHc1Vb8PtWc9GS+r4wCsSL2yRDdQoHydpXwqk7fTPt
Wt8MvFoF08Iw7S/YGMf9YGiuHVgkHk5bwcubDQ0gd9A8OvpImNpcYLWteAsazVWfbpuRArQ3uMQ2
rhYpj5Y7rSoVV1fnEW2adWPX5kWnzK9ZVKe+khrXWRCFF+YykDI3nNRo9BUnoZ41GV/Szf+SLJWz
60rrCzACZJz20gKJdFq/VNorBtVc4uaIBtD2rWas9qXVwO62yANN9RVyUJ073O5dYo15xTQgqBvD
mVZt8DWrgksGrj1pyZ18HqK+9MwebgNiu4taxa21MO0gCw+NABIBKyj2Y6IiHUT8kRBOIzSwHYp3
CbkMaJRXWQ7S21LWK2QU9izRHY8QwnxblP/dnXTOSL/ZncrsufiF9V+86u3OxLCWtDTGkQQG/Lwz
wSHieIJ5g9Gu+NN3RZkNhdlRBHaUzYJzDVXhd0UZeQHsZzJQJJqy32wd/8XOpNiivvyr0mFnsggM
oGUso/oyAQC8OxTqSM4bggfns92FzaWVoHGOlcp6KDNd3YMeSx9npbPWdjfIR579gLPpELFaDLjE
nLG7ieQy25DSHl+AJA4A23XNqohRZNq1fMqyyDkOgiRuCKY4hF5eP0BI8MEviVEWjy5i/f2kEkfe
dszvmRymL3EgF5ukGAMfUBvEUzIKnvIoCvfYzheENF3i8xzMbsuOSgLx/MlRawBz2vMc5Na+F6T0
rpTGiwJd96opR5r8gqg+ZfIZDgENrhiZr2PWRFMBYGfFZbDjaB3tumTpGGQnyWs1K6MOzSj3iWoP
SWStHqMpDFaIR704rfYJqllvSop0py7O6HVI9i5DJXyQ03kf91qDTrnARcr4O5Y7adOZ4UKmea/t
o0i2VpmWXSiMB3d47h0faLG+SbNCXw2qGjBFHWyXkFPUXzlgvKAcrpYmKYhZwHSFYgVHlgHaOLVL
Vw2dU6IxXRxmro7US9F1PFaaT0gAGCokcf5sjdWujtp9ryZPhMRgQsu6QpABkhWzYNLM6qXzoF1H
K7IhGz+TUnkdmMo20SX4PrgRJ2PY5F0auPPSV89DGSZHVLmvUopnsUbYzr7JGjeiZoYycGNq1lVu
IYVLp2mjDtknNYFmf9CdDpOJChK/Vi5L1f4kh63FfDreVZKMSrsjkKpmcF7xPqaQB2eDHh7bltRc
q8gvWk15NYyyZ8w83mC5IAgVB6WXykiL81w+W6GzLfJyM2jGIZmcYzXKm0jB8r9kIdlxgYnnFbxg
GJ/zJe5cs8vXjo5EYDHmozFXfpVKd7ZmZP4y6ReIyvhLHzzlavNZGxVcNpH9grdvg1nzrnbIZQK/
T+lftYzQCiRmpzplM/ZULL4vuo3UjRlHEwF6nA4OVg2eCmLQDopZNz2DUrJJKyfQfIsor0NoqvHu
38X4G6lOYEN+sxh3z0XcZtDSf3FU4JU/FmT5PwK1Svv5h8v8h8QXvqs4Ieh/Aqk5YPy1IMuMHlSw
+FgTALLwp+8LMiwWTcdGhyTERD5LEv1/sSBD2n+/INtQm/gINsAYVkJZtFTeHBUkW9LSZsrKc49f
ZDnChTaSk6LLibrqupyMP+ThnZdnxslAao+G/EUPCVhp1Px2UEj9yJX8UKvNIyyKfdYW13Ee+52k
lkzbg6NtGMdqIua9sMYNuW0h8Kn0EMnj/ZIUr07cTm45qC0xkmZ5ZYTkReX4DCI0FT1SBV945rAR
JceOAd3E0Yq4kKFQPoMoc6dhDDPi7wYbnKWlNfFeTc0u3KSkAy6uTPoKyJJKI2otkGSsXEKXZZG/
tqmt/8veeTS3jaVr+K90zR4u5LCYqboEs0gqW3JvUJREI+eMX38fSFbbljnumaIWulWXm5mWLBA4
OOELb7DWegTa7EZxKuJhJ26DGrit66mbIvDLL0Hr4MpOiUCeN3UTDHZVB2dGCSvMpoFWYh8MZmFq
lWZBxAvfapjlhSvmsxgpQHgMbfdQ4z0waaPkzsi0Grn4FqV5i2qKr+8zB7cBo81hsJpRO+d42HL8
5LZcQj3IPH+WDw5dHNgfqdPcyqLzWSiGVWUIVw3uxEnTrog00SWtNl2rIeWkY/OSoXQaydi/+3s4
D2cIfgnQ8OotnXME74VsaXpgBwtLumpqYaVL8gzxkp3pZl9lpUDnuV1KfrVu9XjpOvnGtUBiyd2u
TosHsS+vLC9ayoF+i2H51NOMpSO557oH7iGPsusoG5DU96dRJi5arbwqKsyWu3YV6OpdbMDFtsy9
ZZYg9FqIMbEiI9H1NZHSmRrpO6WtZ/iPowIz2FJabh2/vLDC6ktRDlOjNqcZDAfgSjtMS89N/GzI
pHYJKj5lJ98Nbbpt5GACWwpKvYphN4bknrcLnHRXKtbZoGjzuqrWgRYsAJL+KWvB3PSrbaZUD24K
+nN89a5h3aiFBDFRWkDZ24DmqCa1Je5q2UO9NdgVunyZE69Da7rVPGUVBeMbBhqUhfGqBOdAdwOu
XH4glYHMHd0ZgXebit5V5QlzJ9M2imrO5TrGeh41Yr2XNq3aPeDXVdlWIk3DRNo4DZwzg+adV21c
Q5oLfnfWdt4qLcmmzb44FIZMG7+7KvpR99VttEvEVBa+3no73VHxPZDj8yICpRKHEdp+vpwi180J
Tbrd5eeirm1aiSlVj1afZFF2rrecQKX11Lv0frqYuF/ZGL572eWVPu1weG2iyJgCI/mzCnqmn6JD
gHEWXd70c0Fx/sR4fttanTc34/oGW4eZIigQJNWqBCQz+BMpTECqxjBbBA8EftYIyUz2pK2jqldq
4Rc2ajzVJOh4401gXQSZsCjVmK5lkEL/DAVU4Y1gnnfStgrqBbamtgaqXYRKN2N28LZkAiisUS9y
tILsRC3PZAQI4LuV6OD454CTNkouLGAyzWI932Wy7E/aPH7MYKPP5UFAGKZsp4GDLrFf6ZdaZK7S
KlCmRRoghhQi3OgMeDsIQW2nIsmp7GnoK/nZBiRwjVCPYMdyel8ZKqAzOW5sIR52qBZsu9B/0pU8
QFxAXjoZwNBuNJiCfHulJ/LnytLXggbKRqijOUZqaCv47ZaiYD9pVHaAWABHZGVJPZVzp560PiCq
oO43KTWNia7452GY3zZ6rduYTty4usZ8h+iQYGLZmOG5EzE0lFvAzhfBrdXEiY2/FT4fmtBuUBCO
zjxND18Kl/+fiGkkR//+7L8pfAwI+18P/vHP/jr4ZVyokZFVUS+SLYSWf6gRKp/0H1Xdv536qvQJ
3TLLAE6Kcdvozvb91Lc+8XP0XtF8p7iHzs1/c+rD1H576iMeaplYZ1v8D7fypgAu4IKg53kZXyQS
ZJRtKddwDvvaR54d8aNWtiZdR+Y0svIe8wb6z8hx6yC7qSPrTTEe+gajmQw6XIHwRT7y4yqTgLZW
jZ04cudYPZDmM1D3zsis00aOnQzaf+Jl7k4Y+XdN41U22/V52VdPwhiEa1b7pI6sPY/oth55fKnp
n3Ujs0+xgq1A/FGIqTZNR/afV+nNFEfeCDhc8YRCCaotdfHQ+NUcOHG/wO/jQYBO6LUVwO7OXRpG
tUuGEPLESDzU8vZLC+88qvrIDuAmKlp175qUt6yRtiiNBEbXh8qoSsDa6pHeCNJpb4yEx3KkPpok
mJiunqejMbw3yFAkjHzi1f5lJ4vrWNQOahUvFDzlS9U/o+oTQmEQ7A61LggQ/GtrGYvFfU1OknZo
XiWjTz1+9VZAEpBORVV5LC3rsZDL82Lw7zQs7kOy5ykylbjea/oFZnkYOGvtMvZ8rI0rdDcHoXbn
fehf4zW7w7ZyNyi5Yweij/ubjBe0lpvxKgDUN9GkighFRLhHaynzjNoAmkBB0+2ks8DT3UUg1DpA
wGjr5bU4M8vuVi+Ftdzm6NAY1dpMGwglsLMz8L5g9XMUTrNEXvTVGOsE6bTwoZ1kfWQuQsMrpoGI
kLreON1Mq5+ZEfzW6OVl4bafHdPAfKK+0MUaScCktdFjyxeFmtgd5LQJdjormfR00lWtO1HbAb1v
sVjhggbrRxacBfYJjt2mzZloiDuPV8G/LB4C/Ob0RrtoXXHlBkZn63KwUAPUYit1aUmQnsJBv63w
IRZj9zM1ygMFFcEOB0JXrdbVSZNbHHH1cJ8EeTZ1ZSTDjewOPgo66mV7K8DGtPlT6rbUmmdKE173
AuhWRdaziSShkwPzHLeBbKv21nmowi2q+o5sP203NcHrrDMRrjNAjrNWCpOSrC/bTmgt2wrKS6gU
3b5y8FijlOpQdsf8SQkDiCPAjv1b6r4RM9A3Zqw1uGkNwVVlVIukJNnW2iJbdpLs2EoqnvXgKZHT
QRAvwIB4EIRLirsQMpKcIEuG1Z6gvtILdM99BXH6zh0oZKf7sMvRkVLEa1VZCz2M1FF0xi2uUqOc
KX0XTOGKz0w1hddjfBUlMcAUXf1aDOIXq7Q2Yhvtsr6/lnXcX9Fj82Z6D9ynj/Mrry73kYp2st+v
cFtZq7UF9UXCroa5F8CtV/EI6L/KZfGnK9RnbVpdgt3ZVk0QzuF3TVFF2ioWiAJJbMIJNDR5Eow6
R7XlNXZRVV8zIUYno2vHboex9/PiT4S6kZ1PwRnLKaR8HHFwtcOTGblswbSjQL1n180JzyA6N5H+
WEkmxXYy5Skb8lkpFN3CLet67g3NunIUNGkK90r3un1A2QQyX6jOq7yMEPHnCC5VoDoxGnYeRJHK
664rDXd2SjezqKOmiyki4XeiFSy6lCVh6tuo8INZ2jnQcpURi+jQ4hPca8eBCpNZ15ajLpWuN6HB
j/5TfXTlZFSsUc2eu5UZ3RdtiY9m22wEcskRiMzC1oI77IyoPDRtOGdbRUZL9h66JNVhNvlzXArX
bOhXvZo2y1yMuykHwGUGa5xCkDZt6GwtPNFHMrpUVCrg6Y1jJmvPQY4rzKNN6TWXvoYamAy50AH5
Doi2IFR3I/62aa41PTCXQ1I/lGlQTywMEydYhXiYGuYCwmHCV0uFmY+Llr8wLeESD8QHXWFt55Fh
IjpmwlXuICYnGCruRCy+J0Wa3+My5NiV2UcYhHY6xEmqyh74+GnKnq1liQiHTqzmUZU+1JZ/R7VE
tUnk5j11xonEKwcbj9dDqwDxrzoEFS2Q9bbe+PoKBQAsKVR6IB6cbCVFTrpWm1uvDy9bzkS7Cqh9
+VoZTOBnuNDAeqabaaCNEfAzRIqwAhGGdhqqwRaN6hR8r9FiINe2EyHUbzWEsnEFfdJS7SJws0OH
yxCWBsH9qB4xaQuBqVcnG0khWDU0PHhNWFqGkUCKkFZVlBU0F+R6Fppieo/QYLQqh/xWkVn4mHvf
Cb16XvnVU5tHc8sJbjnsxTNfLxGRMK1V6bvnZPA31hAuFQFLA8NrujGDQZVEbZcOPQ0j6aFSNipg
Azj9U4rAj36XCrDy0AzP02yY96l5JTlxPtNG1HgCYXSWZfAIm6h2VmLR73Ua+rzPRp6HoXnTJUCv
TEdY+667L+BwuCEKbF2QLdI85e+N7CINEUhLLdGdwSJ8zIIOikblf1FFxGuCXL8Qa/1zquoLJ4u6
5eAqXwMRPRIFQbGJLMPaMDsoC7pBOI4paTgR057pF2BnIfk9uNZB+qIj2GWpoT9DJhTHCoFd2+sx
GgkM0jldCPZiIm9DeFx25TsB3PzszG8ihroqFv2AIWutjP4QYrgMXCzfALFx3lVITOQyQnBpUEQz
2NlPngtVIDfdYt5IimincdNMU7FHHWQYd1X9LkaxfeK62E/FuXDjFe0tcil0X3zLTttoU5dQBN3a
rGy3TOkjqt51pRv5jGh+Vbs1rEjRulWT+sKNWstWyoqcJhOwi9VZT0pTzTtXiKZymKwEIqfRhUu0
W7l8yNz4ogNk7TJaHCEIZiJlgiaMf2jpzAmZ/lUXhRuBLtLUiMdWnhV+NcYmHF3ix6YvzixO8klv
aI84RS9w3ULiy5XWTqIkU2tA263Twzs3RrMOKqhsm2QlgRDPXedBNFErsGJ1YmL0OpHqYJ1ppNgw
24Kd7KcrJ8dczzTDLy5GXxNqLzcScgW0zIQrI0a9TY7TlWq1dx0xFwIzA73NLE1meQUFsoelhy9g
zuPgHoy6SoGoe6qembS/TLNPMTHL8a9p26+0HlDOaWkVuqEyF5v6PmtYul4hXUZuMiaLylbRfQR3
tKCYwLC61n3eEeQ0hfCyY58uki2Cg8m80NW1ZFaPQUw/jzrJXd5hVALT9HaIoEv10Y2swgBvIdKm
hojROK1ds00U5PqMdppG9SYri3kigiSnmkLiCvmaWRscLGJjr9HpFnbJYYiL9WBBT3Wp9shyco+T
Jaa8wW3W0MAtifKMkK3Py5mZntUaixQO4jSvjYXYFV91j5DOSDsM1Ij5moAcOQruKf+s4EFMvTDZ
O2b4EFT1uarm69iHe+PConDo2E8gbaGvb1x1njTrNIrUTp5eIwCyzFRrZVHoysXgAmYMTuJkqr2C
vaQTzfyi2SC8u8Lv2Y40sZHXZSD1du4acngZJYN+36e+DnRV0Bp+oFVZM+1NnYZoJryg2v8/Bx0R
2L/JQWvmTpyAfHorIT7+3WsSisAEJmESLT98ukx5lPv+q/qMwATEZN2gAK3jcUh++r36rJJ/cnjK
z2ptI2Pze/UZ3D0i4RY64JyQuK78F9Vn/Q1QBcwLFWegKtQcLVUFZz/mqT9Un6VGK2IBwMn5oHlr
2poTtUmpm4TIRCIOOW80AvHAibZqFhHIKOpSrKWFn1XnHpVMbIWmVitfJpLAdi2t2zLbh7X6BaQ6
nqbVthskqpnqcvDg94VC2tue4X5BDPsSflA40+N4byFpZ6MyCacxqjN7kMiG4j5CmzKEa2nGVXKX
Kt5ZXafmJlHiC9MLkaDh5JoMhmAXVvigC9pccSRErdJzLF2Jg63gHl6YDkwGDRyCv6lco/IM+co/
r/X0SU9TAglUu+zBM4i6m1Baab25qSo4ik58Q3R96NVhW6rWA6D7GyS0UvAh7iLVa1xOBvA3jX4O
aWodVZE7sTztVoF1ju/in62nz8umaJBJI6hoLfNCtQqKYuk52sS7oMVyCR4YixBYCd62NOcL4c5C
5nOSYjolasEGEy10GrP+DKWyaoUycs5+O5BF61Y8FwLrz86IL7Sm3qi1me6y/FJMlXnMMYt40Tk0
4nmtdCjYNRz3SIYrhbRXJI/dSLhvVOdOV8W5XpPeWE1LIzSKH/y+vqUlRwtxqKFZdMGubxi6PKwv
xc4hLg31+HOurgCmYENSmfT/0INrdq5ozp0WuTmK7q3d18211wcz/j+u73oZTas8+VxzGw7tVDv0
OaQx+15ovsjYmPBTxf4sb3gPQSAQcYhmNE17E/Blr1z5JjSE1nlSc6irvq7fqKl+JaB4aOOAvrFi
HGigDnq2l5H4I2Z1JWjOSgsqFZl2Yu8uD27woXk0RX+aOPElGKqnICk+u5YIVkLWCAx5qGXmSC0O
Nw5IvrRzbbpAc0UdATuGY0epD+rbr6cDDjbaEC5EFeisrEQzZAx6mEf1gcZKNlX1vLFFI7tP03hm
SVm0wX/Ds/OIhADIB8rWnYTodQlAS6DEDHGSIxJryWwLvOk2H0IyiZqIW+QITH0BFGRnmginIzYY
FemZiE44UmbhvDbLe183NsjtXyUN+gCGb8W2IA3DIk6I8BOnoPjec+YBK/ozS/Jrs+HFa6077SnZ
i7Xz5DSCNFUa7crKzKu6dZatAjhLcpyVEQrQBZn0E7Bz8w63PrJBSj+yG5bQQFFFD3JUDYSh37vK
UNpkk4TgjOikEop11UDpDNFv7OlwSGP519LFhT/I8awPr2gTSZ5DKu8Oe7RK91Wj37hdcxNGeLZ3
5gVaK+hvuQOZgkx8h73PZ9j/hLKod3hDNff6RkceI4eTL9EyrrWGrETo97zXfq2W2izNaMxi16pM
ZUE9yF25jURh24kV0sNmn8zAE+wpiS/7rNJsJCR7Xhd8yb41DARfCMKR07iODUjYeVlJC4cG+9jW
5X6aKJm2NTOQn3+Vo46jVxvFZxBvIOMQrqjKHMqYKaHqsU/kYdxmRb4rI7wDUI04ZBldaqGdlwG5
kiBH6ixpDXmuSwgGikOxcSTa4AkaMbihmmd5wkOjs9egiph8UeMIpSuBPdj1TYs6HQFb1LtLR9W7
ZSr1+1zHRMBiayS+nudKLVCRVrdD5Z2XkRKTJNGg733lug3iFgAeSLJSXAD7uMnQTVFS6VpycwT0
BmCBYmrsXXABme7Rv1P9aeuL+kQT61tBHyTbQZxqFqF0QaGLSR2WzpdGH74UFXWEUnWXbiTg/SfV
M6Q3kTyp6uvMlOJpEfJ+oUlPTepvdgtmaeLGlISKiK0is1PPOmejW7i5F6NUUt5g/fw5lKu7IjcV
2K31nWrh8SfJrUQFQPbOBrgSeNp7mt17EMhTNwdzKymrogyuE11ZDBktISeUvrQhdQwLa0EtsgLb
tMIRZQe+upA/N/plW64H576lGugpl1SVJpTxPhM23/pKzKtJqoWepDs5o/qZRVK5FAP9ILHRz6TO
uiBRZWlTfl0KGpGgoQ8+6veoS/oQdVOr3ZRZRJ9IXhpdxPbr97Ohl64TTT/zEDaaoGp/Z1TUPMS8
WufVbmwcVhpeDa7hXuDoQAsvtfyFnBco7xf+ndQPiygqgg2lIzTZhGJr9YYwb/o6nCtVF0wGSqTI
X5NXa85o0uSusYXHt0Y3wcxIqUtBpa8VeYls3wFzIG/bJtVExUg91oy7II3bRVH59OCqfOh3EtUG
pH54z7gr6kvXxFLRd0ZEaLl2qsE6lwCenosD4n0OjdJVQ1cwKjzThNzfoynadTL7sZnPODwCbNPh
i2rSllb2it1orTtMHVOlWgrtHdVAVfmMIDo7RAPTWS2FJWH1TlVLd5l44kHpxYPTuw8cOaN0Qbfs
RZJh0yDLEnl07hF4SDoNuwg/c9TENddbyLTLcTJEXhFz93uEoJoFMKZg1oJzybHxIGsd5noj4Jxu
6Gfu2C99qMS1pDpXoWMsBQGiil8Y50rWYc1Zx5IdRuItw88pLkWHrAvWDULI84y+cVHqi8DEzVFT
jGSedCJeoIWYTaG40XvL2/uk6qjjRdea2k/1SLuNLTTY84Bq0BCuWlWfo2RyQdscUae0m0tVdmOk
6iOb60UFfMRGExxaup5fAbWds8FJi1YFSGJJ5S7xaKUZg7RMdHBLVhCfowTYo0bk1TPfCvtZ0VXM
BxrzU08fPFRfy1ncYcme6Qj1+Km8H0qqjVHb4s0esDmb+o4g974osg16EAb5szCTkBOAPo4qe0Ch
Sr4q8uaMlbsECiECI/ZGqViMQHyakBJHbShtfKc6c6L0DpG9+9YJOSMS466Uu23akdq2vkV5HBc7
+sfu57jHul5CeXrw14VabCk0zREboJbjm6jKZ5zRgn5bZ8126LwJzkwPkaqt85B6a6n0m6Yz62Vf
9CSOnb6NJTOx9ZiNUPAWouZT9dPUZZjKm1YczupCUTAEoTWpYzUStHF8oTgU76naQTduC3naeEAV
GtR84enLlOfjBAkYlLYQZyqWJfqxuMsGD0ZLDGN29YWRwe+3iiZdQA8qN3GOTE6utGcRHhRsSg6g
LkdYWM94BvkZ20BvE5yDXglrfYQ+6F66sp7RENEzMmJ4Rkk8ZyH/B9Kxb7d41JrpL/j8+NtnR8Wb
9Bf/pv/oH72mO8cv9C0Z+8+8nkRoHj8leM839uw29dvrRHsKevUTfAXFHD0rsZTQYBWMH5K4KE3c
b78WJPI/AJfwDUaKC9/1wxj9u1H4/QP+aoP163V+e/Nvs1Xp5EFAXnwUKlJVGTDpT08vq5/giCu4
WpGvjp+PMAY/JuzAUF/u6YXi9tec+ps5wGN+nwKwSjQV9wXJEp8/pNA/DQJTgAIAQg10Kj/MIIxc
mmdvtdXTP/8hPcPtRKoMJ68GEcSxBbr55UnfrgZZHrFzJlU8fvMBV8O4iE8eBOMTMD5mPOY2zx9I
hj/NBwZBpuRjjJjCDzgGlISYwSdPhBEiSYufXe/nh2evIJfGkvdltbx81cfbFcdC3cljQOVPplYH
bGT88LrfDgUsNQuR2BfSwQcchJcZ+t/tjeNjft8crU+axBPiC/FvdgSIfOyekiR/2JnwcnCfNggo
IVI2gOBxfCbI2GeZSAqqL1vwB5wJL1P0hEEAW2Vo+G/J4wExfn7ZFtVPMqAatsUPuy9yyyfvCQZQ
NBQLX8ZgPG3e7gkcnQDBnw2mX3fiDzgfXs7vE+aDon9CC4CGBCHyy+fNUIyRswlN1xx1DT7mOXl6
rMD2OJq6oi355unHSAnnOUPRPupqkE4/HCBdi6iri8a3w+HtapBMBsHSgW5+zHBRAwBy8pYgY8Ak
m5qqEIWPHwKPn7YESfuksUw0OO3Pv/+o56R0esSkfUK6ZYwVXp50jEN/HgrU+jk+MJh82Yk/3r4o
nR4s6J94PPIDldT0+fPrIMBlsgiYPuwgnJ5I8qJZEAZd8ec5/2vsLGMQqkko8n7U2HnUnjktWCBi
Ui3R4lXT6B8/v5wR4ifEy4isvy29D7gcTg8bsa6juIab3MtE+GV7lEFR8OuRx/dBw4Rv6/SUWEn9
hK6DrJive8LbugoHJTYepNwjUZzPhz0j3iNsJKkmKjK+5VJvzwjmA3gW1aTY9kHnw6hDeNrOoBjw
VlEDGAFFr+/77UGJDqhhwu9/2To+6FB8e0enLA0DXs4oXY/D9PPn7dIgkB7dbaD1fNQY8lvl45RB
AGQ2htAQl47PB1khtwZwjpPAB50J35L+UwbB+KSIqEGBUvk3M4GjBB4BeySQNz4fdZOUT48hOQ7o
OP01Er/UWsitYe6YWF79F5vkfxBe/NXAsz3cmJ77ezhBPjdTXvpWf/sPXptfv17gh37Fc9fmp385
9vterv3S1Rj/+1/7J6Srpn5ZFf5jJT+33n747Wsr7vmbvv39t0f89ct/+rLX53r94dI/FPviESvs
547Ktxt9ETT7nwhds6f9227LS6Ph+9388x8/3+wPJ8Tvrw6x7/D24uPJ+Pqz443Qv46f31483j+l
xeuFfugTsXBOvvMJ3O9jN05R4eRr2/to3/BKytdr/XDvROWnXx/gb/nLK2XUWbjvcPGkKvZ/2GlZ
HfsKUquTv2J6iP7YpcXR8SdgP/n6s+iPaVoweV6v9cP4c/6cfP15cSiPyTCN0hknX3wRHZLk9To/
3Dgb5cnXXtbxQxo9Va+X+n75sQl/8uVXcXYo/H30eqkfLv8eS3YFD+zIpd9jxZ4diiNjPqa1Jw/K
mZ+4RzaCsVBz8rU3+/DIHjbWq9/h0mV5ODYm77FAN2n5x/8k7iE6HBuZ91ii2/0TG/DrOPwwEd9j
iW730P+PXPs9luh4bfCdR259TNtOfq3bQ/KUPvrHdq8xDXiH6xePh6fXC30f9zG8Pv3iKff+ep0f
rv0ey3SbHh2T91ilXLo6FIf+yJ2/x0rd7bNjs+U91unu0Ox/jR1RCXyPJXqO+ZF7ZPsa7axOnioX
0f7xcCR2HD0+3uHidXwsuBtVpk+++JVP6Fj6T0dGZrTzOfn61/vHgpQgqY6cpcp7rFIklP+YHJBH
OfYF77FUX76gSPbF09GNTHmPRTt+ydQ/uMce4j1W7Xj9OSvg0S8fj33Heyzf8TvW6T6vj51Wynus
4fEbNrVf/nH+4JfZsed4j8U8fst2Xx2OXf891jPX/1u/7ufM+oRk9uU77Oi4I/j7LOzxKX4jXX7y
I3j7ozmh+i6LmhrGsYANA/N32PP8MkSqp3691PfYYQQ8nb6l/k6W9+RRJzCJjxzwo+vI6Xf+dxqW
J9/9WGY5cg6r77Fubw7e/tjQjO4JJw/N7yW+Th2Xm5qd4MgRP6JtTr/13zPDT733z9xgfWytjiJi
J9/8lzQ6ss+PvPHTL10/HFlI2t8ftcfKsn9RKX4t1r5SJI792c+16PFfPEaHffGv/wUAAP//</cx:binary>
              </cx:geoCache>
            </cx:geography>
          </cx:layoutPr>
          <cx:valueColors>
            <cx:minColor>
              <a:schemeClr val="accent5">
                <a:lumMod val="20000"/>
                <a:lumOff val="80000"/>
              </a:schemeClr>
            </cx:minColor>
            <cx:maxColor>
              <a:schemeClr val="accent5">
                <a:lumMod val="75000"/>
              </a:schemeClr>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solidFill>
              <a:schemeClr val="accent4">
                <a:lumMod val="20000"/>
                <a:lumOff val="80000"/>
              </a:schemeClr>
            </a:solidFill>
          </cx:spPr>
        </cx:plotSurface>
        <cx:series layoutId="regionMap" uniqueId="{9F015628-714D-444D-A2F3-80DF9AD5B99E}">
          <cx:tx>
            <cx:txData>
              <cx:f>_xlchart.v5.6</cx:f>
              <cx:v>Qty</cx:v>
            </cx:txData>
          </cx:tx>
          <cx:spPr>
            <a:ln>
              <a:solidFill>
                <a:schemeClr val="accent1">
                  <a:shade val="15000"/>
                </a:schemeClr>
              </a:solidFill>
            </a:ln>
          </cx:spPr>
          <cx:dataId val="0"/>
          <cx:layoutPr>
            <cx:geography cultureLanguage="en-US" cultureRegion="IN" attribution="Powered by Bing">
              <cx:geoCache provider="{E9337A44-BEBE-4D9F-B70C-5C5E7DAFC167}">
                <cx:binary>5HzZcty4su2vOPx8qCaIecfuHbFBskql2Zos+4UhS2XOBEGC49ffLMt2q0qyW76n/aJTdtghsUCA
WABy5cpM/vtu/Nddsb5t3oxlUbX/uhv/fJtYW//rjz/au2Rd3rZ7ZXrX6FZ/tnt3uvxDf/6c3q3/
uG9uh7SK//BcRP64S24bux7f/uffcLd4rY/03a1NdfWuWzfT+brtCtv+5Nqzl97c3pdpFaStbdI7
i/58698W6WfdVOnt2+1r3p9vj9fVvb5LK/3G111lp7dv1pVN7XQ51es/327dyXv75o/dDp8M7k0B
47fdPTTGcg8RKSXnyP3yQW/fFLqKv152kIf3PJczjCX/1u3JbQktf2lQX4Z0e3/frNsWHu/L/8/d
YutZYFL++5LJuNtMygaJGED58+1Vldr1/ZsLe2vX7ds3aau/zFoz+XrzxFcXX6boj20s//PvnV/A
pO385hHcuzP8d5e2Ef0btGEl3Pbr5rb9DWiLPSSZhzzOH9CG5bKNtrvHhCs9TNg22r80qOfRfnqL
F6D9tNErQ/u/Beym+9vfgDXfEy4RnmAY9vdmi+9i7e153COcwSJ4OE8eNvYvjOh5oHdv8AKYd5u8
MpBVZ+36N0As9ygc0MSlmyMcPmIXYrRHKWEIeXCsP8b4xQN6HuHt5i/Ad7vBK0P3v+XtvW5+A7xi
D8P2dD1BdnF19zj3PIld+c1oP0b35QN6Ht6d9i/Ad6fFawO4qNPqd+xfscckpgz9aP8iCThzTimH
FbCF8ItH9AOEt9u/BOHtFq8MYV8XXfs7jLAE9gx0CiD+AeHy9lxXYCYJ3Ub45SN6HuGd9i9AeKfF
q0MYfIQNwq39HTiLPRcJKTHmP7DE3h7CRFCOwEY/3sm+/rVx/QjtZ+7yIsyfaffKkA/WxZsTDR78
P2+hCdrjlIAp3mC/+Tzh2AT2P8HAsXdI9i8N6nnMn97iBYA/bfTK0D5eN3fg/fv/uFDC97DLJBPs
K9RPuLa7RwSSHHHyHCd7+bieR3un/Qug3mnxynAOizeBboB4/waoxR73JKPeV8dZymfot5QIjnP2
HNS/NLTn0X56ixcA/rTRK8P8+LZJa/1beBqHzUs8ToX3wNN2ZVBg4pIRLjzuPpz021b8V0b2POJP
7vACwJ+0eYV4V79hf/M9yQnl1P26wZ8c5d4exUgwvhFUHpO1zYS/aEA/xviv5i8E+K8GrwzdBQQD
fktIg+1xjBilCD1s1d3je+NVCwp/0I7P9fIRPY/vTvsXALzT4pUhvCzW1V/L92Ej/TMxK+q5FEkP
ghTb4QvwsqRAHNMduv3ikTwP7HbzF+C63eCVwXqsf8u2FXseCF3f+fUTXwq2recJIcEC75zKLxzP
89huPc0LoN36/itDdr8rP+ni3v7zNpeAYi0YIuTpniV7iCHsQqTqOWb1K0N6HuAnd3gByE/avDKg
V9X0OxwnBiFHD85m/jUe9cTybuLPkjEhdojVS8fzPMJbrV+A7tb3XxuyZb1u0tvin9/C2Nvj0hOU
4K+pInjH+iK6R4F2UQQxq81nJ+a4+oWR/QDn3Tu8BOvdNq8M78N18zsoFt3D/Etg+QHKDZZbTAuM
8UbwRtjbSQt66XieR3ir9QvQ3fr+a0MWEtB+Rw4Q2wPQIPGD0B+6RwyuQc7ALrQvHdAPsN1q/hJw
txq8MnSPbvPfEJCAdD4INyCgyPhBx3qS4OXtSUQRE3wnweul43ke263WL4B26/uvDtm2Xf+GMxko
NIFMASG/SpTurv31IHkPLhMQrrYdpKPbl47oR+hutX8RvlstXhvCun3z3ypeF+vfcT6TPZd6Hhbf
zudddRKBo0wwZAbBNn+GZh392uB+gPgzN3kJ7M80e2XYH9/eQ27ub2DXDAIMHghXIEt/g3WLccHu
dhmkEBC0K3+8eETPY73zRC+AeafFa0NYQ7L9Pw8w5AoQ6UogVuyBdz0RL909SjxIBUNwsG9FHV46
oB/gu9X8JfBuNXhl6Lrf5vaHQvQ/mPb/87nbgmJTFPDfn4ztV+s6OKiphDGJHjJEn3PgGOIeR3Ce
fPl86/shCRzy7r+Xo/xQuH+oiHlS1vG47dYzPjzizyfl95Rr/BjT78Uxwa29Db+U1Tyq5vj51S/7
DQqCdpp+3bzPL7CHyVzd//kWVBRMXQKe9feKnc2Ntrb+xW21SVcrbpvbb/hsN13ftvbPt1CmgyDR
CCIfIMBIxCUDGzGsv16CPH8XGIPAlBDpbcxHBelQCRT/fIl6M+xSAWwCwp3AG1vdfbkEUh5ks0Ea
hOdC9iL2xPfypzNdTLGuvk/N15/fVF15ptPKtn++JQi2Wf3wvc14KfTgCi5dQTAIRA82rL67Pd94
eDAT/8NRjIqiofrUE02hPDt6PhqmKRzHqlTeGKPVEOWLAk+rqqy8Wskq+VBKflD26UJIu9SFPuGd
WWXUOZ2dKHRJOflFxvVRkXJ9mqXN9eSSGyFrNxDtNCnh2LCf8kvWRKeZa2dV53GuKp3xd2OM51g1
c1a7YSGYqwNBBzdEo3syJ2kfyJn0yyRKCj+nolKVaxM/RTKcs6ZWKJ4CJOJwjnSqpEv1fseGMnAi
cjJONVbTNGc+ky0NktGOQd+7Vz2yAc+mcPBsG1hJcp+5aaNoQ+8YPKdfl3BfI6Ny0fWFVu44pCqq
sjuZShFOka5UVya5KqZkNVckWhV1xny3HENdOe7S1bg4pNQZjqI0kSrqy8onTXaVmjJXTmGR38TZ
qXasT7MpVcNMFpZ1l01qmF/k5orx+LQ2aFAYD0dkTM0Cm6hTUV11QeUUtT8Q1/iygTnNTXdc11nt
55MuFnPvLOuGHtDKuy6z/lxmEYx7yKiaB7TPscnUlKf3PcLHcTWfzF7Z+x0nWHVZc1NYx4863ak8
rY+6RGSqdj3px3nnO/NofZ1HuWp1hlVtMxwUHltllr3LoylReGiHwJvj0JBSLAZH3xnPS5Xntice
HkJinKV2y6OyTE9R0R1iPDd+SdpD08Oaibr2zKTMKpHD1Lj91IVEatVWsd9m3dIYfMxpki+s1I5v
+kzv56gK8tpZNplzlo+6PZ5zYwG9tPE7wc495h3LutBhM/WjT0rCfS+vaoX1nKqC2DbMcperYojC
Nm4vRzkmiz6rjmMSfZxMPy0KRyzjFrOAWveaGPMxw4YHqMiCyVgWiDR+Fw/oCI1lMMfjiWnlfcOG
Oij7FuawZavYpEjNjB7Zrj1NdWucd1rzYl5PY5Hv87IMZF5f51Fs/H7uD9t0JsdVl9cHmZUfdO6e
W9rci3ryG1Opeo4XccWCuh0OpHUWjesd6iI5SbU+GLP2pNLFWV/leWDapFsWUTesWEQ/z8zpMpUN
mCzTLuK9IlU/X3hsPo5N0y5RkQ6LOKWjGjCDfsmyLprlwOc2nHiyP8z4rKEfWgfFquzkVSWRKrL4
sPGaVJWWroYEq7iez7rZ24/6dFAT7d7BYaeawQaeR2vlpDGsPhOd4dYeCYq1yoU91F16Dn6UH03x
xVyPjWJNh1UyppnyGgsbpeTVUsYIL5qpSBc4Z8siTuN9UzhwLHmJCPVUUOV0sHKqGmWqQh5R5Vye
idG54aSCkk73vhRe7hNdXM9VfERRjtVoahJQnPTKbSKueFZ/Ep0THck8OU5HAceE656VuoTNwA06
HXCxxjMfQ3ce1l3rzKpk4zkepnqFq/4j0uXCEPdmSvmxKMxCtmUSlCPsF0Fashy7+H01yi7Ih2pR
i2nZRzpw6+ZMpsWhy7LF3Na9T010knGbBinL93U1yQPu0CvRRQH03PtYkksEjukyoboNZoPqsB6z
MTSOdzzCNjjjWp7Tqd0fC5L6VdGXihee8uoMqVRjT1FuA3jWVNm8Jb5MzW1i6ty3kx0VK4oQCf05
lndpzc9bi89zmBOwA8j34qpQthBnpfUWbuIAin1OVB3xRvXzkPpDny0TY7hKs0KqyTr3KdxOiNwE
lMYHBY1PkszLFevS/pA4qAoB0GmfeuP5WBUBKuskiHWKgk5U+3I0ArZtE69GPfqRE+QCHyZSML8r
+Ee3ndMVHMcqHglVMRkXTmIuvDRasnlq/DhhXTimaFYybu9yL0l9p8XLhvJZ9cYcxy1tYNXUFx0d
j4jbZr6DzbKr4KzP65NB18WqRsNpbMdzd9KhE+FpQRk/1EbuO8gZLpN56hZD561z2Y2q5fxdmfAs
nIsZ+4+rWrdM9J2upyaNk69Fyt9//M+lLuHvlzLXv365qXH+66flWm/4YLv7pQ2f+v6tv0plN/zl
e93sDit6KJT+AWX66cVf4lMY5JKf8qk3R13avjn9lLa1fsqpNs2/cSqIcRDuUQhzALWSgkANzndO
haA0S7ggskoXWNJGivvGqShEyaCNgAvAeaiEVt84FQFOxaGZi1xYUb/KqZ4wKokgh0kSkAMRopsK
v8eMqgEtAYwGGO+4iFXrHaYkUY+m5jnWxjb3+Iu1CYjiCizgRlATjLiAh9ruo0TaBdM2jSdxzldV
0snF6HlZs+DleDzikQ0Br6Z2OU99FjKnbjKFrKAXnq1TIFVWsmPecNmuqjgyx13jCOOXHWbmmDHH
HUPSdlMMJxXic9gCA9P14Nb7eVKWYeMQdzmOZl42OvbCAVIIlk1CTNjqIVtiVruq6tlZxqt4Weel
G3Q6bpapExdeGDc6c5ZVOcz6omrm5HOZ2X6BURoBNROt64SymIiX+bKAn0JUkxKFCSldfGGrOs/8
2ozmnR1hFKmZF7ODwAKMyQ2u0WEyJo1yC8eoXOYr3Jtlz9nR0DGkuHVOuqS/pjm+NLK9aPL5KK76
a0bLSglmwCKl5Mg0JIyJOUqSbIXiOF+hpkuDeGSHAyqUcEuh+lgv3XR0lQuEatbTQUPdD3WWAeEt
OFOuNqdNyrJ94I5H3eh+Slg+HSY15j6JyKxEgdZJoYtgkjKcNMuUlakHpxkuF3Yc6bLC0Xxopvqw
j5zlWOb7FoznsixoE6R49uO5Ds2QHpcDxWGEiVFxUi/nuVlFTXqeUFMss4pWQezkq2bWkYpbtKra
sQmbpLwAz+MwweOgnMlld1Oft/7UxIPvemwx1rBUR5SGhNhYOaICDhOtxtocD6RKFcoSmFYrfCpE
n6k4oxeUTFrhkXT7bVVRVUXSC8qIWN+d7LFhvePHsln1+TiBh+CuCevuUUnFsilYeYhl6RQqyWn6
rq5EGaCRpNRHeakQR86BzDO0bIV7lztArJlzYhG/somzLJKIKTE1YZSDrcDoaC7Fu76qFjLzgqwB
Hoccv2RDvj8U3lIM1gsMhomnFd9v3f49mq1WNY0DqBX6OLP+WLsWq7QZD2jhns1w0x5Vx6VI1EzQ
squdW69Fa8cZV5rMRzhy9iW/HqOPWswHvJzFgmZx2HB6ZWakkn781Hc5FNwCvSFlfkS96SyOMuRj
L2cqyuWHIvY+YHARgwZooyTAbAdyapL9qSSJn8xAgOhsFjxxLsXYXpG8D8c4HwOaxGekrz3lpsD1
wfE6tDpfUe4Wau7Rde0kl0KUV06t1VwNCx7Xnz0+HhjpHIyjO6s2Ywcmk8uCFZ0SvA2wRt2KdMSe
kyE7gOc7pJn7EXcOOAa4AO9JN8nCw3V2UpIx3x+d0vugB8FvWqGBXI/TFF2VNsrPx4i3ahwLFJIm
aoDq2SQwDnDQrLCxn9ipU8Zz3GCAbXHU1zQ96cjsTKpo+qj1uxqYQRAjyjV4WbYPhYnEp5mJOEgo
u3Zaj4V9y06ipI7CqKh7ZYlsYTHjXIF7UBxOwon92KPn1nUbhc1ggrivhUIoO+z1dFHW+QDUV9eq
r9t4kUtyw9hFBsgHpnPmgI9tdSBwwY6jOoHJnutU5Ux/InGWKWamBLacBIzopRvX4PVkU76Mp/go
K4FpTHn0Lrf6UzdKP4uyQGSeUZHjXkQMUMb1x7bLw1ln+31mP/NmOC3onC3iCBxGPBQfvKxbJIx/
1JOjOtF6iiBTbry0Wtm2Eirj01Eb0WCaUj8reJgZ775kdlzWhgZZ1X/ocbSkxNZqTruPrSWLugGY
82HhRfw9qtpr2lXvKTBUJcfsYiymo0oO+9YAk3eG7H2cTKt0gC06jsd9VC7jMqrg/GTn1s6ntGUf
xoSe6IwAk+3fD+CooUEfpHzuFz2RcFi4jQ9ohBXLP84mbZXM2JJklKqxMEA1RbqK2zEJE1xpP6Ps
As2AWlugXMUVvzR9emAxs36buh/AEhyaSINTnFZnaTrbfZ3F7+kEzBK7zT4tcQjHTeB04zGu4OmB
eh2Jju83eXyALP0g6z6IZu3XIj/FVOznJVFtG5Wq9PJbRzgBHdL9rpgHZbro1rX5Acx1kM5jpaQn
D0g3vWtrF4ZJ2oPMdfYbyj5Gbr3qp0IR219EhAdC0HnRjuCQlmly5pLxc+QOVE1z9dEl4Ax7c3os
abE0kbksKzsHeaX3+7g3+0KW0xFCOMg876hr0o8s0odug8HR8bRdVKWLlCZkOHM9lCggwDjMRXNT
uUm8cFxx6spBq6Ey5rBFPPZtMpbATdldCp5QYNzYuRlqButlRkU4uXWkMEmL+9GmPPBwmbBgmLzj
IWmjzz8nIZCSvUNBJMGQ6QssBENqLwOm9ZjmoJyisqwi5yTLrlh+nctPhC7/d10AY3vcxQSrmOUd
dOGaSTF+2tWnY3b28z5A3H/mMZhLgRtiRvHOY3heN5WDTONTdwArz09nezSOl44T/Lwb0PKedAMF
iR6BkmN4tYcLgt7jR4l1NmGe9/FpV86hyRIghrAPzVVHzoYeKdY24DkffOnzq2R69ljte0z5H3sA
r9OV2IiYP3YlvqWIPvUhNu2++RDw+iTiMpBQoQZUUowgH+O7D0E28XxEQQTGBDRbwOqrD7EJFTEo
UIDCcNcF3u3BpvjqQ0ASANB9gHZzV1BVqfwVXXZ7c4H4DOQesm7F5hVQkFu9kYYfLxfbTYPhmg5n
nXsQZ342nev2bzYX2UQaHq9J6kKuPneJZJx6DGoudpY+cuAQyvK2PsODzNxWEdrmuUqwV+GzxG0M
WEnNxvzdrFMmTpIk4TdNzL38nXDp5CcgdHoHHqv9dtQrk4xHaVSEDKfhnKJJdeAZT1NxFlEnKLSz
mlpwpY2+sG4dqylB4Wz4+Zi2+9EEdi8pxwW8PQoFlJgDpx5OHZF/KiY4vqMo6Op6lRXZDTgzyJ/T
BPz0NhReseJJaxQam89Nx0G3SoegMIQvU0NArCyBtVs67JsexI6OZ1dc7BvcAhurbmLmrlxZZQqj
+sCM1bpoZaKiEdSNqVxHYAyUKGurtDsKZdpmURfdUWT5EIiqwaBtgapRc/fThj9gAucwItVlj+KD
yPOumjEBIT217/Nyav1kGu5aRg4m0lQLk9XHVTIOgTQcBzSNqB/p5gJqmxrFibZhPOHjMq7Atrb4
XTHI2J/77sbJ8GIeQIWCIHWphGc/Z9wUvkg9rbjRZ5Umh3wA/6UmYHtBO872mTvGoNDi2B+zrgrT
2gOFvBe5IvX8HpV6hQFOpTvnnA5OBZayuBxKCfK+yD844Aopb6hXEtnspLAD8hMnP2idtFYuMkSB
zH4U2zuc6YXsmJ+Wg+eT0bTgt1Xvo7knfmTAh9AxOmhE1wS258uZ07s6BfdjmJpDUJvvxEYrE1n6
WZSgcsVEzIGx8jI27DNJwS0x6To1dPBRm+0nXpOAlyB8HZdnvdd+Qlnm+g2xjsJ5tSrSvAxIbxep
YAk4Blnvk9aC4Oy40qdVd9ZJ56qPu9YH2X2V4KQJEUku4tGaQPO486sIhwVpmrCPOXA2wE+K7MLD
vZ/3IBWOsn+fuzNT6cQ+Z5n8CFKiVsng4QUe80g5QOqOq7IAISpLax/Olat4MhcVofVBkmMQAjgP
Ep0MsFjHj31WwOoZTBeKAeaD8/lDzqJL1ruZAv15TdDAFn3jXuVxcdWmladGR6RBH9vjkjufrSM+
OGIiiuWJD/VWrQnGSMs55DPTXmjxlK9qD1Z/OJDGRPs1zIacJTKXNB5mFbGNhieL/CqHKrwVncGi
MjxcGuPtO3O9LttqleZ1oQpd3yNrQFHnaRyCV5Mu8sEeAoPJ3oObGBQsKvyWXVcyHJdTMmVHJRDt
1HHOmy6TpRoyIIJBVDY66Adx6PBRB42std8WwBJnWL8xrpejxsekpaXPG2fp8NavYW8qnNQnreY3
iaDr1B2NAltoFJnRooS4R59Mh1iQW2fsDgebHpS0+xB3JNucOedNhcKsRuca4dWAnPNp4gFz4mvw
wT60ggYauYdyAIeKi7OpTI7n1i7mLvcjOd13/cYt5VmQtzYPy8jxc+Mp3jZWZYIumro/4RziCSYv
FJ7nIEnpoLQca7jsAPd3TifbXJepzMPIayEKCF6UGd877Zp2sBJ7xheYZLz0o2oogJdH8KpDP+sm
xwkh3sGvedyPS2Maz89iiMNRUdv6JMf4ptTEuRhnE/K+il0Ir8G5pXJNanAH6YyXdtKNLwrQeAUu
r3PTLho73AxDcQ0xhw9u2eB3bkfnMzB4ZtEU5tZ4aJU0+H6MxKmZpxNZyDioSpGCIDqjIDW98J0M
hHdQ1OUlRHOm47hMLtI4/pR5jeMPObhfzTzxsC4thudxJ5/Y5EPlAYpDcpmmOgskdg66vr3pkJ4v
hAMqR+S0LcT7TKv6FGyPL3M4AzqnYEHb1fOpY4VzyTI8gdcjh41cRCvY5e37SLZdQCwv92E3i8AU
NiCs7/chgDcsI6/RPi71tByANPt9UUsV2xwk4CKloARItN/m/RnN7XkLfrYBwSrrSa+0E92BQJ5B
hAZd1lTfNGi8iGnDVpJ0N3pDu0k8RyePuMhXTvY44roheo+Uu43R3WQCbiyuJyClaMeygwtee8Iz
3ZkWQ8jQaSYuGYyaup3KyPuf97XNIoCmwOsvoLYHg3dBOESfd/hz2+rRehCTOxPgP+fXZlokzvX/
rovNEB6Fj4fCFMXQFcNZDRtzcjjIIB9JffH/0QnU9bscuBWCqNF2J22S52NWDcMZbi6NPhqdE6df
/byLp7BslOG/uti4CY+ew3ZaxIiMwxkRF6VZzKUNgYVU/Dab/qanjTS7vQC2e9qM5FFPRdJT8OPh
Ycw0K1QxP/EOuvJ46MO+PJjL+W+04h3/5ssakFD7QzDo4RIEuu3ubJyNc2PRcFaYGwQRH84u4+Rw
Km++zN//MV/jsctAIQv/0Rp6kgHyOJnmr9yRh1bfnAwEJXRgiagLr5mB7ArwCbacDBcyChlxBSQD
bbJNvjkZ8OYpEPVB2t9kAG228HcnAyp9wEOFnBAIYAjMoczjV5wMtO0AQO6HZJCfAm9O4bA4iLd5
09XjpWhnrGvTdeNJNWAZ9gMIbQoORJ77OR/6d8yh00E2QlA5dN3cfrCa9Fc5acEet7Iyf3NYbYoY
Hm2ML6Mh8EoueK0a2fg/X2IejzYGqaY6l0nXn3imQhDYmKsIgrAaGN3YWy1VP5DuA+9rCEQ2pbDG
NxkoQCqaWw4qleTVvbTWPYV7JF3gFQW6mqkj0HJiNFqjyUHj4hHezxzl3ub8/GsrP4yYcXjvjCfB
kYI3VGzPH0l5AthO9gSPNI4DNs7FFahjAi8snzQFkXJEWZDySKiZM8jxmIBzLcu+mVDQ9NreJ2Pb
Ij91ahq08GJjEDjLxO0Vb2geh6AZJGd5Jw9KcE7aAHKO5XWbmMO8GOgYpq3DjtMm6cvlz5/qKQwc
zgooKIN3I4Gq8+WhH8HAJycenLqAhAIbyWsdgxesCIRUawWJJ+PZMDbyoo5Q8XCAgBgBeVjPTOa2
raIuBPvhFVwcFCVYi/DPZliPuqXgrxAQaauTSszoBOVJd1K1jZ+KKPkbk7U58R6jtukJTkSohQTb
KMGL3+6prsg0mybRJ6J2ya0ZdFMsIysmT+V1EroGlEIfu5MAQRDTofy7RbNZFNvdw0KBWkwCr/IF
27zbPec4TeKqTE+4yeltmXX0Ni82Y6Bz2Yas0RpyEAD6JdjWwVMm13xtC4jVDXIiRyPDjevjIdO5
DzG28go3tYeDREzTunb6OnCdueQ+lZqAcorZ3P2NPdm8imF3/HxzbMCr8UDtgILS7elzWUcrSiPn
GHVReZs2to0VcnJbEYWnqYoPhiTNP8WQ8HUEjDVZMA25S76Hev7Z8hlk2imJISCms36dNpjf97RO
+IPy9cPFROgTkDHBsIg2Gb2goVC+o22wRqRuk1h8nBFTR1JAelcyLyHxC8uF7bvOb0bjvoO8I9qp
jbLhN6hatl5TLwtSe35emPK8LmgJBrMY4vdDBi7z1FoL4SNTX7E2F0FkqsjvdJalKrU4G1SUtdXJ
UDvtqXFmHMYxkply5qgqfa9PgLsyW5x7WXwWTxUeVQEZJicW9GLrlQ4OWA+KIEonD84G0s2zcgeR
HRUJFR8ityMHCUg4R5Bn1ENEwoWgKLw1cEpXjmgm8LUm8J7RAFLLnI13dWvsRec6PFFDafkiag2E
e0CauDQJGvJlxB0E8cskjz5BtVLTq7Qyzseu5GVQ1623ynVVr5CRxX3a1wz2PS7zi1RGI4dkChIf
QKin8yeYhyUinjw1A2S8kaExC4RG1IcFvGsv9vshhqBy7yVRWLa4ARFHniaRE7sBQtrug6nxBr9y
MwjoWV7cjKWbHHrgH15QbP8fe2e2HLmNbe0nYgfn4fJwyFFTSirJqhuGqkoCQBIASYAAyKf/V9pd
brd7iOiLc3HibztcEQ4NlZkEgb3X/tZisl+Kzgt3KuXbe57KuVG+67ad6XNo4phpYS432E9FxjGp
tlCjdhYkNGTndIdWwFrbrMQs+W6WLa0HHfGDwLeWCBJCN5oabrKyU13nVVlrAQHJxG1Q+oe2irQn
+H5Oe4yCl9W/2CiIkRU/Y9TWYSXpXaRtofYuytxN2m/b0F4WO2nOy5UNq5h/gE4Mw+1NWc9lnJbF
jK1cfg9XTLqjGbPBZRn9O91r3rsTUJxtb4pFt0c+M4grXTjIJz/zoiPU4mipFlyDtlwnv3C4XDzP
a9G2OA/10NupSXuLXnAGSNje08lPMxBxa2ZpDbqs0DcpYB6sKNvKQNlqwVm4Sz3atfcGt05Kqikf
cyy4qFd8JwY2F+Uw4fBqG2dYWnktAGbMN1pfxIhubDmvaLHYdmeHbOCNalEV7BJB+FblW4IdU4Q9
VDdOZ7TQRq1EPSjmgReQhOWf3mIy5te+DPWexfmS3yVeS9qTiDKdJV0lnEIXihktdjfajIRmvGmV
wTC0mJVguxVT4/XgK8XHCmPVgVWZS9ZhDwyAeRUua/jqjRyNaxSlkILwn+/dD5jlKHzkQrx2nBf8
GM2FHpqe6vRxW3QU7TpPhiAHMBzJRJnRkOp9O5tRPOEwjk4d2cJ+t4x4BY3UA9maPHCYB+bdOlpM
iVcsbQ+3yly3QbCcZgC2Q03aiCyALwwuJ8sU6hOxddH2MfQY/NYAZgdeR9AdpmPgs/hAWNanwBL7
KaqZZG29LW0PqMHOY/HQYRoYVxGbOmBnY7d5Z78d4l0wtiTByy2ysQlWuskjZYElDcabUJiu31cG
IFQFlg+JpgrQKrA17Zj3dUb4AMaNDPdReBdsggGEzE3sRc/rYMPlLh2LVdaimPQthoc4kojKevxA
wSN8WqBYA/GGMZOgp2nlg9spm2zsHGiin+MuTN4T1/K2zAMs3t0iXBY1Kt0YXvwSdLweognMQQ7c
kgVsehusRWXRkc48qSS130bMdQ8ms6Rt8h5tTSnyFr8nGWQHbXg2wd3mxii+KJ0Ez4H28B029VRe
6WCFNGpC3rHDDAzGHkVGVHjPvKx4Ef50XZxdN6l9NiiqHtwag2TwJ4trQ63AC5MKm+4ZJ1jxAnII
q5tjl5xrqPIQtrUq2vChm5e+fwxzUcRHF3d2udVOX4tPujooC14K5tdy/NVSbhsEw5Drbe/32fXN
X1+6xf6E1zXy4C5OBN7FMiX4qGgv+w0qiMGtAwSjZxcxZ7jl5wVVAcHXsKeGWtD7KYjXWZTRSH1c
bju75ZZ7dFQl85fJ7Rw656hZzRReNw3cTBXeETYQBwUXdbIW/KVFqN4pN4zlZU6THutiJem7FRFe
hpsxYIi089WZoMztznIUffeU47TYK+EHd1NBprcYpMhU0piy8IRuuVjOLZXE1OucTRYF7hrtxxAf
a+Vn0/q9H/rkwS3Kl4fJB23yalNO1AGiGv9ct+K6h7BpoDX6gDxqWLhStRtTXrx6PnhrbkcyQRLH
NrfOlj4yqdW54H2X1Ek4hwTbHqZtpaFh8QL815BmCAVuExDoEDVjIYPpg2NDXk9A83Fv2OuO3XSJ
h0/UgbVtcMjY6QzEJ0wh/Q3a4KSNjI/Se+q+zoUpnr0VZfppK/Qc/MBEflUlD4LMYGgOuKJxPKBb
FVuSkuOIy2Irry/S3SaN0bduzYanzmA4AdriEHNnksNmU1yc3g/UhlFFL+WtSF1842k/lg2dBDdn
stqRVnkCYfwZlYj6gREFthFsncqUPVUWU3Zr8gmnANTlgUwB+wXSWpSbckMFtn6B3u8V+GWqnRua
eRiPe+1ov1Hie6YaMgxTj6zwg4tTXgt+a5kUa9i2YJGyEDD3g+uHLbnj6TgM5TQaP72NAxq7akV1
oxpLR1w1mwt2ZfQzjr1DKeCj4M3m2gzwD+y3fMLq72NHsnptV19V7ajS6dUma/Dc0RlrDSdd8YK1
ztWDKESADTYci26XY1JtS7e8hfli86Dse5N9SUIx2domRMe3cTvk5nFqVTHjcMeKbkYwUdMOjcOK
0VOke3mTzSONHkIHjOHYOmjiJXPOI7f9jJFSzVWLPQPV2KJvh6HF65+LnuwUzXtaW+f7x3WKcd+v
aQohNW5pdvu/opHc/nzuzZ/Zzr8b7P7fA0B9tM//emr7W8j1HwWY32w415/6KafASwOE04eaCZUA
VQqK/t9ntshAuc5lERT5q5kG49yf3Cdg0QASTI79GmYXjG3/Jqfkf7lGgEfoOvFL0wxj1p8Y7F87
1n/npcEzOv7UGiV4eksAD01WwM8DBPT69T/0sM62BEdBG9/325itQNfAkX8zNNLtPbaZiPNbD2Xt
IW+zofIW+rTGJAZwFI+1CBe/DNoUNpBh6pul0HGNqYh/8G0PtMhFsDQY+R6sG6mWhL1vk3I1jyAL
zCo9DxwOgqntHroJ9xZpoV1yFZcmx/2dr5t/YEWq6n4JWpTAvSmtx01DZz3UNMVER0AwDzL2aoL0
wiKxTwc+V9LVMApglqptaXzul30nLxuxLzKVR4WRTckGidJFA8EqsOMAo9vei26+pOnkY0QfpmUx
hA+hr4dbQF9yh0Nd1GE7SNTT02fUkvelW3TFvazR64d1IVinZGqMF5F64OLWhfHrKMhYqtyOh1ih
i5ojC4vLCEwmkh40lbwAlmTcOdpY14Tz9rHk7W6R5hwUdh9kKFBGuVcRkDGU/WEXGFTOGAbPJvrQ
BZo82wIY98HuRDdi3Q5bgmZgIQDZaKYrw9lzvgyiHobxwKHHONk9D4VXay0u4+yfqbdU2EVwFiX8
YnBJF2B8je/YLPbaC/Jdno6nIOHfhIJjCSrQjW+KG1SGcDcMrUhBnoXzBeamsf3azWADGxVJIi7e
ptdxzwOxlsTvYS7YOmBHqem/h0m0A+ZqsV0v3wtFd0jLBUOY48tssR9THKiqA6QERtAd9ErvYtHm
jWfdups0/bReOmNStb6lfvGsN3cJTPAV+sHJl9sbM11RpSCXm4zEP1joTtYn69eBTj3a2xEdeySq
3KBbTPzp0CXzBcfmIZtz7wZ97PPK8LYwJQeTSvL71ilW5XT7jJOkXqjuMVZKi0anq3/Yss+gkzGK
QP1iNCoAPsZhPaAi7UkR7ROPocFEqz4GST1DK6s8Sb+TftqqYVm3XQ5CDjwE2YeeemNWHiRum0rk
woEMpZjKq63RBDafAKeds3Fb5bP3sLbeL7P2T+kYBQCxui9JSwnq+TArVbuWuJtrnF+HIeuzKtXy
JBJlASWMqKbypATH+6movh95/G5Ue5MOW1f2a3cHpec8Xs0kqSzOmOllZRhhaNyhNJkpoyXwZruf
HI49TaOgDIvhXfT524YhIqjeo6/IW9RH49PmpbT0aA5RIEy+ZB59cqFXgvz6ZaIxjA+0OG5uOrck
H8+tVL+krt1DTHvy0hTj7PzeK9SF+unHGG93nM+HXmJtbum61WMAtxiUhUdj5L5HMUYWBsMULZre
FQJIgEu/KqOOFDziY5sbCjFg2HFnz6lWffO/cgD+HzzasNP/66MNPab++CcnG37oDycbnuWWQhr2
ozAMU0xx/nCyQRzF/A7/4qyC3/PnyQbkCJgSeGG411GT/Oot/eloQCQjVC+MD5IkwhPkYHb4D062
CHOFvxf9cLJdY3dhrAizOIZw+fcnmxmdQrNPo3vlYr/anDnaNZ7qoItAw6TTDj6jpZz1+pphM60V
ib/PUX6ji7Wvk2s937k23uuZnrWVMAj4AichkN18G5faKXPnZhxQcYFBrpTLt7UQbxTQAZrMxz7u
9mLVpzAKHyd4HMtuAlVcjKEq5yC8ERztMvGyL6ovZDUUXKPSbr+Au31NICOU6MdclTp+n5DoHmBF
U0zylA3Tscfc/LiZFgdrHwL8pm6PkUMT5uNnPNLHxZLkBHfEHhaebzlby0JtL05xeAVCHpZAuuFr
irmoo7GtfCeXKhvpiw2Wr70D/0J7eggXGERHBbcUp9B+tIGtjY3RXc+n09DDbmnn+XMyNADfIXW1
Dfk9g+G0smS67xIznhzXKI9ZC16dg47t6Yyj1iftnUqlX0OOAZEyxdtnHpr+zsTZ943hwx1bTi8h
iu+SqvmDar+47eRwTAoPxW84rnsqVH6vGFwUWWZx1RYalzMBr93jtkdDLigwlCDdMwOEKJ3Ru8Qu
IxefRMF+GztSToQNJRcRAciMITnjEWn8degOUeSGxmMs3Hf0KqJvkIRTh5bNlxKdXxuA4Vl9KKyK
7WIce7sY/rpmhr9sr2XEGxF1N4GYzpvu7nsRHPVKtprx/BP+kBRENI8bT7GoXpe1a4I2W/f9QobG
7ygorThYG3RvxV53KSk7Ny/7IkTjxMkMVRySw6OwWb5fxoQ2CNLrDr4PtsyYISpVFHmXISiuBkK8
08mlQH1SP93lBO7cbrV5uUoyNh6EDHQmPTslStk9CenzGqqHZfFFQ8HklFKPiPEE48BoCvFsKuLT
WCg4JIPr8Ge7fkQsFF+tSrovAqpNqWghDuuCSRes1rJEWRDcJzmFMjFuKKnwuZfR7C2H3KIloTa2
0JYW9qPnLCv9LmsBLHHv4OtutyRD07aigOQLyZYXIMpQQYMWi7ul9Dqb1/PIhyo1XXrZAnfp3PII
f3TfKBRGrBrC4Q66rz5AGvjUYvumA0N3egyWciiG+ZahzatgLKqHeUqP6WpxCnqZ2eetiB9Db3lh
hdRe7esFRxMNXQDz4TJ+t3hV2eb1EEq6AZUcnfYeW59hqQtQyRC4pU1xEigWG2vXoCzMcsTzgFYc
49uGYo00TAjvBMvRgUXRF6M6EOOEPvOpO2WdeLAAhjwvu1XJ1zYLz4tMzS9rP3zYFBRv7HmlmDGA
y+1ibxZofIei0B0KVQYIvfdvQvxtdKRnY+LPCZJYFWzDrW/BYxv4PLYcEw3WbXmpFf+hMow5oIIe
AfJeMDm+QRUOCZ6a6IrN4GhlAWQfQ5PardIBb8lQAuDbhQrHKlNRsgOIBCfNxO8XjzwNcJH4cnkb
Y2wPuQ+APevnM7PBu+vTtFE9wD2jJNkFS7APWIQxUAw6rYNPINsCXg7K3KIufl3SxK8zL34oXJaX
EqbZY54k+E4NmGzpB1ONWp6Xzj+gexaVidtdd7UpsUKvJZhKH/6potZu/lAAw8rEgNiiYfrWtwtP
YGN3tyLU32UMk9mS/IKmOTkyHpTdvH2D1A9BW7oD3vSwoyFEeNgigIVlcH1il4FNG1ZeW/WFJ0sj
A9Cf6QFYK8ovmHw9Zi/ILbgZQgV8iA3fdF4cMhHdBWTce/G0JxCycU0rmEvw/8k7zRmDW2D5VCwD
y2ARIiDXo76W3Mu1nYr7C8RHD2fBUiGt4Ez1cOGo1gNGnwdU7zQVh+xazi+o6wemKyg/M3xLKis5
av8WwxUGpNJXsHeiN4C18KNdUILjHPNWuJFClT8w3oNaS8UjUgLm/9ZGf23gMXr717XR748R/Sf1
EX7w9/oIdPU1DiVNMZvGH6hPfq+P/L8URQJ4H/k9fpCkqKp+dv75X8BXoTrCpBKD1vTar/+sj7K/
oLsCaJBdH/EVxH76H9VHV+Xh74aiSQ4JocCRUPgYeRXZn2bKguQ4SEwu731/IAe04HtK0KGiYT0v
mVkru4Tqxi2h3Ec+eL3CLQ+ii3FECv5tjkNZK08dkCORNEWE5+USm0bAwehU4XDeys6zYU0Bx4H2
TbcaDR1/mEjxShP4cswcRRVsXmfI5TdzEh9yWeDI9egeTsLXNiey2qb8dptX3WSyN3DC6BPhHRx9
cXLacsbhQMxu4Vr4QpJxKTXLL4XN+lrM7KL9+R1sETq/hLwYDju/xfQa8xogu73ZblORvboWsn4A
SrEY5GvqzLnogxubDc9ewm81mvcKCu4XMbfYbAJM4lp7zrb4UYhuFxDvLWSuIhPZaX/KKjWPN2Mm
f8HDU+8iyruSJm5vXCJKLIp3mNFVKdyAXinTDUs3WgZuGOpodilGVdMK87lYGmPMimEsv5+hKmAy
GB0kRQyFs8udHcxSEsRg7IED7rp0enS96aoEURKVF24PUZt+D/X43C/rDjIkLyMiHlyc7lbKjwyq
fgnH20O6ZF/o1BLw1usvKVMYANtkrFHF99UgmNxFbFXQdDKUvNtldiLbBXQ4uWD4oBuHKqzDLymd
EQAyhG2F3vG+M1l4N7TZweXkabqL6TFFagMmwOd0BScZ5v6OZQZA4gTFVm9doyNtoODmv9AU1c4y
gRIeJNsHXIiy5/J7n6Wy7vQKl9EU7IYceqyPglqvBwaMvuS8+zbP0QecAR+oyMmBTPHdVct2ZgKe
7xvedOsQv0RJj7HdmuPYaRmemDYBtk2PQxJgQER3c076HRIkoMg68KohSdd9vowyK0Wy6MYa78JG
+6PYejuDcGRdBVfBfptiVWZ6OsXeFFZTPB6KVNJShi1SHPIsr+M4P4QeEXs5u3dMtZ4ZkmCM4o2v
/Ypg6WIdFa8yMlFFJ/izUPpNDSuIa/psWbEQMM4PtiVooPYA8U+Gx8KAzgnbqAR7cRRFetMaFZS8
n7t6IB3ui2wAjQ1sGBErMizxtCl/5w3RUPmQx89rKC6tR79HxMYX3fLHfI798kpiHEcoYSUFzYdw
lKVRiJqAZrPdS4k7pePOXUnmhzZLbij3/Xr0O2DbHT5AkX7VOjgpeWFxPJbznD/AwgnLbSrvXDtA
ctNI+Qjlj1gNiKBZu3ce87HJetXXnvP6etywPmwygc2ZYGilm7eP1qrbvoYk+mHmm647wpDdMDmt
UAaxDAxv39frbCpcp9t264NSRGCKx/ggAuqhVqUvHuk/+gW3TCgk1vaY7FQxHbnHYQsAbAGNf3gG
8/BZGGkrGKNRmw7ZPsZDy5sYqEfpjZuGR3oSN17okttA8GeP8enOGcwQMeXvmqzY2tptcAcvbSsr
MsNoQa25NXOfI1UBhoyhYE90xmpOYkQPzUNHm7jFFcdkEXzOul1kO6YlzISonbnZqnH1HqNpXlDh
48ai2wQa36QgC/q+3ZlVd7WcdHyguF4mpqceg/hyiaYLj6PzINWT3/rPbQJTfBCaUwtstwHY7RgS
bua5ux9dMP/SFxCDmlSJtKvU0p2XxXQoTk3Ewx2zrainjqm3vCA0vvmvXvJrttb1WYv/uib4LcXw
HwuCX5/Q+P5bdtY15joMEZwFD1aRpckfBZNrXB+GAH/QUn4WBNn1qa1FniOlM/8Nn/y9IMCzaZC3
lecQXyJMHP8z+xae5PwPBUGc4/mwUCWAtoHw/JNg4vnBqkIdkPu24LtsBSCioaAgKmq+i/TwOvZe
OTpd1BtbT1m7cqQikNtBLgdESnzEnpkqWyQVjayqkBh0xjCrLbeig3vIgKDxvItgDLigBLGf8+HF
L9DTtAy5AjEbvwfL2NU6X+70gjYiMG9Q9CG69k2CMV+JRJKvaTHUHhCdlxmDBxzJ/Zlw2wKHSUyN
ly13y8LuJAAOtK7hGxJYsMpZjNI4ilUNHTkGatN+Gqs+oiFJyy300yaXUGYx3nuSPUWUl3jffPvi
rRPMNCkxlUzY1vQeYqnAldZLik1nLOiK215+y5PuO83mOw6Stpwt3uIyQ31UY/CAbRhucnIrx+3c
SWb2HUIXasXCh6TrHvwrSMXYoKGCa1cNiOHdY55igKDY763qVDUEC0zdNEcsFk3WevC7Z5QHD2xB
8RD5GigrNrEbeJ+eFG9rzoOLEnbedUOM7LBiO9OhOFHtzqOkfgW6BjY5bY4kwMlCZDaWcKtL+KhA
13hM5XVB/Q1alESvKZMFtpmsqwjmsicAr92u6N0Pz6zriUD2qXzhk1rxLt9HNveAvUQ36RQcpzgf
dys2yMvqCeyPcEXtVuL7mKdwOBs80DliEfQiU8RpzfBbsGwnu+krzL/bXhH0/MNI+a4nGQPPFe8y
MU/Av8x6SEW702SCVSgTCL4i/LsuKK/AS5Jy8GLeDMK5GnL11yFDehSEk1tYgVboebBkhDAAdUy4
2sf4nLUBGjCRqlMYTo99m9E6C42rO5dgQS5ZcuerODrMAJ8qsmzfl9lHYJhainLxYrBUvShwBMjs
wLrQ1Nua30LcKTDoSj/gsoHFpggAJUMwizSWchJ3Ds5+NuxGsuZV4KVPgkZfTYZIEMYhF6g8Gw5a
ORiSiH3y1lYdQWZ8B+gqoIcgNKInIq/9xWAZF9kDoCYHwWiIDx6HfbwLv/m93Gee003o1K3HvRGf
cw7HkRX1RicIkvGKi58h/kuoIr3466bj0/UUSkyJxcsad8XwIvuBGv7VEdzzYQ+AdIA0VIJO2a2R
jh4yy9+sGFXd5pB+WqWRjpCsL47AB5+2dkaCEc5JW/S1lHqt+l6+5nKxAEEB0jCIiYj5mMsAsskZ
5sypnHKKwIZEPCPr435OEdfmCoW8FfHJ9AT3GkqdMD+b3L9AUDtvG92HPT9Rj976HQYkcoWWFw9L
DPosfvShndQBfu9ucsE5j3pbZaCUYI8LQZrhhRfkoGx89j3/MwVUqHqYG2UWN7Ll60l663vor9AG
YcgvJ4ehIerM9AQz/y53xLULaFWtXwWZjITyg0EFPIWzfIrsol6kc/bNQZyEpuorM0Mly5OvpJfJ
SSuwAg8DonTyo568+GtLUMjddgnr97zodb0U7SsghbRJHGTcoIUe2GK9HGK0Oo3ttqGyWHdNMqIY
wyp8W+LlsPUoJjA2OtAUKlsGwO5gGUEagGwv+bbdO4HBJKwYW+XBbzikpP+yBNjh+MiwPfVIsllI
90nm7DIjpPDgWag7SDVCAwd9IEOOVlToH3w1L1Mitx3uYshk88tWLLSc/O2hiNl56dekGkf/PXDY
x6Ww953ljwGiZiqtW3XNOWNYa+09kPGwWjXkZg9WDnQzNuiPQoYGG5d4z6SBmhkuc5Wl7Ib13bcw
t9gN3DeXhTuBDhBT0mTfxuBFyWD6ElTIs+8whZQ18mVyEGsCQ17MhDyT3yOKg6Fo6j7TiMKKoo+t
QH5YNrAm4HEA26cA3WmmqMy4feJb5GraYveDzkV2IkLwxrpqDoqRNVq6rV5jvgdTE1TcSlsCHnpk
XVJAQcxu2nF6kMpn1WQtKEnYviYaou0JeJ0Qb5fMM8ykmXhBGseDRAmJqbqopJ++drn53tkUdLQb
znZ0kJacPrcwtSYTlLqR3a+JBG+r09PYthSRhuMOzAsK9fyrH+UM/bckVerJANmNwY2IWFQlqynF
ikCyJHvKCoTEweb9kZpi3tkNm22EPJeOw3XAwerhG91uTucTIDKM4hnSPNicHeGxxv6MohRNcdl7
7AlS2fu0ZEd0X0jOWW+M9F76CJfaz6dmXqTGdmN2PCAfXVEcEiuP0sNX2zH/1Kb7MargzEP6G9r/
/5lJ5zo2+zUO9mfg6vWZRv+unvyfAUlpP97/+Y/9rjBdrf0w3eSgRVEfZsDef1eYwuszV/LYj66B
Yig4/6Yw4YGVMNBHwODBmMDlgy/9TWFCERrhcQ4pZndIPAz/E4UJJNmfC8rrMC9FFEAGmhVPkfiT
woRNdCqWnC5IVNXjKR+K+HYW7pyLYaqSZX5JkSY5dbo/iF8TJqm8pk0uyAtapw2zeOgkl4KOAiGA
60WT+CQxy9pNA7SLAClhZdYH3p4NJi4x/doR2J6P4JrRbo8twlQsRPeqMJPY8QxD/qeVjG+o3WTp
IVsAvTxiGytM5OKTcd52SkbhaFut+cpOy9DXa4jkJO3NSBkUG9wufrtfAySM0qAvIPcT8zKiZj+H
yD+8zSMBrJw9jQs65ybnq78bg6v7eUaMUGYKuMojTBiHAcFZYYogmjkozn0262YiQZXoUO8SN97l
CYbyJpLFzgybg0FbAwahwh5mq+4CpYpKi+lttuRmDWxDfZQ3Krz1Y3K2m6al7iCEMVB2wCVyiHc4
QASucElahNfiLyOfrZXpV5AZpt1NyYR9Br4LEA8qOBTz8gjT91Pe+WI5jqhz9YVhqnVIprESE00P
OPSVeEoxmQNp8msmZ5RhPBoFCFQsE2R2Qn23R7bKBRGFCFPauHhYkfCJwvYkkPg5IfkzRwKoRBKo
x9NaIhlUISHUR1uasPGHFeEjQ4Lof5vRX5tR/9+mifzPMDLx8ee9I/GvP/Vz70AzioD4KE39EHry
r6GDv+8dEK4RVYh/fjPzYaP62YwCPgM2HfnIGcFj1/5Onc7xJCA8CSZLCjwIFzvLf2bz+wczDEi0
EIau6BryEcPUhR30j1waChXbdVE+3HvB9EYYirNtGb4Fa3IcIBiWXbpBeF2aLOGlb7LdFpGbYp3u
bM4x87IcGhAyi0FGedWcLeGOJP4O4cZPlpmwyTPMvg1Zb3zdwmh/jQAA2MNyjL2GYLi5ptJVxgNa
06t3ZKdCqwziH23I4PT3ONK7End2ufkBOG2q8h43InbhJl1NUgar2Bof7nBgQIlD/4GiLFuKpYoR
YFdpJKXuhFwfwhWMUUiG8+ISxLcS/UsEm08NYvcHCoYTHGBjjYgPVPRG9ZgGI2QNUWulyIoHpCK8
mhaR012O9plSz5ZDhgC8Lu1YtZExhE5KUCC2x4jo3ZohUm8CM4tsDPeyUXKrM3Ee2/FM8Z5QTqM4
52H4aFmPsAbCm16Et20QPrfroLEPLRzCYoSmXRnYiHqMB2K0SDxCwFebj695Al99ihoaPXtiJkae
dNiNXwGqv6xbbM86V/djpNV+CJBU1E3zV0dAIwvUwaNNy3hJIA9b7MlL1IYlbfNbSsKXaML4eWH2
Hj172vT9stVhgoTmrQAITuYC7aNcHiOP/kiGVu4BxVcBUPezTN+1e4cfYBeP6btaI7lH9bzHcBaJ
d6Pl8qUIqHgafAB1H4xsP6yjjxsa6ib7VQDuZ5rn75i+3rVY30dfC/8AMzpixue2uI95q05r0VZx
gZ3VZulBz9AofYqKkMbFehd1G6alTHK7h53o1QoEWjKkNUROfgAxDg+o4ooJ6Akgs/K/+9yv+9zV
3vuvRbcnpvrrkfKPO931537udCBwQf8gTyDJUYYkV5b2950u+gsAWgSrYhFDPruOyP6608UwNMPY
C+3mb17nv6UmXS3OBSIR/h97Z7Yct7Fl0V/pH4AjMQOPXYWayeI8viBIkcI8Dwng63ulfG1L8r2+
4ef2Q0d0R1sSJbKAzHPWXtsSyo/v/q1T0rdY3/fhSh5vJH2Z/BmkK/lSfnrS6UjEh6zl0jC1wt2W
oyU5z+B64AO0Z8A0EMmduQey5L/iLyFOpD10dkukcA65J6rnhB/MS5LZatJlNnfp4Fh7mxTDWWZh
/VEz/CdFMiYXce7O7jesY137mjRZfWvTdQfKctUQFHvRhNNv9dCwvTXYSx6QZS7hG2v/w9PiWwJa
NpctVJdGFEuoead4IIBqv+Sj295JwyZe0sXuIRvKqlm5g8aWxZ6rR3MQPX6mzvhktpQ/2yIv95Hd
+UFZh93byIqSo4yXcEKBf3VTiWgnHusbmZabfEh6PN9RHYxSt8arWCut8UvFuc466WW4cKtBKjns
9KUftE8r8tP4HDMcYMoQdmV75aqzoxvpU3wXp74aUwzEG5YeRbU8e6z40Z9GVjxZ2yrHFMmkc6wl
5j0ezMnJ0Uqkj8mQz+/paDTFxpD+1m/C6cVhtvGGNoJnlzY55RaRs32cB2e+AxRb3lRnAd0ARiJO
kcxgEyPd34X1GL3zk5QwQFuWt7CLl08nmZ5brdmWUXLUXDzZhe6Ma2m39R70P9IJJQ3QQggjT5HO
dSyrphqtO/O41VRURNYSGSXbDpcJ25aRhQeSkifLTfID+pAHM0PSWWtI6GIhAWC9tt87aefceXFd
HHqt9x9q0TjnyW9EUBiVYop7u7oPO4HCecz9d82V2tHMe5epb4HzQ9eCtkf2MmpaN21gvpsei09S
f3W1qjvMdVjekovpDjbWoddo0d1g8VFYsWpNL9zUSi87rUlfQKCqtSR5c9FlS/WyDJN24oc3Wpuu
GihEbfjsLYV8KMGLN6AayZ2WTPV1PGIqKrnVcPm3rLFDlmjpwCV+3G+6ye6CqJ2lu45K29kbo/Hp
O1jjc/PoTtK8mR22fiumRfpnzUx22ySYw/y6c1a9BJX951n87VnMbfAvnsWXn+2Xz48/P4nVr/r9
SczBUpWtf3d6/P1JTOUI2XZiz4AIcKFcJX87c7q/sN3gkEoqGmyUB+8f91UWINxwXXUmRQn3N4lR
tiY/31exVMAMQCH7jLbJX/x45jQ1Q5I9y7IrXVh9S2NBUot1MhaWxlATvcSmcFrc/UOTNjc6tMFg
FIelLfbT4SBCkE81+Sb+nvbeIxk7PpDJeE8wpD2JKa/i51ANw5y+zBiAWsaabA+TMqISdgoBWhs2
wD3ztCqbryYtH1e+a7xBE9lru81ONTM4wlcxB7v2cWI6h/xn2Q4ehzohPxzmd7VZ8RuYS72PJntL
krgigOBzb06/jlVrbIq04OddjQRr2WcPIVNCzcLQ3GM/XmeTfuUxSZRFyqtFDRcjNWacWm8/OupM
mcm9csRaaiQpK3ou2CfmgK/NuPHV6JK8db7xWxffchUydWzi5yHjAVHaNf5Z1b+x1IJVdYyff9BM
jUWw08d7FJ+RILelu+hIXR64U67l+zgW9QaI1t51uk7rQFNGt4RupydnbKNVhcZ41U2JfcWJ3VhH
eqKf59nCiWcZ13FZkQbtuAU7jdsTtk27bVwRfGOZzB9tpB5ipqbfl4bJsC8mGjCP+kTUNON0l+ot
W3NitievbmFYCn/uIr6GskmOlqs5+sHPOl5shlQyX8YP73pjWsEwKMglTS9jQI0h9NhjZegBSxoe
kDFtBVELK/XByr5hdmabfbI0e2q67KISbFMKlwMjw9K1a9uXnG55TuLIi4sksOv8dorLY220L4aW
XaQywTpsFPcmr+BNH3tfLGaSRuSey2LiphH3bsaKaU7YCEMaoEK243S51G3BRTuTm0x1vZgWmuyM
+pehAF5Aw1aCBRjepliiL8skaUyAfGXNBQFdFW29sjGD0wFjfwGGoHvAEtl6MuieMeNpM6gymmJ+
wEo3BXNf2kEygqbMc22uQkpsemjNAPMi8+aI7Jqg6mZK+C9Tft+YEhx3JjyYCbVktP2MVLY1omWj
NUdQn+PaWNyzluUMkpXuKER/4pVJHsZmmJ3kHWGDwnh1JvS84VzdSZcVuD9LH7MXgFzDq5f7AgF6
hmEs7NzPIow+8srL13y61n06I0jT0mvMEBSAcCnUxeCuh24m/q3jni8r3vceP/pCt9CMCQYoQWj3
UcJMu1pYFVAXlB3Lrq/u/3l//Dqz+MsF+hZcs/w3HQqCX/Xb+4OyShPrrecJl+GmsHhJ/P7+gKjj
uW0w0BT8F8pa9Mf7g/+buBwXAJdJwvdqIptRKCida7voTXRmqH/nJO8qNu9Hoo5pJ34i23N11Ly2
yRfx/cwiK+Cx2TG7Z7JEx6hvxvKyl8bsrNNirGueS2xwUbx3Hc6BIpoeKzavc1D5JUBvn8Yvk9nd
EbOfg7grs7XsaRCSUZAt/NDpojTwAOYO7r70nWtAsjJLO9nMGi7FkgQsmQs2crmG9Ly4JWHwJIdK
z256EP876O+9L1nEuOy0cgQDkUi0cxaWHnrpkdl+oUUvc93H16wfEuc6zmf32i69jg8+eTNz5cDf
VYEdFqK8d3A9bMPW5wnUTXrI5UHr4uRxsIqOTUsmnzLDj8lTZNU+iekZ2BuivUQKcJSDfWtHSLFD
liRiye8HC0i4iusvrGmZM8TDOwn0ZN326cbSzfdYhaOpbjg7gwGjNz0OuAsxZWgX2qgFWmGVq0hx
bFZd64E3S+iakt0elswnsCkPqX4GWWTfZR7nyhRd0awlH4bv3heD9SksFqBdwT+K7fU3rpkxa4Ej
20t+/5WBOf11NklzZ1i4xeLLoGniZlXk3n2T68a2KjOqvBBvrKbU2MeMX8pxbINCJjhKsfPZ6L7h
uF3eUyIrN0ba4HAQ89GsjZvQGIr1YsZQfpax521Pa43H5tKfJ+PAy0gVBIkPUbFZHroCqYUdwoh1
u6L036K4Ojm+e+pMUoSJByxuLv6dG8JMo1vaTqH2YfvLNhfTgRnPOWLBuiIuEtTt4uxRfMckx+qv
faXRXZTwEhu04ouMfZrF5vKZH+meuNfo7h2LEAc/XjdAav2q96pzb6caLsvwGkvHjU0BDjUO+m1Y
a1BROc4WMbU2yvSxY5UYY8KvnofUaFdV1B97voN9N2yZOCe7yea16oim2iwlO9yRo05jP+ldf+aw
dZ9ynVtzNn8sovhWhfahz7jeRY52SB1aD8a4vZ3d8J6r8M3SIMCUelIHTMMjHvUJVWpteD2Ey37O
Q+1gTtqXttHiQFgcQWYblHPRfVarA1sHbqA7D89wgKNgOVa1e5WimdhWHvLWeijNdTHmPet2eQFm
+cHk/pgMHkO9Lrl00rpFYeCeGEzoO+GTO5+Jsup8AAJLT99aUcvt7PdXfms9jxoEBh/1cZXOBdq8
wfxazAPrtrq6HZZ63aOEX9Qs3nWVzqWsOI9l44Mhl3KvWfx0hlEtUdAnn/lsLLvBdZ9tSSeKznd4
rPBF5q1x8Hj8BqbnXcQjeRnHopRIFJa1lU16lUQOE87stsjHM4cGbSVjV8dzmm2SwufoUDZbJ2dA
J2tpBk07zaumdO6l3oxwj+JraFisIPMvlA8eGmkKbrPsykPN+LQ67bFLXX9dFMVjIXtjY/gsWeZe
3yVO8VLN1snWqlmxBmgSrKNrTc6NmXq1S5YW8+YMomCCKlSGzUxMg0oZbKpcFM+wADbY4/LemsZL
Q7Hg3lfsQw0EsSgawuPgE1gteRfAaxbgQBOhoieE29/FZQ8QX4t8j48KobOiLUgyvdaOddcXODQk
yXkCCqEMsGOkQVrX5bpMxHlkArjJbPNzXGZmE7ZzmSrKg/Ird58p8mNUDIg/NARVBbMTYi1ftJFP
sq6YERFK+5wojgSBwhR4mhEHJpCJVLTJ7AH+6gAomSJR2OfCs8CmJBzUOAnFNYZceZgBWApFshSK
aSFKTl2ByU8rNThfHEW+1GG6bGxgmMgyFRUDH1MBymRQwkHsOvnW49q84nm47ErAmhb3awloE8lw
Vynyhi4sh7N54q9m2nFWfl/Qv6NYHceewxunNOot5WEH9CsXKfLcba8Yn64BQiWBJNagOPMxHoaP
rBHpNlZ0kFGbUMg1DGkGObWPy3J5WGTB90bOrMMVY6SVfF8jLCcrGwAJbQcoiO6RirUxRwAphcBK
WrJwRtTrdhtmgMcATWTgUK+6zsXSNfCRinoawJ/qIb4vjWXmhahD1Zi0uQ3wGBjP+i9OU5CaUiTV
pJiqWY/6tWewRdPz+LoHvGJcJIJMsVg1UBbp9osQSIuE7vWoqC0zZQpihMykE5AuH7TLg3LPu5DB
mwvGRsWQHeSAYJXpzZtQsWEROuCVABdj9vxWZdp1DkaWRVpFOw2XrLTV4S6s+jMnPBwVgqJExaG1
ikgbCFQFMhcvtaLVRrC10B8gsHUxBrJpw3UF3EbJjNinUxo9NnEeAG2+OIqEM/joYjP6ytjuxTY1
FgP9uR75Ubb64ktoG/4GkU6G/iZ/HBRpVynmzgC+WwRtluhlL/XaDskYZqe85SRi8U61FbunA/FN
XkfgJLzwFN1Hc8uRcJcfNIB/qV0+FYCAU2moCyJsYIvnh2/osWHtb+fFhwYGICdtWDmAAci59qBs
nx7AQKfIgQ7xT1fz/5VABSIVWMFOBZUCLbxB3WVv/pC+YwtZ16MmiOq4BzKE6qcGYKGDXFg6uSXo
zLdHQQ1p3Z0mhTkkeHS3BuQDhAQXSFiIJI34j3mAj5ASSZvrK0vBE0Qtkh0nt1dOYIdkYousQAsT
4mJR6MUAg+HAYoS+fNJNfnMFacgwPWUK2zCL/gvTxafIBeioITuEWwBIl4+6yQvPpzTKVhDI7Jnn
KUseWoWH1AoU0bid1Yl/wTLZD0xYkkEjCO+mNkp4OBOmWws5Z9qudFkgsQRG6RSWQnqyQsEEqkKu
4q5Q8AoWH+wHnDspZEo2mkJcSqs9uDAvEvYlVhBMJL2rWU93FUQdPJZBcdFcBvp04cHPxAqk0SyQ
GqbhuzQdaxgvDjLm8m5C3zgyevegcSyF5WihiPlmNW+VQnYmgxZOXsRje+Ljcx+pwUbChEOvXS6O
SOe7duPtzSjfG0Q2xz4DFTPrm/LbqESUiQPRbdm69hSPVSW4O6JIPDJvkPQVJqhhRqavozYzpLNf
S2EnWmCFVUTgwZUJ8qnsWEnBV5Ex8BQauhY/Iv9ZgS66KQ6KTJPbxKoCyouGIByrZ0JRy6b0QM3G
OdJR7KToBss7aTnTtjMJzaXtExJMmwSVzt+UCTMjqUPsWm8QANdTgkAsdhEuxElfoBTlE5JlVrOy
5ajTQkXNXxEzXODOCszEK43vn/recTYffNwHfkwnF4u1nMbGqXfPY59c+YN7QVDZX5Vd+qb7oIm+
dQHAwOmmqt95txDUzamHLT3M6Yl17AfxueAq2y0pZOk8entrHK4J0YAzKB8gV4kV5xoZwBd9tLLY
m+zr1+RVGWx2zoXVIOyDIyt78i52Uck9z90LX5o7F+5ujSWg2w8jn+jU4A+0Wy7gVs48VR853pDO
JS67qw1Ou76evWZNsrbiqwzKLbXnFUqig92ynfO98ax1ZbMq6/6qsIF/5paAok5qaAbCjcTZZg2X
l+PZMq4cACskRkHbatFxFNUTErhDHycvvds/1BQ3UQQjNqh4Jse9myJKlrriPDfGa1KDJnQaT8Yi
OiDuXg7pkL/yBT7EieYErDPCTQw/deKp8GoV1fhULCMDoiY9TWiqgo6qyfVcLIiKZ1Ibjv5cj+Jt
SrMbKcu3rPZIInU9PwnUXNkVQp74qcAE+c9A+F8pOXie/7yc+9/i7aNq/zwQFvyq3y70xjfSgKWc
ZxmGZ+vfE/E6sLyrmkt+5pe8X1xVlEhu7pv/5vv7vPeLwWWehByLOWUX+FubOSCIn+/ziFZ9gUZA
uQxw9PwExFe1vWScjrorkZv3GckLo7NPlP/eZBMotVThDKaXstCtfTrPKXQiAY5QRTn6aQhXoqnZ
hM3knzHY3QoLNjOu1enb6p1Vt+gk1VQWxuf3Kt0q3uSEeQ5+1BqrOs7vWhUtWcqKarBqutQaYidF
mRK1V1EUbbLDgJFoCtuIdQNzPm8lsisubNOlOy7lRWoYdIE49HtFIftvQ6VeOtgjTwVhnJi49tKW
93HpASaptIxou0NDfCb0+ogsrw5DaRWfyFAfEUlqyvGxrwjfaCqFEzbd5aJyOYsdvTNfSWGCBxp/
Ce+U7SGlXlgFeuK31lz3ILhVhQ5AjgNiWJUAciFOgzKfeEXRJbupCQpRrlivpr79GIgQ6T1XHl/w
F6Jx7dARM2LZxuuq3GjLxUACabK8Vzt1DpWKJvkzaL1PWqmN2utExZes0QMUZqCdObSDR2KgLVbw
LTHpfeujqDu4LVEo9JC3hgpH+aSkeCmB0HvY4VSAKtFjfWuoUFXnjsysHTiTOqTpJFfhqzCT+qoV
3oVBLmseEov25jhIvZJYXgcPoEJcjYnP9ltzuOMjGnWwy20iFfuKekF0mCQY58SUs1m94zh97DL3
3vKXN10FyIo5W/UwCekY+9yOgDU56nKgIHPGi9BA9dIcTZ2/y0IuzTeLdJ2Feimua6sv77yQQKLX
qsKC6mqxWsoCOI0Zo6a6I978ivlxiy2Bhg/9GW76ssXIEGjk7Tlgmp+kDT9Hd563Xc9Lvum8cO9O
9juNxIIDo8GbAtyN/NBwx460OxWeOI5p+lIv/omOX0CuKt5VzGcaBsBMPggA9lGor6jflivOmuc+
Xfj4jPdxFL43Md02pYklNNWKO4ZMMScNpuImK+Smj8B8qW6jGRxGxSm2Hg0fTmQ/tLGIj0gpoOPT
5Y7fU140oz0iDawqFDoOO0IliBxbTJ+6r755ExEz4YROoIfWEx3gPPKXYWB9WJbHzhgmpsHE3uM5
aQiok8lYpq56jkQY7cs4bq9TBn7UTNNXUs761huKR64VxCioyaDImJGTwSwEmV5J2V9Kmi7JEj7t
vXEAficfmDpxQFzlIBZPHGDfD64e5juHr2XVOCYSH/Up9YruGkvAwour3Fs9piJebmlFMC1NeyDF
XKORm9q8Nf7IaTVbsRv4EeXvFhgA1siAqPl1Gvmrqhsf9Ck92e3APWU++1Z7N7rsJJau2MUaO5iy
wB5VZvp5nIaHhKYKwj3xdWENNxmWLC+bLrtiee5CXEAZ/vJVUaWPOH6P1iT2c9fd9xTcr5qhpE20
4sDt59NF1tHwIdpqW8wEXY12ugxb8yaDTd5MUt+4Rn00hqHk1jlgVgpfWYdfIVKmDaG+blIXgGrs
3sOQMu8hW57zmMMFAwxvg+TytStc/B9kI1e9Ud9XrP0nCiM3LKfZ2FB+kkEXpPY+sZySfLIKwsUV
iloVjftnJi+Y2TAq/6tXOOHYvn37H1y5/Z9I5F9/7e8vch3JP0NZpuyANhC/303mDfAbMPR/vZKd
7ybz3i86ch6kP6B+gswZo/4/SGTkPbatBurf3vJ/z3In/jSZ5yzAu5zfkxwstDRf3/eTeb9wF7/k
QXEFCIPeed02lTjmk24dS7Q7lJVBsxAt4aU3aRcey8EgtZkoyNQJ4pIbKaVS91PUnzJvuhvJIswh
L7065lCP+RGFZ7Ic/aR/lMV8dgvOyGQuTNg04i4AcNOEw2tw1hNUYrIQlC2wreDd8wlm+9OOLPxX
02NgIb8BsUk2r9FEGps206BVPGs7pKmHfg1ZBf60l9nh89Dl1rzBh1EEoq3vaaodgOk06ndg4cx6
EetZ9iwfmeK1ZfgEDxL0hsMbuuto8JLvDp2vadgQXNDdL3wKk/XoJM9OM3VUFjqMTqmqbdC14Bp+
diKLUWm9rENpbmPEZCuzK/aGM9rBWHn7bmKcOlsjM1HKZOcqZIg/XYmKCwRx9ZeElN+6sLIddSgH
D4n8Vp9kG7Qjgg0vqj8iYaEf0cvnurLJPSs3CQvYTyc0ljNxnbeEYcUJbwmyc9tgqRo53H49/dbA
URRYqLLXiZKqVhjkdlJmJ91uRnKtCAbwfLQ9sZKRu7abkMh1q20+mzQRYc7eeOyYua4toIdcSC9n
4U1BhrltS1tsHYS5Nq97Dpi8trIYPRA671kk4aYUHbcNUeU7z5f9ncGY8pEDWRxUAgVu1uXiktcV
OKrMspeq5dGJVMV5Jghe3Hat3lzHjpEcPL2dLho/JJ485xV9dA2UF5fz9CIka6UMzROtm0turJZC
hO+Tl2geSlGtIRwlbrLKp2E6lvWDYO097kJYhlct9aOvlkckvFDQt6TGlkpOj9sPJ8BOoeGjgsS7
Fvcx1HiPZo0rONXM0QXXuBc01f5aa4Zzq4DzUKHnrhh5Jisc3VVgugWhbilUvSkEuSgFr0Oxo/aO
VpkC20uFuBNAIXxmZTqrKgB4VsNiW32j4o3kzv0VkweYrxQ6jwZpfPQRhB+cio7fWCH2tDiD9ULd
Twq/xx8dTB5A/j8P828Pc/0vH+YXb9nnn29j6tf8/hAnM0LjIk9H6l+QL3//EDd/ga4xdHaav7lM
fluvwpHjHAQYd/l//hgn8X7hEsZznfuTyin/vXwycec/XcfITMP6eIL7p+CB/tND3MSYAgtiX2Vj
Hp0gCprwbpoyYgp8qLKdBE1mqGUpTbwdREmeH8AWJEkTzd5nIWUIxWxQWiSFz9MPdHI74eRaWcjc
VybTQs/mwiVTIAeSl0fNT7lJLWEDkiK2eKBRtrEV8xfv007hz8aZ1SyMw1Jwm4pOJfbBFAuh9k1H
qMSEPYZC4qXOa66khZ3SF0qmcznhu4USOYnfsFGiQ+HwWURoNa5LLIg9RSJ+53+yqcVr6l2hQTnQ
yXXHsm8HZvesKZ1iSRtvg1+xVaJFvKHPqrkaSPOuMOwH3PUoHDy6Ia0MTaOOr5F59MH06k0qQrq8
87dBiR0xb/PE6pE9sr4FU+QpCmbFC6NlsOfihmyUJDJrjROPtXPDII3JZXTZ4JNs8Ur2S/m1V6JJ
v0fWUkkgirA+Ejdz1wVdCTZ2ShKnDJHQVfoLuoWMSZxbo7I03fm44Lb02vhmVrLLuE8PQwTt3igR
po8Rs1JqzFpJMmnC3huyecmwZ2KIrNa22S7baEbVFtXxF3wK7Xqu0W6W+rxz8HDmSsjJjeVc1ig6
pZJ1Ij56rMPY2pjtVzBNsXcyxJ5hhCU0shHcu/pXTck/yWxdNQofXZQYdHSbe0+pQjWcoZnd3uSo
wHmx8CgcqVnp0YvaESzXpJSjYP9HDwepq2SkqdKSIrl+sfCUsvF+ncRy05AXHFv9RdYsQVrMpoSH
WTjKzN/UHaSOO+8zpUFtvwlRMaNOns8CRbfpJK+jbYo9FVxJogYxty5e1RlQrmJSzt6EEFL3PlIf
czHZNj2QxTBFu55cRc5LY7Z2/P3Z/s463dFoIwZ2WUULCdx7LntgQpJ8pwyXSsQm5Bdn6l8czT4Z
wbCnEbpPtr7GKoAyeKy5kArxfh7F1cKH4Wb2UndHKEDe1BZy3UkaR9NMzTXD8pXZ8GuWpNZgOskv
uJOoNiY/bavWbmjVzvRZbCwzmQ70Q9oru6mSo+dNy84dbblhadFTuMpeV4zjVrLZgBC9YhlFXMDQ
L03cMSuyZzdz55JGz9Nz41CDbuhP4JzzXYtY/AX6irF5w9XK1Ccufy3JLN564Pdmxnw4Wo0WzShk
LBCsoI1DaObxc2Ng33JL+ud1SakTS1Ta7Klxgky7zAw2eD6Wj4EintWQcxMiEfLeDtpOZ69Pcqs9
lM7A9cX2jhq2hqMe5V5Q1dwSGd+3r4bbMCuAuSCJOxJ+QFO8KmOAVmVQ3FJfBBbQL+JLoxvPlD+E
Wx9b2ka20tuVy8RTKcvtXVVwLesQUe7GrKlIfarvb+gU0OLhqfHjHRUF54RPFHOi4Qh1dhNL/tZC
sxEXVSdqDnbw4v2m8pn5pkt7yZHeW0+MvHlmDHyHoPrYx2zBUeZtURY3sZ1YQasWvSzHTx5Jj5Ws
xS6xsxdWArtB6+6WbBxXed5yPCMQjh/9shvaCB1AwenMbYGf670zdF8jk2YTmxtAUBOQ4b+Dx7v0
puK+6NL8wo/Ha6jpblVZib8pKrtdRXCIdto/zVDW0qpPsHWfE/UXaIOKY5/JaQPcvSN8+Gt33//3
zClXNiaY/3liG3zm/3PmUPxvjgnqF/5+TDB/4VrAqx6U6lvw9Lu7noXC1eA1bP2WAfuNwvqWp+AI
IBxVv6SiDr/f9Sz9F17pOE4Mx/mGaP2t1Cnnlx8YLIvnGoJZkhQETglo/HTT68Mh7fKlZOOL5k9k
yYUbZWtznDff/ctc/xrP+L4Sk37LH/4g/iY8YNWlFokb3V/0A/14GqEVKLO9OJPXto21uaeEwtrY
fOaKBNKxMiLWbdLF5ddXV/48XDRZ/eAaLZ0ZDNfWcLY9bKOencaWeDmnbAqy5h640KZqGq/Cs+xq
zCReTNxS6VrjLr+r+QPXRp1fVyJBg+yWaCsaowE3GBU+XygVqHdqimlNNTaTMGobAh8e3qRveBs6
45Y2PeQDJMigs3i/utaT5rmXvoXigr/mM9mJao247A5x0q1WTGdNs899wvZNyCTFGsKJwx/PMiwi
bhk6CLHHTi4a0a+oE8QwggZpC5/U4cn32k+41NeomF9apQ/LBnQslD9d2214ctwi2ZIk3Dt+2HL8
aPkOte1D5UT7xOP8lsfxiePoeynjbDsWouZiQeIsVwEIbeAlkCNw2ur98qoXhbrfpVeWx9VtzoGn
ajgWyK/B1R/aDgfLVAyrSp9v3WbYMW8AbI60FYezgi/UhGOiBIw6SxsDR52vC440a9d/BY/YCBaw
g8K+usHKVvxABB5afr5/6Q5n11dvhj0Tjn0JBoIWu8SrS/U4YpL5bEhqTGZs9jLWaSDW82taQ9Kt
aZKbKazLKAojSGxr54/828YqJKI5SGzqxn9lSLFnsHVblYAO5tI9Jg6D1YgGCbbV+V0nh4NuZ6zq
TPFF5MgrIjk/5kli7yZzuTImJqNdnI6UXbQfem58GDJHGj/p+yr3D6xO9HUm5Q4B8U1BHdjkVs6F
ay4l5GD5ZUnr59gF+iuc6h53O0xB42Z7ObA6dOXaMMMtflG6LPgRY1pryXhDtqZ5K9MqareLpyEA
sR3eVNBJGdTBbLQcmSzZlIFw5Vb3gIv1pp2OeW4zKmT/KkJ8WZb5wZH8kNj6dlyqlglnVo+PsDic
QTBH8DK2E6Vkn/QkyFLjYOL/0rEH90oO5zVvNBDc6pn2SV4rWzVYxSt+GpHcjkxsup7RsAw4ZukH
vCnoeuV44bUI/VWrL0IOznndmKhEt3xxUrfjfV9fRokI11090XqgymO6izolHtl3eyn7Z7rRwKb9
dD2mgo6d6jJz+MiaZXbNjuSUa9phybETx1Ecb5ZpxiM9Jh+ORLWSSo4k06Df0uZEiXT/CdkJFA49
Xjr1M69O9jeH2Gqp9dH2s+OyqRSviz1DhudUucz5a27d4S9Cvjsca3bkOee3lOJ1Y4uoLfYtglZ0
uEnT2o/UfLd6jOh4qced6ab9Vuj4OKLRei3RYvRTJYNQa1vil/Vu0MuruZIvbZWiAZ6tRzopvcta
oz3sXg1QIs9qw31lqILu//IY/XHFpp6ivC4sohvk3mjJUOGO7wdzXcdOPpyd+Voiq1lZu/A43VWX
h7RfaW/lEymAA/uSVXjCnz8E6c48/PWfrzZ4f2Tv/vXH4+Iyv1mvEM/++Me34WCPmjMs16P7VocH
n6yaP71qVfHrDvg/lvv9uz/H4NrqclMmUSiUKeG7lg2/550Fu75c6+TwmLLl+acfHcij/Zc/58e3
369/H/49eQfqgu7kn6/IDWZCe9Bjce3Yp9Yhe0uQ4L81NFv/7nv2/V/mp3v4EAvRGaRyr2F7HlkK
bca9+PACtXW7LPgZW922Gy4WW2P/cPaCfHUeL5PtY7cJNzfpUa72jP8uuFqsoqDa8j+bx7/+nho/
aid+/UdQvgmXuxD9Kd+i5d/9Y+cUEVJEIfRrruzn8EZsxKX+FB0NhIfrIZhXxxd9N63PzVbubXtd
nACBbtBPb0lSr799Kf8cJNWq/D8fJC/f2qSuurc/j5vUr/vtHImBgM5WA0uJY7HoV63i39H89D6b
YPtc5+jH+R7mJ6+hs+T/gxj4Y2WAA08ntOtx7nM5TP4dmJ+E2Q+PBpsQgYUChUQtZ1mLL+OnR0Pa
apnhLkZ8VQjuVpcx6cjXSRexBwFTltF1hULpuAyN8+rENEnufa1koAABx3N0cbtHP7aqO99P7AVC
cZBALKXbP3UmjTYUnuXuxolTrrOJ9jgZIONTtFgYzY1sbUwOYs1yN7ApG0bnPsrnNxktb+wtkHtP
t07n0TToiJ2RF8mVMXN10zNnM41hAF9G52YK3d1xWY9a8LRIzG9Z045Yi5geDOxtQX2whM8LSRjf
8RSkg2ykRMVtD9SQRbwTaFXe14Vza432bcEBJMjoPJ3D6bx4bRSwVn1ryuauNo3X2OOVVoWt3KLG
xVJrLAQcEh/L+FglayJ2t6njXlDq82wU2TZzyvyiaJF7xxkesdCAFe0AIix29yvq07x1vWS3Y1M/
UBFQX5r0DUNA8Lpq1TyoLXgJSkuNEFDAsM+faFkuo/yirIrN4tbPEHbjutM5Lg6i/Vy6dubCjt3f
64Z9zqlN+MVeR79Vu26K4cpfWxbl4mTI6N9hgBan/Bs0oY4ndPTYKpb8bxaL0lXpV49lnH3gWbrx
rJgHXf6Fst97p1LalT61LmD0D4w6bpIaJnS03ZiSHcQL0eBcRCRZ6JGybpHe3lstKGxkux9OVZ6W
2bytZ4+WIgFaXpasodHIQQVE06lMdIJ55HY56O7yRJtWBv2qawT3jB/Kx9Tp8sD5P/bObDdyI926
r3JegEYwSAbJyz/nUfN8Q5RUEud55tOfRflUW3bZ7t/3BhqFMhqSSpnMiG/Ye23Vh2xTwrUqmlsU
yxxvvYevSjgb6rbuop0VuPZYOw1DpX0TK3bXM5SiitvrqWMCYRnBRTaxCio1BOTR2N4DNHj1up7C
PGAjgdBmQ1jOI+6wJ9vzl7LSvxHbBJV4/meI7kYbHYSU02US46UI5cb1rnhY8wv0aqfEja+mUb2E
KCA2GZLdTTWwYzfhn+1FMR4bxWOnW9EphyTtzEYz0ggeyX+lOLf6cKkTv7HUKsrnPr6wivQSy8MR
E+hVVzsl9TtzON82N5pRvgDNx3Ig79MmIfwhtw9Fpy5HBA3UVe1Rc9FMdyXsMK++Y2D1isb8XKn2
XXrpXd3Ye+hFp6ijQBToqAH4uzVCBt4HaMzf4VbwEZt8e+EMCXOLTF3yy8++4eCprBgc6yK9lJ5+
VVrmpnTjV00jvGc2U9sB443USK8aZLgwu4KjnTbZIyvDiqU7qx1NZMlRS1rSQWdFoSeUWtpp+q33
vJh0qeRar72nBAn9EsQTXaBr7lxnOiVZc251mM2t+Uw84bfGIPDP4of28joqwlXiuXvk2ZesorYm
laBBcB+KUgKtLGUiGnWyzRhnK1OSQcJBixU1OBDnahzD2fxYf/ogh9kSOU4ZkurZJunOhkkd52Q7
Wyj9TzdlORsry0Q0W1iGaIxm22UxGzCJqjwwL9QvAj5YS95z6zKbDZvWbN0Ewjc8TrOds5qNndFs
8Wx4CXCTY/vUZwNo8ekF9T99od1sEW0+3aJyNo6Os4VUixAy/HtN/7repzT662t6nfzPKq9Q6f18
T88F6pd7GiIYOjgDg/Yfdvv6L8QlC8gZUrHkmaV4v62FGPWYDIiw5DHtmZc5Py7qGXEvGStb6K4g
jTFb+gc5P4gFf7qo+T40EMJE9oTU4A/laOl7g6XpHSo9M3/oZ5lOh15HY0LFwqKurkizRsxDT/tk
mUWzdK2E88PW+Ein5OzUWpcdJp98nniilRKohABW24w8HfbwutQ30+yGSmdZEbOLatmYbc6o3OVG
neVHETok8nrZ9w9OwJ7fvnfRKtH8ZRs1oT8DE3GgZPV3FcqmJhweMRnMYTXFbZVDkmVl4e504b+B
trgbDHEkr+UiFwGr11k6JapI34yWjpccXVXSh9txFlrlKK5gnT97jTw0CjV8gCZLdH6y8Uuyltue
4bRCuaXQEOyaWcxVkT28cfPhXeXqHa99tCLGpV1h8Di7g/GUyRybcZvkCxDE32SHX2QWjvHPfHOz
9JL1x8IxOnupBSrPHwayzNZ0CNtYh79jAdshlWPj58l16nF+T1b6rhJ9PcxgnjwptiaoHrvqb3oV
+zsEAQ5hbxYboX6aVhFK3nWrDdA6OLBDXz6EYIC6mQdEUZajKXYQw8+0oAhsUNL1e0M1L6TdEvdp
YFxqUVhMM2vIEeODk0S9czXUbLWLZsAPk9C5uqdAKz6mNsC4BEd+XUct8dCDjXNwSoZtGmI+5Dhz
90U5BtdGLO/J30DUNbvgpRMsJj82nifB7ZwuXLe9a1XiXxCoVxwmkVZkl2rxDjc+4E5xo0NRZxbg
oOgEp8/NHj7MmH2iZFpnYWigvQ0fu1yhimFl5SwgNC2/8iMPhwlOc6nEna2hLOkjpJAt88tEHcw2
4yVG6eFFw2Nhhd9tIz15WoSaS8ce01eoq22t/Yb/Epi6aTxrMnlhCgaMyre3UGAxcwcRLkz/tpwp
I0M7bTSJcaqcnM2YxashghCbxCfl2We9xV7hjLgOWO8J3NLrrnUwWoGbXBYxO9BOi950pT1ZEn5o
MNwkQXMaO+2O7IaXhq6WWZ6LQkw7lkN1IQzvfsii49invFuefPBTAvmCyrvzBhvHK69QIX1zYxSM
l2LHvcik+ezZ/b0S+gTrN4lQ53FfksP9WpvuTV9FF/688PJmIavdXYKFuTFGfpfUC6+rWt9DS1ya
jnOYXXOt6o+FZr36Y/MwTxVhg5A4ZV0G4bQzWFYUgnokrscnq3WcbeRjxYlDYlQ45jAtlXhVXPT+
C49s8WUXVk9VnR4MtzvHhtwHYnrAVeXwenjGsjT6fYFRfckDS5iVltyQ+PRaGCnxMHFSLSblbPHu
GGsyXJy11+T1mmIef71LgKNJzENUpBEJ0MVyqBEZSiKt5hOXU0rHlGZ2VznV1kLCNtxghLqmpKfk
J9FQ8BJwJl0bI3a11n2zFJyDwlb3wC3OhllGS6MloajDZb/K5yOuCjCc+OJWuhl2Gki8sqjTRU28
mMu2cJeSTqAnIH79tFFLxfPWTv4tMIxXOyWFxpfOGciit/V9TdswZr8B21ARrRXrZDfbrxIk0VrP
EiBhqliPBhHeaShNSGXjJiYFp2om7zYqJwDIlX6XhV0GWM0O34pAu1CEEK+BA0IiCx/7oLvEYLxL
LedjYlK1bgjgIF5KEPcFK2IZ1pbmLhhvp48pOWr+eZL+uKCizDEOW0dYN3furBqsZv3gNOUv+cRK
qTA7A5Tk9OR16AdtZIeq0crl1FZXZphcBLRbBgLFAaGiPisWjaw6JJNcx74JiaaxrhEonlsX+7Sa
9Y4RwkcHASSmFPLkZk2k1eMxJXzhzkAuGXoIzJBPRrOOMgacx79megLec67L8SG12Jn20RXPAy8C
YswUUeZkoUmCMEALIWj/ZuXm4FLaI+XU8REKpJ2mGO4ziXAMyadC+lm4uKAd/jLMqlA7UdRts1LU
VUhywlk9mgkUprNbog+LXYbAtJqVpjZ7UR9PLScRKlRr1qMiSkWZWkT7adaqajHR35/q1VnHSpid
3BNBFa7cWeWKVSnDz4wBD/qjjnGaaf6siv23KvusyiwqmL+uyp7z5E8KsvlrfhRkErElBQ+hvSAP
XNMic+g/gxPElpKCTACywQUxw3d+FGRzbrAF4J+qiykJorivBZmBckY5qEKceZXl/JOCjFibPxZk
GEIVcQVodWy0Ke48Wfkyf2sq4F3IRYZL2GMA8x0YIV5110jWwZEcmxXTufwu7PTkUjZpelu3XrUj
fKDdtZOnY6QeEObl3my/Ni4MVnBkorDTGu3o3ZggZDWMWI9B2b26bY8qeOQ0jctkuHJ9n41ZmtlL
F0z7nUncWCVadA5YGLswyC9JHOa+JNb+hpuRDxgz4bXfkfAHZeY+xVS6SxKj3UYISJii7o3RufPL
ttoMZiTZQOERTEggXJrKfYGV1u/c3nnIJhkyrehzBkRjtmkAZi+1OBuWnIPyMtQJ9x1E4+5KCoNL
v58P9ZQxRF/YQKV9w90VGTpv37ef8po7yyyInJszxtoS9JerPfcWPVoDrhI0P27bgODb1oQH4Iu1
9LsDKeFHVJgPvJpnbBbYOJp8tn3Abczi4MXqzG+D4rSjmHtE7/JYWVmyLgK/x1ge3jYktaBT1She
M50QWd/fxRMQBE2l7yBmEuQR6qAqLijUPlyHpBdsGs3yN4GHhTizpmfe6IjDprjNNe/ChJXmTOHO
8Mh/MQvjuzfWV7jEuhNKxFn0gsur7J0LmAXJYvKmCyvnLW0ohcqxv4pT41Ua1SPSyTci4IEHBGSf
JMOl6jnK7UJvKGhEzVZV7i3EaHTAA7kOvkv4oNMsZWruFPY39n3OOrcNj1MteC786Zps0GNUUnVp
w6QtuowCheeDhE2HAL1LYxSR8SokJc7ebrAC26i5tE9dV6Uz7Urwu+EItN41VBFAAMyFro2U9myG
vFkiJroEE0RIkTLLx1iRnIxZUJbAwaGn1wNQA1hPRyteO6WOwVOb5E1lYVnonIpQZT9+K2XBOC4I
Ryz5qDbzyGWdE7NvjSde5LD29tpYl1BHuWZ7PuBLwZNq+MVNkuEn70Jzj1Rodnyk4i4LvJrLgQUZ
OXhIbSLspq5KZ2sza1IwQMbovY+j3KEotcgTte6qxnuRWQamNDaWLOkvzNpK9r1pKSZyLXMMcuk1
woMu7WbMFwMYObqiUG2Gil1UnOdLr7FOIiQxy81Gd4nQ5FAB7jvoIxo1M8FRnoe8S41Lwt1TrXuX
Wu/DKCdfwKSbaUpulaWbsgVm67fwR6ZrZfIaJBZCXPAIko9JUdiMv9L0pQjqw2D3xT7WSFxKQl2/
RAU7C4bhE0Zh6R8YbwC1cLyLrkRfHLlqLUeXSjLreM4BQMEqH65HnZzksSziQ8kQlJGo9HaibEzm
hLm5HX28ukIra9qB7OgHwl6DNzUOtfKnQxlBnDbzUqzzsrhW1KabKR6Zd/hPkGGNKxkRDMbpF++1
0HRJVC0OmsE8cfC9tYqK5xIF3UedpXPkRmte21H0PkVTg3rWNZrq3/vzV9+hxYXy1/fnXZt8q95/
HmnMX/XjBtXtX1wH7wGTM7QibIl+u0FnLjJsIQfX70yU+4IENWbanGnbmCaEoImYU41/jDSsX+iZ
MTk4zDyMWUH7z27Q32/YEMkQAaijLbH4kyt+dml8vUF9r0TnmubtxURA2mII2xfohgEKsIYI1S5Z
jVXySNEWLtHbn8PK6RHyk7pTZd1VWud7iAXaorakTzhpSUxfCO03OuOf7RGmhLecLt9RHsSklHc2
9qs+Rdsvz/kEMJkxpA+ZrrjMBvHYA3KUtfnklpTXDhPIjffpQkDkkTB05TAPAiw/0M98NtFhET1Y
TvZSjPl9F1B/5gRhLD2lHqqy2WdD9ti42qOXkXOpbFCm4bmLg1OThy917oCugO9RGdZb4vrAyPjF
WHiHaitlfmj1/Bkp+bg2IwOXVMNGvEz6neP296MsqrXf9BvTnJqVjPi0ca4gY9Sc72WAR8FJ1Klu
krs+mwCM+dbaip0bMBjfy9q9Ci2AJ7JERiHmSDUP7ZxTdE8we97o0p69Ul7WefZmcuUTuVz56xbw
767G/g8WdRcGBOtE/ksim25dJE6xYsCRII/L33rdPccatQ7MhJ4md4bNmRA3whK9KkCqEzfNoTS9
E/sL8pToadm/b0TVH3yiFXxp3YxT9xGa0budVndG6G89Y3pKfVAZSCkuHN4kV1QW1QzCPCkIRpRD
qa5VV5/B+XwkkZuz3hfbnKywZVux1k+FfDR968ZsRm8FOvrO9OVHi41jP4bzl1ttuzGN9iklubcG
ykTPrzZt0xKu2jbRVqnkOTcj2HdFeyEDi0YnJsK0nKNThKkt1BRvhI2TFV3WtmxQHvioOBZtwbtG
VjLqEZS2n8CneexA/mC99eriGHoES09p7DNvI9Pe6qcbG5Vjn1mbtjTLJcghkM8x16toBuAHU036
XcsTZwEnhRfHQzzWvIepLHykktMtShR+auZsfK/beKK9nRzjAOoIBapMkGGTgLhirgAWqY3fSPx4
cjKkprYqXoWOET3L8Qb1mEh7Ee6wZWjLXAt2ItOilWYjFhEi36Ig3uoibJe10Nxdg76Su8V5J53y
5Ax5t0AgVKwrt8GwOMLoB1mz9tPhPi+tA7gKYtooZxfKaF6JFiqg7MAJYds1XaWDkkcTstQKKDjq
gOSToxXH/SN8qKpbV5+cLV4GmFuysf1+rULEwOqTykVMLIQusykmbHnsxwLGGKl9pX3yvMYyDK6M
cvCfyTdesxmwqTQD07soEMFEjWrZHgwLYfnwhl3/NiiFtvRda7jG+XtAJx0a68HumCjBQMI34qi6
3Le2IKOoDIeGpAYQQekK4PaSsdx1nquh3FJVyae4FyI8J1lBGR4lgb4alP0m/LbFtKpGGmJsUAxB
1h6xnsQhhtL270RjJ/Wz9DrfWwUGC9hVKVLlvcRWGJhnIYGVkbg3sDf5t938bDdNpJZ/fV3ehu9V
9Seb+vmrflyXs01f6GgpHDyUPHtfrkt6UYFF3zaIjTIl3rrfGk6X4DrmGiidf6Vr/6b4NNj8I/x3
aEZtQzLG/Wfuvvmf9kXFw6qedb+NZYVdPXoiHCq/vy7xDqcBPlz42A5cPC8la1TpL7n/XbgMo70Q
0Xd2Ch3mKWHvyhP6ZXT20r5U6J7astiQh3ZD7NVLXU9LMWrDFtPXU1ZZ27IgFylDCsUGDDP4Mzd/
sUhmRJUdHxsLE7ZfAwKRfntfDNkd6RnlonUF5yIHI/GOxbMXhStlyaNF+nuql98m2O96ND1JgkSX
6dAcAitbu4xglzGdU91yBUfZ9ESDukP8iCchbq4GO3iO0ux+cvKTG5VPpsIJF1vyQ+uzR6xjD7Ge
Mi1vrQ300M1kT1ehG9ssiott4UbtsseU5YQwBwyP8tj2evYQzKTY3rK3M7d2qW2qunMWY+o8lD0W
46IZ7T2LYVAFHr0Tc2B8GNqOfTPdT4gUrCVeOjeHvWQR3Bfqpi/am7FJq/vEGr8lBfgUVTKEDcSj
SBGNCxA7hRjOXAlcWb6tra0o2zXMklG/tUfTrPcKAzcjYusw6t+xZr/4Xns/QmNbjCbyyMnpX2JR
u4ukNM6JDe/HLkDeWfr9ZyPWC7NbauSEN7XvL8a+U2sxjLuoJtoVCX0B/Lytec18PzFX/cjgCzV9
xA75ohkaPVh7dpRvG1SGw5FyBNuCWYhmnzvgShsbYIvO8BbGQS4qey1DYunWyNYa9xu5Uv0+aizZ
rFQshhRkVz9CRZJ5tSKJlt4vKMtlYbrntC3LNYyityyoCB31sKYYbEUWVDf8rRerfqrflMdiwiXL
Hkj8nA0crcaMI9LWR3bdVnxjT+zNbcO+0AJiw7BE8z0EQEgteEoG8zlzhh75bndbtDGoGI1lsFla
34ElfchxeJ+aalx0dvLgk6owW31oXbk541oeq0wL11HfGGvT6q6Qo/grw413ZlA9O7HVbAzYZ2vL
c54ZA4IjMBXXvN1/J2C8X2QJV8eYEgtJqwp4Dh/iOfG1Cx8w/Crz6cmG6LtJp26lPC8ZORHxdFRZ
to3y4hpGbbAO4uG+IAKS1b2/TQKyK9CYwm1Qj16RJrCVPEjo/SO8rWv22MvR1OpTXz9nFiJSb9Ty
Iwb+KVzxrbjDoDJr4HAW1CvsVgKyFKuBgqDnHY+C8qYdc38fIy+eVHYxYc/BAPKhMMovE7OrxKYc
4+rt33vl817R/3a5fMrr//l/mf+evNc/92Lzl/64XOjF0AHRWaEqp/H6CnWF94r0CvCKbXwunung
fkwzzV8cOefN0BxxqM/Wwv/0YvIXm+YOTiywM6gtQGX+wXp57rR+E4haCDbZLc9myNmfABHyD51Y
5NiYcDI3umjRGFk2i7ytWT5+uXD/P7wEv/4UJKg0olyiXJi8PF/7vdLDrGhNVnTR5FGYrHJHZNCL
K3IjPUPG68ioq2WO4wszg5NBKwuiZTJ5x44p640oguskZMFkBeGJegtHoa5ZlH9tskj0UCyFH+x7
SOVtF5zDjoljq5/E1F/XozyXU34cKuMyrPyDiGIKaVJgFpEo3Y09klmOPpYQBOl+R+jdM5EiXIe8
rgH9avvBcVmBXFUqXqCjZdvu8fWDzWZmpEZVh16b0q3XD/aq0ci7jFyJaLydcpZuJKssK2k+eIZr
byn4jReZslfRDIE9ScSBWgfcXsk6H5lZ5qj3gavBT935LhjEvW7AtsJv5VyosR4xAEFyBEWGpXtB
FoLhPEyyVKuklMm20iZlbfW8J+uZuZUNiGXZWik9EMhSS7vEP6Gd+f4F6azzlTi0x3yOPsSDtFLM
paFLSrCftsNUMzHjQ0uX5Vzx82rjxRp9uz7KEanbykfLlduVNVwFOs0F/bJ7dCtlHzoMU89YaczH
jsEi9LZxugXUQoAlRHkL6bak59k5QYfXUfS1e5/nDrzdzCzWYGDNlSxQuSUtfNjS98d9J63uwm1b
e93wmp+gGtbfagaWwwj3ahwcuXDLcK8xhlzb9CgL8hP7m6nDCSYAcri57t74yAkW2LuAq41usMkL
/NxDbGLm11d2GT6iEetOvHXdSpWk31YN4OGazTQ+2CE8KPboa0aB07ZpEp1EBijfddBJ1P5lvVVG
t+vNzF4Fg6yvfaxva0dLz2GWnMEsksRWhddmbgECaAHpqGSXkwW08g1xVbv9baPb3b3fDc5HPoeZ
oLlX/aA+8rDl8qhXsVfqd0JrNz45JSDS47WrERnr0MKQQL+oVfG9rpv3LKzex2h8KCPyKozu4A7p
hgOEW2XamgP+fKfjdkPQZMnTBLmHhvFVWC3GVm2TQCwxuKCrdnzLwLT6+Rs9pE5fnxjbYWatxFb3
bKnwNZmUuVY1XHI8jT5D6ekkU7wJvjzDelj1bfxc8PbVjYG0z7HXUKE2vnR2rZhIDa3pCBE4MOWh
JvNZ5taZ2IMFjFY6E1DLtq/4HW9oyekFw8nHwepBauzopQJTwabz5HWTgC3oy+boy4GHGexqUg5o
CT2bpywdjy4fIkGqvXQrOjbn5BTGyRzyR22C9m/ZtyhBr7OyONn8dyfdU9p214GLf1YWa1Ltw7Xv
M3UdqQEjhqzMEBj1kn1+EWvxSx7rL4ybD8TzHPPEOUStfj31+ioBa5knyZlAAAY05XicbJsMErxB
DpDWMrZ3rWut3AqvZkCPPU79wcmncV9OwHjADJM/6gGdQOq1Gn0WztZgxNvSLRgV6NrNNBKW8vcn
Lwjwn893KeCPWdCI5oSgP5zvwagjm1AJzLoyljNZZlzb3RgTqtwlpyY1yHAiLs/Pg3SfFtO7XpT1
dVnG4s5BPwtlarhhunISg7eKXftRDM2WtLyPLI585tYVo6mInTATg00+8UwnjOxyz6qZEUMNMctO
rmyn2QFGfAUW3S4R1T1IImzXnd7QTJPwy+x62ZfLetjrBTV942VbPaq2ElFAIvMthJzvY5LetnZ0
aIGGTnVyKFt5sov85NTS3Taka9GZhzs5BNYSqwupvQD1AjPaEolmr2pR35hjqy+BmRxE4PK5Nnxx
8hrWLVE13EdhB2NLYYqWo7w0Q6xCpYIkMoTxuSumi6CO9nFvba2+CVdhUhK/Ou9XHOYcqeNvULys
Lb84kdtMXmPGRizpj6SK7bjXWJkU8I7zsYbSUV3GUXJDKiXGXKb1K0VJujQKQX5wdRUadbdKIbgs
CLi/N0d4jOycvyFZO4as5TAeF0Cvpk0clzOfdqsX6SxupGkaV6mBkgHtZM85ZNT599y1T6JETuG7
2ndPVxPTOcIi2nqAY5HiEirms6w5hWA7pEhYxVB9Q9B8hqShL2kp4rUZ+JfGZOmrDPjuvLJzdiBu
24ccg9cxDMuKUPQ+/S9OlT/2uBQiyORpmQmLItdzDkj5WiJg1e2HqktBxTKSM6JDJdtf9wV/6VGh
ZPpS6vAtWUzp0BWw4jDddnTWyl9/gqGmzHJYol4k1PeaugzbcBcWN2xzeRKgoqly40br//IBnA0A
f/tT59/7y7K4LeKmMA1NO4sxu7WkBOHAX7gVn3yT2iNws2jZONaj8ox9R7QkHQ4U3CTrZ85umC+z
anrKNfsUNqZY1mmwSdxef3UC016lIrpXTtqv/Ji+KTGflRcPBz0xVMvTlOXrdrKztUNI0kovOnx/
2Tju28E2XvMMwxRoB4OZVPiW8KyuSwHKixN4XM0QrGXXuretmUzY3+N7/NxyT0rfVTA237FK77iU
7uqq2qi6x+hmRTtDBBr4BSqUpKf3GadWLEt4xauqt1huoupH4EoHFaIqNHyk2e545KH/KOseCl0R
4pLDEtabd8MUPRLBcbAappVVTLEWeiDrogZHqMKHGE/REV7CKhs9GstECC6YmFNWPHZz1HUYpWcn
GLZZ1a9JEeQJJmKj8dNlYBSrPEqdRTFFzqpKvHOBExKpOptEohYdf7jFWEABV2h3bcOqzjBIWp3s
ZkufmS70Nv+m/JKFe3pdFumyorHGZ3DosFchiDd2Npb7VcGePRuD3eABuu6q9qJQ3JGg+fdVZb47
pWiXHuJAtNRbvzBPdv9/fpy/fMQ/7WS/lfM/P+N0FF+ftt6kxJATT1t0yq78C21THssHXJl7JO8n
h6tn+UZPi3X/nL30x79/1uf90J886vOoTElp63MA8NcfrheBk8WOqZ2J8VpkJ7ksNmgd9KP2aG8w
Kd1fasvTY7dmWN9944/kYjyJxSHceBckfKX/5V/z+4vv11fCYFpmOYaijfqj820UPeQHfU5MAx1o
ECYmHqtu9/e/8e/PrJ9/BnPDr78w0UhsZgPSX/Py3cchM17//ff/09/BxuhlO6ah4I79/vszMJ+Q
mpdc3tpVycygsqg5fz2h/rVwzX6rvx4Lb5P3LPu5cZ+/6EfjzuiXQZQJGnWOiv4Uf3+RIc2XFP/D
jM9wmAfjR+Pu/kJDbaIz+j9hOP/XjyUqU2FH8r34Qxc6htB/0rgzev3dx22eCrOPFYrv6TgmeoU/
PB0ZcBA5tI57KcGdgC/WpwLWWu5n14bGzb22AhK4XhBaVtew2lC6pB3Yl6lzTypyT1VGIFGRxq9g
Ng7jbOuRDUwL00QOx+cFHVBlTGw1jXLddu41ISMf5KeHSwwzwMzlVrOJpqpD5B/sQvxi62TQwQtt
p4XJq1UNaC2i/ORH/XUsZ299U9GIqJ0tiAklrGRhEBcVurnGiT1u2WFfSPj1oYQB1wdWsmlphke9
Y2Gl6a9Rqi8GMJj7yrGfCpPRbdW/QbM+O2yCrLXH7/bsQi5tPFp1lMrvDBZWMZJtevKGCaDIy0vO
xA1242wpO31XNvmxiwkV6RsRLWJDq9ZFamd7RjH8tvDwVnU+PZL3cnYmPUWtXEvuIrNiOGosAlNu
I6P1N1VsoP+ufJvRov6NFRYgIZzrpWnjEM/b53TwXkDbkdmQXw4jcmwt9axNWpPCm4ls30NOI9aD
ukzHub0SOL8Weerk22KGxJFcAnjJdbFmj9epFe9rv/QXgYy+jymjbIFRHUq4hyIc+5jhj98y2WIc
0/WPRmoHvWv3PZGKEeoTZDwUFF1tZwi62v6UEwDLspZslUE1pylO3lMt6594P5n4v0ypOpsEAXdJ
cpWU0QG06G0PvJOtIUOBFQbnMjhpkuZxDUOH67lIiH5TAARjt7wYuFD3Sc0dQFxusA2RRQ3E+5bu
WdpacLDjvNtCfM33vC4FfBw2CFtScd1bj3htFDTjzPApc8JcuhnsU1SWmbAPBfeD3Aa9lp1V1P4M
Z8irU84OWK94+jwF/j0O59v6r4/Dy+obs8yfz8P5q36chwwyIWBKZqNcRwBSqNB/nIcMMhFyMOBj
Ykmq9tctmcGI04ZyjdvVQZn5dZBpcB6CRKHu/zW66p+dh/Oh+6X8oJljps/3d5GOSkQqM6Pz620M
/nwMe7a2ZMyx8zCmJIZS1breURtKcczsek4IEGP7YkbBgSD5Z8fHalLY0ZvR0exgd+1tjIFJ2sE3
FhEuvrJYD1EY4QxUQf7AIIXGEKB2TRxSgERdi0IFihB88TeTzve9aYWHeD+zZgoQDK1sIBLLG4gT
aZEgoPKkYWVeb3abskK7dRjnWaLLULH+HC/GYcH5Fc1Tx6GqPjRqUhCTTCSt0AOjwZAS9j+Omnlu
qRmo6JJ5llmPaFcCxptJq18WjDtrSwCv7q91YyIwx6UT1U4myQU6Y9Ih9KAYz9joaZ6hAtRtVwhg
ghM7j60otKuoK6ObwnOOzTyDVfM01ndr/ZTVObM8rY/Xo2JVVMFOYJjWXg5NfanFg8PWC+b0SGTp
lKNnD3wMV4sE/XmxDI2x+oiN5jZMxC2TwtTicGmyK61Ebm6YWI/YUPqFCp6IX1jaZNh4sKvPnYnZ
0ciDD7v2I6gwNo4cWOFkja/c0UhvIYr0m8Jhb2mXk4S9n26zcp7+EiFGfh++hslWK6lnwWVHSAyd
Hv5dw6o3zaDlN6oH7IajtBYj4BEXNXwh0d2H2lmfjE2ndEL52sK8r2HJ4HRkwzomzkYkmEMTyn/G
vLgeCrt4trwWWaSuuSFaRszHy3qsou2Xj+LVzyyePykD51Uy/BkFXoHu6/cPNm1VL2IXiJoUQbEx
kl5+oxEj6wejY/Brk/zv+adzHPz1+cdw670KvyU/n4Dz1/3nBDR/YfdswUT6terjBPrPCahg/eIR
pBhDF85h+FtFaPyCVtwW4Hk/07Tnw/FHRSh/ATJlOSz8GEswlfhH+Xx/MuxDIMAIQRicw3xDdz4h
v8waGKxV2aCV43kwikLf6Biv7XNhw1f6EBPTD5YSkNdzqq9Q2NMuV4hv0IwOEVIbZcY3niR1w8GL
sqv0zkb2o+QbkuR6mbveN2BOt+ScpldkugaYq5TcGJbuM3cW9TlX6iMoSAaNU/bQelaHHHqtsbbr
sFo3qmedkerWaSL5Yq9lSVNi6YehvRwUSp6IVOQLrK8EoBEmg2sjPuLvyFYIxsdNZbnFoikJHE0A
JS3hMuH+J4cQE/Z4QDNzcvLGO6YhLuBYc4FuUPA6mN7Zj0IBGjeDawcroxnIxzCGeKnHdrEqhyTc
lA7TZ6Rdz4ni4FRDdrCD9k5XgVh5KYkrJLsUHH6jdlFF6q3PEDWVua1v0al/TFH0QnwL3iKz09N9
79keR2g03pNa5K3g55392qDKCaL3xp/ks4Trfj2hYOJoScqVXScM1qhomPO5mXvEZKWvVS+0g1kM
4mSFWbMNYTYt/AqHfWXb107iR7fgafZ9MN5pBWDz3ETaIJz82lZ47uFMZUtHmOCc8yHfT/FMHRA9
dfMYayc9QC9vj1VgPXeFT3SeMJB3eKPebP1UGymspqpS1WXAe9dJ0hTPox6WsKZ8HXUUpjvRu0sC
xZvLwnFL8gOp5qw9Kgp5p8k2Cfeyi6dD1WXuZYgZq1zkSDkQZ/IieJcuaTekzcTuR6e78UkS/Kf7
KVuirgJc+L/sncdy3NiadV+lo+f4Azg4cIOepPfJZNJPEKREwnuPp+8F1q97JZWqbqjHNbtGZDIz
gYPP7L325037z+k1bY3/+vS6ZiAgXv98dk0/9e3sEhP8dhIRMQuZqCOcQt/OLgHwjtLJNgXraRRN
PH++dbM2LbDA5SwtTRLs/qOphooLMw3iUEa2gHF/p5uF4PND9cZ8hqaZRlvYYNJ1psA/TWejNI/z
iOCss9DJmyBebSznWHCaLyWGrFayk1UTN9oobp3OQ815cGuglm7pFwvDsN7qJL5aSefMWIYsGvBO
KOGDt0ZRt1VbHCKFGq40SL1Fn8perq1Xka69dBaNRSU6kh6KYgt9c66PwVmvlW3iO0fo3DOtBBvd
uGExbwdQ2uzKN2kQLscOiqZeL+rOzBBQjjcRu9R5HHS3Qq+fncCi/YnSC7eeNssYKCp+UJIwx8yr
CMixcs19HD7FwfDSeTS8oRHCzqZbLYtqTnm0T1TiNMORMSqhFEc1l5OlU84I6t2PRn5q02ZvV+7X
3GEaDxqbANboImmQcYC6x04C7fAEzprSWKJg0V7LISPZCBoaxJAHWuyvnsWgk7K1gIoW37PR/gol
ijcSM9iN7OMQe4DPeA+uGh3ha71WYVatWhcIRocICphcYaxTiCAucDTQJZDlc/dcNd1LYk5eQEsc
ertY15LtjoNfadbamD6x/yJ/OkcCIOm0Em46DYr76MD6cFZNZ5Bh5K/V2oZwYoeXlEC5eZv2LHlG
xDC2ugT98RT4BsFnokCr5EQPRQXkFcn4kzF2+w4x66yuko/MLo8AHL2DH3knx0eklNbmsquIj9Zq
salc5mhV4d2JuKTC9xF3WrWz60yEo1T5X1PPunrusGYj3QPpTHbDxONsdOW9B9CJqmZlAuzkf9uk
E8FTtkQ5oDnHQhPWNwRgwfnskztsOhP907GShUktgM4TMqgFIhSJ3Aa4+NpsC59wTCii/ENcycUy
zzij1Yk02irVldHHOgRBKgdtTSAYbTZw0s84yjrLJDCV5NJMBFNCtldyYpoSqLUcfAtf0sQ7jQCf
5p8E1ImFKoCiCuCoEQyP2JnSOcGmyqjbhT4GSr8cTphR1yqA1XokIlWxA2v4AoawfCRuUl/4nsPc
HKKLdStyKLLsX9GoXlREg7d0H0iYgLSsal3lAcwkoBHuR+T1764B89Ensz1VC2tnpf1DZZZvdcSq
Lc94bHnOWvGji5bHW5ud/JyyCsKGBUzIatm0qfAOjfqkIUvgzeXLwrIg8/fhJqt7uQQV1BHPYcEe
gnQ4Z0S/QOxMlM2AH0zwgO9fbNdeqs5wzxfNfjZU0IErh7Tw136kbEHeoPbQ5l4YLxzF3bBJY9Oe
Ekppk8Qjx52e149aUcJdGbyFSHowjezg9SA8WEEREWKKEqG31p2DjShP+EIeaur+oW9WjY1KLWm2
gQIFMUIrMLDb9wPnKQnxtFelf2hzuoqxCAioTEzSSyImM4V6QnH3pep4qIMZHHryBCMJOTMfjrIJ
t105zciFWrL96Phup5BSDIVV+aUp2zMCgUUVyjs18PDwDyVjHQvVNdJLGXEXqrj8i15zporwajTu
ewFfB+9EsiW+yJ5XVrtBkNkDyDc2Uif7Tx3bvc/iMQwMainaMl82x85KySdJMaNHMcYu+xkz4axm
DNNMsyhE447V3ARm+6iKfOvKfmW2mItYe3L+9SlGSTO71RunngdjeZYqeg4v3Ex+izxoT6453uEh
nBWinhKEd4T3zMwC7WmPPnEcxco0y6WuaNuMppXxXDpyCutk29V7NR0nbiN6yUGZFbn6FrvM62rR
vOgBDKgOWRIMHO8GZtos97yLNtoHx8bwP45KgNOtY8gFgjDrQL3lHjJWkBUIHYxm7fj9DfbBVRQP
N8KxP3QxrtIELY1ZLyvQ2SuWoayvqYuGOr+pLfseKwt4ScOAj5kYDtMDET9FujssvLz9CKtm7/fq
Q9ykqCqzg+9USPfKgKRcsRBB+WF4w7JptPyEemBVhOM9MVUTWSZ64AReVgQWlwqhG57qPCtm+dgX
/b5LsDJUDXFMxCvOEXvuBVQKv5/MmN4eBDTHuBy2buGEIFXdYphchFX00MY08wtNSQHOjHU3t3t7
GatUcgZao7xLkMFn/lcc5QDl2qxfVLCRnHE8ayVLQ8oFXAagQ/oSV7SrFx9WjVPBqaNjHVB5NkOf
UogGj1kobrJE3MqIEPo2k7Per74gt17UqrODhnOuzH47Cs6v0tIAURnpfT8oD6RT3pG5AG0s1Rc5
RjiQDd25jVjUydG+jkCtmQqGzaWsEXIYsRVuZKrCmHBbjLSJprf+f9gmiT97fk3sT5NNkiEWuPCp
R/+utaoKmyRlQLln7ZrMnoxVe4OzfpbMnde7W9qfXbDM5vUmOODtWPgbBAiA0Tfh0f9jFPBPgSvo
Vf+6wD1S4P65vJ1+5lt5y3DS1oUlaMylMwF5/l3e4njjW8MyjlQSsIbBV/vv8taaJpqWQIX5/7WZ
31pzhp20+tjFTaT8/NhvqSxBJv9Q3rKsoc2nttYEw1AuI+un8rYa2aw3RmOePD0dyUYx1RwSuO0X
cqH0XjuSseM2KDMUipCYCGjSXI6DmlTNktkhA77aUOOj3QRqQoY50zWL3Fik/HLJY0CGDhaxKbhW
HzsjxtxTh433SBC4ki9G1ZMT+YNZY76tZAlqx2mh2FI/AI8AR5Z5BKBgBGowsLF/QZVC4HM98fKq
qsWkPjF8y6BMAPYo1cpt1LswFccyNZEvJqjcBvU2HYIp+LiXoPLyfZ4l+7RwD1rXPwzs9tFMYnbL
cwJh8y18NYxvXg69wQwDAkjJlo8xvc4CPFv4lkf0MT27F8u5IS24AZKikxdfsddByTxjVYoJLbF3
ZTp8FX3dL4KmfarxE+GdjpkCqMYiyYYbng/DqjNbpDEMDCm9ixqA9EgETm3G5Dbw9BiM0gCKL5Zo
44YFCq9i3tntV0X2MG4DD0EYLKTE1b72fZ6hqaxWqEY3gVEAUdbiQ2izxpmCFxCQJvOw6A5VEzVw
VFrBCFS/KrDlCqsRhD6784RlDr2Km28lVSlk4ewUiuy2KLq5a2ES41zze87nFvKbRpTe0MRvcsAu
X/rtgsJq1sbRAuiuMqd930k3WZY51BrUkUQA1D3z2DiLwENbpMbq9TFRoNHBZUG3hY5R87zHBnrh
nFydYA1NJkBB7t30FhImydNYK+pd2+DmLtTy0cuA6RMKuR8G7Vp7RPv1Mdnu8JWjNLz1sLpjyVpE
VkAMsjkGS9cYYgTzVFBlRFaR2js3qpFZeMH19yzWqo0GR3NupNnJ0Bhq+DqsPD26Z9j5gJ+M5qg4
Kz4gcNCDODxiqMMgjlZhnDyQyo3HwJ81qv6s5k22IFZ43XbxtY+MbeoVDMJdHyK/jexrqMKWC134
ezRpBHA4o7rxu+4xpc1chKJ+7N3uQZMVzATmSF5JhLjvnMPKmCshMBejfuuJPkbr23VzItUZEE0J
PzaZx3rdXAkmj0i607CuD97Wq6THAhGpvTk+R7b3UhjAGvuApBUHjzbhGDCopdrct4HKWixCaJuZ
/g4O0k61nNcUxCRmzELMRaZdkSqtglLe5ZW6VvTsBldehx1Wv0rmiQvbVxNKXrwGvjwGVq7M9ShY
9UH8GEj4DiSCvOKY7Ddkh5B4W0rkHbYzT8EzLPQkzlYwnAAY0BdC8kZo1wNPd1RWo2yn1546locp
7TDpiEl2RYw9nCYfXhdB1NVw1jT5XsYEpGRlcQIoib3P9Xc8/GOsR/07IKHbkJhhfH65Swg5Rotq
HD66lllU2yJtdD0h5wL31MSDR7tpoWdy4+aKRIlLhxUTCRlY2LM8GObFkBlz9s4b2oZX069TJoZp
ugTsANSvOGqKfI/qXl9kfUyhGQ1cUDURVIr6UXZy72XBhub8ObU8AXO0IDQaNXHea3uVInJl9wr8
9gbYZy/k1qvZp4whR4kmwqOGxnMY/fVQh3vk8ZcQdnsSh1u/Lq6uX3zUvVMt0q484NY9m0p+l9sw
hfQBIKBKUhcKaM69Msi4c2NmnVnTrcMoe0xx8M6tjoxqAtZnBrT7ZYfedR603YNTgR9qMoV7Os35
5UH03Ou1zu3Yr6IGHkFi69nc6QXK38F/FN17V4LWBrkQLNNBYi1OnvuBT1Rzmmvc1QLlbfZQTvkV
eqU8CGm8+15twBi31NmoA26vsi/sy17GUmUAx8UA4/EuL/nCEAvpCyOGMaZ5aUHulXXTEr5OigVJ
0F6HCzFuT4YS3fJWEfz6Z9jucmXISTfVKoCHYutgsS1c+PB0mgwzF/kV/VZ2xlXk7hNWy3FdxsF7
0sEjoF9j0d2N6YYd+b2eIow0rR5/JKI/4A6fxcE/VdIE8f3rKmmbDr+okqaf+VeVZOBFYfXG0O5b
vfNtCMgKl8wLKifMrEjnp93BtyppKoVQwFBUMCUEy8P/9a1KmrgApkVp8xlv/NuSlh/FksYnF4Dq
epK0AC8wdOaX31fZuh/nmtda9SmJTKT7WRzQhiTSHi+DaEcy3QPHd0cThWqr+iCa2qhbGox1NJBN
4Gnwxg+BHu8LOyiGM6g8w+IZz3CJR73Wm0UzS4zY19dESyQxA3IZB9WF4NAQnbLiOlnKXWI28sZq
GqdMF5aat0RyGkZXwbtRirB6RU1eUqvVsOQqbAV/XLzE6zCtqXLn6Beqv/X6EuNw18n7AsRHZOPW
L7g9UOxGYbLQiq7dE/w6rIQdpCcrjppbzYy6NxXDVw6R0PfeWln2nMJqMp3Q2ZI0CPcUKkxvcBT6
G9bpUMjtTh8umiVIEG6y7sigoTtpYVsvKDM+ss6uprxZUb7aAWqOuJaiQVZvQHYjcOYOBWUy5xM0
vthj7KxbP+4OHpWYC0hsHStSv7VHlYBT3SM1tlF7ubA1hCoG7SR4QpWBEeBGzisYqTLXyGuvKoiF
BA3pb3xN9aZggsBWdJpzOI4vXvTJ/+2PHLyzSDTiLQLCsm+KytsOqEqeWMvqmBAFoSa54y1GO2nO
Df51PtJ0S62sXbUqwHUaqqp9BH/gYI/P/NMw+eqxewQnY/LbO05cMjZ17BOzFWOTFNQ8zpCUaD+9
4YukkjlAMKseGsATq4p+GDZmIAgI0uJxZvpM0gYHwpA2gQY0sriAGRjVjR6gHGWzn+3BMrV7eued
S+Q6yQwKcGBj6D866ccbO0+8XZ9BRZkZoaUcySxSiUqpsJZmQxyDUWaTUwxgr3Ov0dYSNOSsN0r2
1KNw3F1cKuYD7LVH0JjiIBQ7P/PnuyslIk+jyoRc1WWpnnlYkS5hd+HWC1J4csjPj7LKh1t/YmS0
VUftGDTEBrWju6rgd3qLf05WHlEGZ97fnazX1/S/dtlr0QS/0AxOP/rtgMVJDt2CTTA7kZ80MsgJ
DdtkhmBh+voDB//tgLUBxRMUSweq4dX49J9/O2A5e/H6/fHLPlczv+H1w274py5UnaKDTJpheGhs
Zn88X5ETEiAuh/I8KGgc8pmg7YF+B89zazZ+eg6keQx8yz+ZBrFWWMsuGEbxmHvqre7K26hs3jNk
MbO+97dhy4zQmmC0zSEChay04y5ONdJlGW4KC9eNJC8VVw4xLtCJmuTEomnletah8pUVifEX9Nb3
1pA+Gn09J4nk3ZY2CjYbfHS6jaj4fUUBqezrW3KIHgDEYIFWWarEp2YIFuTBnYA2kGdh9gfTHtdG
CT4q8O6NAqUd72gZl90bobVH1yHuq9RfdC9et3W9S12TaTVbV1mcXN8/OQyOHeD0np+fGlIA9Qyd
dy8eWaZtfI24wmGYKcSNh1qIEFdbIo1fFEQP+WrLrqe68f3mSErNHE4Z9zUZY7F5KnEZsfGsSkcs
k5C4HLbhO46mV5dVeGDKxzBst0oFuM2oqK/GtRKGCww4MzMvr5j+cP72wXmSp0dWt9BC894glHYc
qtvErt9SQXaRnZ58tzi0ZrL5jGUqhw0nKqia/MMKc/otGlFY2bonb61pMWAr+aa2GN/KmMdFwzRd
G1CHu9GrnslbJzdZ0oIoiRvr3Cj1wRPJYvTabYkjprKU29DBoqO6DzIZ7tmxL00Q7rPCpwWM6Pt9
Vy3mVlIcmbh2K7Mr+ks8NO4iC8xXq3XKdV70aztnLur1+aMQuT9Luv4NqjuGmLL01GJZDU4HKaOy
y3ATOqm/xQFQEnw0jj2D6M8IbGLPSesDWb5o+2prKBkAmAIbKMflbZTV+S41CQKoCvQ6Wqzpx94Y
20U7AJzF2scyKvXEAs5MeCs0sY4EsDWDJPaQICmebw6Z3AGCsBTGP3S7ieiR04vXthrSFHZy47ap
weh3uAZyKBY1w2FGn3RQY1PnczpZpGBedQ9ADMuB2aDIjcUlsLFejuFHZ8B4c5RpX+5+wQGJN1Ge
RxizsoxOLHG6RdS1ZCC772z6jjYrJqXj545lA3qHf9vMC1zvCDI8IGrZRWQ0yA2OpLytakIPTW0+
+jLCaiDfPEZBM5UBCaCWAgKydE5BiXvSwqfuKAjyW9kk87ZlcxoJ+93LCWUaxL1hmO/8/VhMM7Wa
DwO+PnYPSE4Tnn+g31AFR5Am2lxDYlUudDs4t36yw37yIPvho7FU0vjsHW0cLarSLAPPfwigizpJ
XJwGtytWOM4AAjSKecxi90rSIuFOTjShYie9qyQjoiMnuQtHPuUi+apkgJHVnjBljKXpKiRf2VXi
dTgFLjtj+zxO8omYLGa0LG8+2cw9ioJZOcU1o/za6FOAs8WT2bPB6YhCrOycUM1CF2uX1Od6in/m
mAJybWwDr6lmDQnRg6fzyxX5JZjCo02Hnr6p35SmXOAQRa3iqouCvGnKIppq2pZR4HORUyb1FE4t
65JtTpnfQXqGYxQOAz0s33vvuk9YVRp20q7F9aWviin62nE6btEpDjvLuC3JQaz48/QPSEb9up3i
sxs2jEBJu1mXkKwdjCZ/W7vLIUL3CZ0nLhuskDqaEPXk1+1Dqqq7eorrjhXHgYnKSILa7RD56hVA
3d5I/TttoC1sSf1OyxDbl+zINCYRHO6fNkuH6L70pTELktxaxFZOu+77RKuVXeX5wLSAqDJIUxma
tP5WEpzpx5jnUpXoVnXERTakDPvSKskInhU79ueXPKkIstT6+BJkWPP+qUU+axHBcuGvuzxm4fV7
+T78Yh7Oz31XiLDlJiLIQRDLOPy7eTiFCNwAFGnmVAh8VhvfChGT6sUhwRBHA2a5H9s828GJMuXO
0OUZv6P1sIw/lSEOnQAqOVsH4EGY4k9tXpLT0Qz4AU+JPrarHCb9IlOtZwseSWY1j6I276PxAsx8
LQptKQr70tTevRtDOBsoeiCORNyHw5FcC0/5onfRfQKmeqHp0wq2TOEeQx4nv3gLdnqjevSFDBBX
hlaSM8jFPxeq9qKkbf6m1WQMgvPslgyz3NUIR7wLsCm4XrkjnI/nju4/JkZ2AP34PCo14k+7pMoo
Xocwuji+/lqa2lPfDmJu1v2xbsNsPqBvJ+ou3DcNx6eRZO0j6esvQZ0H+zTX3KXWgQpT8/A+auIX
FWrdVibe1q2wrVLHbMZCvLDTPjnQ+glJu/LwBJS5LBwMcfAu7xs/eCYwfdOp2WNVKt7OApTiVGBZ
0pYOECduPJz6IThNgSrFUGIACPyvGZEZPBiKWWF2J2fKDskCsZVgnlHQ+kOGUf86+dusVV5Hz4Xg
bOVPXEMMguiqtYtYkqdao8yZE1Fn37vSnWVGVW1a00mh6+nr0FUOZpJ17OetFptbs+wypMQQS001
G1cSaMlkKgAUG38tFXSGtajIRCnVdWmOPnaB5mawHcwhDCFVHrVrP9Xf6yCQFJW8XhzPK8Mjb9kq
3zhsAoy95sG3x0VWhaz8XYc+3zpg0j3HuXNKcrkwQ4N9xBAeOg8mEXZJywCYX8sedILKYhkJN/K7
cQKldi2Rq5HkcWIhdiSbNyHXFcjPELBnr5PxxqmtVyNXtp4S1CtQO0hjiPIQYrh0llnNLQ3bcaGT
WYxSCCz5baqxGfH55pRcvzeyblYk9KYqOKlDwQ47trNjHvYvbCsf/Kp6ywu6N60DXDeaJkPREH7Y
UDJ+BuKzbQfAZy2ciCYgRGa0mfQFfnJxK6nPo7bfJBqywpK10mwczG6GuULHcUOEvf3B97HP8vws
EVRFBCoZWqzOE6bmuEEF+EH9isroBYjGvtY6+IiinY11unOr+qASJy4StCKxmm/t1n4LadYd31ub
UsQzE/9nVwXXvFHug8wkHRKIIRZHZKDbiCRjsl9e0iq+NyOIxPHYHaRe7vUmOzZtBJM7ojpM2nXv
BgfZ8Cwau03uZFutZLzIgrrw/B1yckIdBn2fY6juKvVGJb1zheyayXL91FlMpis5MjxHk9ggzRxG
a0exfWsE+Z5sxo2MwMHjHG/oU/B1q+XRy61zmrdfqgDZkO2Ja5VVjww+9+hfj40v0bkMt6kawxjg
po9inzI2ePQia2142SYxA3s7GCnKHXQCgVUf9ZRChCnbBUTill3iJVFaIpGog/2m3NKePFG8xIgy
YyQmornF13RAq8H42YLVm47JE6k0G6thIgtHUcDunTd2eqR7eBltZ90pYOEdhvFB+5yWMAsN9WOs
PBBfAVUD0TkBq04WeKOSJrciYOLMXCCmysmQ8Ay9ru8UyZiiNOM9AqIDuUTbvm5Q92jO3vf9s2zj
vesN3YxwyyMYrGQZOOlbC7B9ppTxSVGddZE5pxKr/0TPQ6WvaksyLB8CrTn08D70SDlpbngdp6+Q
qLO3HDlnVnlLXXR7zVMee7U96/RPatQvfNPKlrRwr0Jh2RXkHuSvgj0LIC5aPmOVNl6wLmwYuHCb
BoclZx2UmygjipRsDKpu7QEg+K5AMOH7IfYK5dIGVL1C3lkexWYwvoWxdUW+5B1So8i3qufe5kl6
VCZdgIueTo7Gi5abayZmaKSIgAprCBcdjd5mamCE8N4j9gBYjDJ1P1jDQWO4ttK03Fipgb62Cmox
Loqc+DI2OKanbqqkeaq64Fqw0B0a784tq02qsMDsJ2428F/e8x1J7o81oM5tL2+iiApdbeciNKH5
J/3akNm5q727QB3pQMx2o2C4rkd7W1YmcmFtU3oOH412VhB2z3yiEdpGXKMptkLVUoJxMWXNWq27
5Lp5rGKe98u4Ih5j2XRF8GAkQc3hb1p7kVK5J3bcrvwCvVIx0oPaLXcnm2i0XjOz5C0NQ75hLbC2
vNS5QZBFiEkN2hGNDGyElqaaIFyahyZ5I4dlST8WrnjCGGzgyLzPRUyUBfCrrN4QkcLYNq55xLRO
uwvxEpLANXykJT0bd/EsIpVjroelNjMDZCdGHD+2Ga2ZOphTsU+Ck+bTcs6S0MSFmHiHTqsBtoKc
ewo1C3mjMZbKpLMyLhXYUwZiI6LCLpY2/Qmu32XejVBHNeXQ6eUOgMINgMmV7MMlFP+HpHBvvaJk
/Ag/1iKvQ8QEg5M18uR2RjifuJOlBjeyjfp1I8mq0uv6rQUzp0X2s3T1Y9sNPGSCBUSRVe1SLuvV
XQ5GYWFb/isn64Oqlxu388+qgQou1PfJyMfk0CpzIWUMHfWnfDT2VpAc4SLp7EGSRYh8XckTFrE8
osuhsRdm6Z5D1tlxlN0CUw2INBi3uWcejD7YaCXslijfJg5m7kyNFiRTeARa6BenS641vqM2g82Z
pOkd/LKUBXS0Z7W4VVWFOGRtTim0Fn2xrV1EeBEja6vYeyjeTKnvmeHssH6S0GEjicu/sP5chpF3
6V0qhcHImSr4y5Kdp1HU7whlD0jC5hUXXQ9cqHHiL6aOtqticpupwW0pYBUKmirU8TM9MTcIoK7V
1P7UqaKgcyOhC2sPjs4VRMyF46KDbRxcOqG2SRrx1NqkBoZav6LbZ4WvDJQWxQzgTsHpHj0hQZt7
mkFme0mrGdHdNl4M4yJ8cBx3rdvjjdqCZYpq7W7otJUe5o8Zag/2owjwFYJr3TJr5xggmmXt66fO
UE+up7+AtDeXAZhT6Vrw8oMt9h5nRa7xHqH7ez4QG52TFcv5Xh9MwcXiZZ2BfgAdA8YwbUniq33O
tAxgN1vj2EaWX6sXmMIHGtZxrnj6qqpACruGT/gfg/6NP5jPRhcOV4eTBvNqf+h7u8GUlj0yxbjk
ivksBAPhPCieVKgDM9VsVlHVIq+seNe2q22c6egpUCm2GdkiXgm53sijY04QS+Qp41kR5Z71SrEQ
ZgWSvkzYB/a0nAP5xQT3fQwRJMC2uHpBn6/jEVuDxTRsqBswQtNT25BPvcaNFqqgDsreYa0xyJMW
BSci7OYylP7W8sfqkLvsP4JefxRe7O068lucKn7G6ik30+0OQ4lRSMrTPCpb/dn2a2YB8oJaJDg4
OiRHLd96uXonPCqazADE2zWsq7OFmkSHwlMJDpHg84zko7GzmLNcsLK076IaERZ73AjRRwuzb1mJ
+mnQilunL1IClqxTqHmnhGRE+IrDHmrfQxE7z7Jn18E5vDf0MF02npmtRC2fx8TZ4ntTWDkEbNpb
frFSaIh1A+IV0RpuwpiIuyrNeTp6MlH1a6+FgjaiLNHkQMGSAsGFbipLoeG5C/9off+S8zCpzX7A
PMDuxmDOoFkjm8z8OW5XBKrKcicNziG7lzQ9VmM/c+T1u7byF7azHyVv0A0+XwR0F+QB2Kifw+Tv
JG+RCziNFOngrA54do4qOEdF3tXd3d+/DJ3on9+LBSJPTpxT7G0/zqRdVXXoAlQKd/HRZfeKvvvt
34++i8G6VGk2sYn++PsrZyDSy0zic9pxoRF5jZHiX933Lz6mX/z9+GEFnxAfFLSJn2bqJG0gwzGK
5GzTdxg3hnP4+9+P4/ZvP5+f/n54WBoiLT4fmayVZB4RNGktJKqq9zhc/PZLTRge4O8SU5rh/PRV
xDaqkG7MorMabhqS4Mh6Qi4j5zyGlfyPHf1fXsLTn/3TJfzD1zJd4t9dXaoWJK2F/4AM5zkqC5hR
3FqcqUO7+v039f33/9ObSi1Y4XCdP18I7ROOyd5f8RyZHsX5f7jWfnFfWo4GeH9iGOmgen98U7pB
zhwP3vRc6aDkX9sequiXv387v7rcvnuJny+3ER5vBtkqPaf2a+g+S+X/cDnjX8QqBMEYn+M0u/nu
ewmL2KglBv8zgXEQlVjG/B8OL3SQgCuY/ggshOgTvn+FVEmp700tO4/Wa2edmknXV/+Hs+sXNw03
Jet9A9vSlCP042s4fpKngz0m55LCb5hPujrjwng4Yxqv/4cr+RevBYaD7bRm2chJfz4n4RcwZAuN
FPscNckSZpMPZK1AObUWt59f/j/ClgnG9a9Dd/Fav/7Xe1rTtJ5ek/f/+e/9e/mLvev0M9/GnRNk
VTOJujCn7+BTvfJN2MJKlqNZwxiLels3LS63b+NO1CuQVLnQVXhgpjV54r7tXeVn4AVmNPYe9NHo
iX9j8fp5Cfz7sEP965g4rRzILzyrJx35j5ejpeUeUTljfbIqi9RE0vYw0UzkTauQztpq7VfyYLtV
kRs4r4YxlMouqexmcBZWIMLnQGiNe/bdrCm2wDkwoDMh6tQl6X+NdZPLsuxu0i4/5egD75SyI0AN
srxFhNtYYR31wxcd/OplSAdvzbQVuYzndBnLvnRS2Ag5+qv6UyxQAB9ottJVEsL8tE9QfQIWq8+B
Y46MKBZ6Y1ZBBeOgD7RdkvCwuHojPrd1ULihWNbEE6wdAHs0JKm37tvaXJRZF9JkDMWyI3x6jYpf
W3Z9Ma7VyCwfxtZvEJfykB6XesXEdDEIZ+yXcaObBd5lVwE0InOlwqw1msdmqHymqyIzrwGOEGIo
yWRgFzkgYsv9qL5GekxkpSnz+NwjpRbrwuK/D16VPY2dZKGTE+cXQljwM2tbsCRUl//con9sJThD
//oWPb6nX7MvwS9l+vzgt/sUFyo3AigQFPeoGn4g7cv/B66LPSu0H1WCNv7XfSpV8PyCm4hSd7oV
f8zaRX2GesLikfJbWwlwCtyE/75JJweqgQYDYRwqDayo0/Hy/XPJimvPToSnnDUlnrNc1eaqHN9p
5LFxGVAlGhxuIExX5afnjX6mvHUmI5ywWgVTnDUZ5LxPr5yjDWw0K618dD+9dIZCRrlJIuY0MpZr
Ru7ZrBJoFryq4z9JB0i9rU7Yj85eEzjRL9tccValJp7oMNQvXhEn80L0+SrzrRgtJuuN1ptiujP+
rc4hMmsiUb7kAGlxB8RYPf3W2HWptQvDktGIXjJ5SWhYGmXdiOYt6QVrQHzqs9hJxSwWLJmV4Th4
mTNLLGNJFE57slMVh0sZeksH19+6HAZ/WvERBhkBv8smO9zgEPvl4VESbslgAJoocvTqJqxSssmH
On5ubWO4ahqC5YpgECU6BQx3Waw6F2Kh8CsIDZdDmKFmC84EODKcRT1gszeRdVzP7NbolpbdMxTD
bb9LcZ3PDD3ot2iA1WVlFPqEZiaAxu7VjM+MoTZfi3KWBZB7gwUqLit9XrNDKBCcce5m/WW0Q2ud
VjK69K16znLf3zgRkytXwaFBRvIYrIhbT12mDYTGzsKwyzalO1nkhZXi6OolVjvbonkPfZ9BmpPm
7tXgZdftJ9OICzvdpmXbrkkqCnauqdjHQKIgnNWOe4xMfjg9akXjXrTGf459gwlaar56JUjPDi7A
kufVc6TVHjmq+YeKgXZeK94hnsTudsjkCWgqBUby4bMnL3QP71lChZNY0prL0saFlWIxUFpzW7b4
LoVBnmjLXMEP/5e9M9mO29ii7L/UHF7oAxjUJJHIhkky2YviBItUg77v8fW1I/2kR9J8UmluDzww
TSIbICLuvefsg7KflLGtGfEvt3E8bbJ61O+z3C7ITRl5AZjmZJrEMOrmxcDA44xxGxHHRmZcWVab
8mkDWUQ2geHC01vUd8T5dedN7arrnhvtOJSjvWlqqz7YJoHpSlluS7YjElKXfou68ykboGWrE3mq
ytSejVNukCQXaqiKA+cypVOh5O5XHQC+neTXZd/fB4px0VYCGKiuVJezEs97Xa77YbnsFIuQ5Lyz
sjuVhGHfcb51ynSIM6ippjifo9L1cTpv62n2bUZQvOejMxfnFlFry6AcLC0+zyMn9OLeCi4KBzl2
blfGpo+IiJmncF9H2Z4x+S6t+ZKcSJxVYww5NBHBSk+d57AfeQLt+DgNpOJMhduslG7IASXUnmZn
e7ezfIdskrwBjwNS2CuZyAhU0l2+adidq7T21KEt4SarDMrwjRFOKlCcuiMhaxrkMlw/GLWn7N7J
8MWb/T2OSoeb1C3tY0D1fhY4y/eq1m4QAO0FTUMjz30GkQbazumAdBt37PAc2cYWXYxPdkSF2dy5
atPixin1ry72hVWeMWZz5xtTYTAGiudirslPTk2v4juG+kqjXiPAMSfQb2EkAwPuyzLPd2QWwvlI
k33TR1cM0Y65jN5gEhJM5U7kzBNDLp9Z6nVeTJdzPXs6IOQioKVFrzlalC35Gzt6+l5eJVgSp41i
SYCwHn+xnd7LECspEMHSiHi6qmRwoyLPIZwIsS+41j680rtsHQ/hbsIokZfK+TDMGwK10PBxCk8n
2lr5d6JZvABDCI4xYvwyDA3fyqC/mTq0PY66mxk1xmPxaNVwghfmxybX6BrPDPQjsJbbtrM3JioS
K5xwD7h3WYJP080YhJajus0JVXADumA5YWQc+TaOSw8NWCMr3AagntdGdHGdySVDJdob2rybluZR
1bqzxXJubbt6dKL2JqSp3+dfi7n6VqsqKHQaosKIN8BHNi2+UcJ5/UidvdCIrg24IuVg3OhB/l1j
GK036kpFT0bzeae4w85plY0aZbcJA+vO0u6JSSINBZmKTdc2UBCvqv2GR/GydZ2NZrRnGFO5YO2H
TOS8qWjXmDzQh5n6l7EvH/lT5mZirj63Jg4d4iVozo8eMuvntmi9wlEOEE32iyIwxjDSGqi1Imgi
q6gKas+NZvxcttjq3fAp74unrsb4VYk96gMSOs3AK7tmV5DSqE55SYyNC/h5eBwb9VPZJDcI7bbS
QxwHBJVq+NuKbic6i7tTbGl/XnNyPVRI0wYFG0Qsds4UHJF27QuTJnqgXeA+dQgajTc53l2AJ3se
MHytDh4P99zQps8VRrC5gciKsfeejuV127THorVuoM2pBHK0t71lrYcKc0eDzqawsvPMgrLl1Cqj
hvCikQvVUj7OaXfQidKpKnLpMdLKhLZ2lMVJcQiq4r6p5jNNJ8RDN6OjEqjBSzjH2W3bmpO36N0Z
ra/Vgu9o6JgAKMlXzBb3SZeLvc4wm3F39xlf40qX4q6SSPlY+2oTEFV09WPaRHtV146st4wWmnRL
RN7BWiStNhOpt6ja58hqq41rpHd509GundIt3IurJEUdmYLVKUos1Jh0dkFqe6OuMANcSm8gjIEp
CGzDWZcYRUCSxdUU2oz4J/JE5q+VAryfsXuHrB6FNr70ADt5MgjMy6HfRErhKZwQ0q738oxNYnKL
3UBe3TBYG3TcWxT+m1id/KKsWH/ahDzcacELXxzmLjw0nXVXWpgBG2R1RcuggARNBAPKGenp3OsZ
z+nC0LDcZ0p3sSjj57apvvSOZJFD6wiyCXYY3atcZft7daT9oNX3rr1zOiEamo5w1qBYdK13ZVw3
Nk2DRFg50rCPMfOX6Q0Ig9+0E941xv5zEVt2kejCGfq7flWs5KpNS0M5Ts5LM27H/vNUfg+NdU7b
/Ndv56MDL6zen1d611ksA0Q4JBIrR925jEz0ggJ827Iv7Yekf4pL2/v15T789HiaiAAxNY1S+O35
WndowwVZGV4NylPXH+rwS5F9+fUlPnpHnJY5LHMZA6Hz20sw65xAPlTR1WCS6LTtUeBlqHjycBvj
R9C7y19f7oN3RG+JooW2Akgd+13FMBR2q89qF1/FkCNig2ws6uv0N+/pXcNP3g9vLiJ//qoh1wZK
Z9kBF2G2sOqa88SNftP2/d3bkD9/dYWhWzqUtVyhqS5sUPNpeReI+DcXka3Pd9XVm7fx7qup0jmt
hryNryYFhqrlufEVrQwWuM8W4pn2qPftb6740duizSjN+jaNoff05DR28rhItPhK1Ne1GnqARkTw
/c/vAOYvJEoZ3Aew3N5+dIFlKLYzNAnol8jP7TXqAW/M7n99kY8+OuR6Lr1M2ou6++4igCmEiOMp
4fv5XKB6olJEgQnz6zYhXGwg8zu4/vUV5T31/st6fcV3XxZQekIstDm5Uifw5u0ngwPUr6+gvf12
MCCQXCQkM5QEJDIzZbn/+qZrS6zQ0aTlV8l5s+/2bJ4XpUd66XV0Y3mFH28cT9n8+ppvL3kq8Fm4
//s5vrsknjEC6aohuRpsqPWgHHX6QXq5+/VVPv7sTD4Sdk7LlsH2r9+YvWi26EDzX8Hc8HTtIMO7
f30F+em//3ZMmvOkQrmwwd/f2FWrx9rcKsmVoPSdHZ3T5lNsoqZOkt+8l48+sddXerfAURGXjSbs
5ErDVupcW8Ftvfxmefv4EmhK5YSR7ui7Wy3WUkb8S5heFcXRYpI9EayLXfc3W91HjxA328+rvPvq
mTRH3RxylTj9kimSiepLsRmOffIHlXSbWb/5jv7xtnSSvoScOLIVMU55d1TA0yVASpfZVTds6+Zp
tP16ufn1bfCPG+3dJd7NOIoh5AON6uwKVy0EUjqnifWbj+3jSzDKwrWEAeL9sCmZplwh/Te7arMv
yrJHEPebC/zjVuY9MDylyW7ReIO38fZhYekUiP6X/IpzXt5bXpTskV2sCvfb6bP6d3AiZxa/6Mo+
Nx851uQvverIIsBmVPYhFxDpOAc11hmWG8nG/zE5wbGmEx7Ol8dySnoc996PyQkgFlpUlNQG8HyT
yLc/mZzQG36z2DE6oR1LK4Mzo3wV/MF3d4iQYZGKuhyNPHqojayDEj5LQUdNqsmSb5zapvAp99aM
vnhyH8B/kHbdI4HKXfsuccwLo+z2sLf8enCCdi1EThsvJvPpPitdjMO6eh0qBXsQ5jFCHrNEedEz
oEWr4sQREiemkHXCC0nQUCuRQ7mED6n0Qtdlb9+OEkzkDPPRtXAVT5JZFIGMqKEYzdCMSqhGRmn1
K1WCjsjA3tuQj6LYOdMExTVEpIaZJMDAkRWcThDMJNfByj+0QJQ6Q1sFcJWGqknx1xffZ4lcimAv
BRLCpEsck6VPxw4+U50l09rCj7cGLfq1lhCnTiVYy0V1E6rUplUZAQYRtsDmqkCFGqdS8SI4URqm
LwMFWQ8/aumFx7BKADEDLaXpw6EZqk+RZE6Zgk5tZlyn0Kg6K39IY1ysDZyqDvnWIMFVWjD6eVV+
R2G/HiBbuX0F0M7Iz6sw32v5/JDCwCKW/bvaWPMaEbXwdAOM2BIDvlMUZEZGlu7qFm60EdmeAn1v
HehU6RbhIkd9rmZvITOPapnWX1SOXifB/yUqnVUODsd30hQH10TPk63mSzQTz0nnZdtJWVlL27Fw
9L1rG7u+b45BBjPVYI/Dtt3ULDq23edb2onUnlaW7w1aQW1rXXQT0BCjxOIYFcPGpIJP8Soh0VJW
Zj+tk2J6RjZEs4OiE4YiEWETjp2I9nxkKM9qA766GVBDaimRV637DX6uc8E4g5672vYbvY/s82w0
dlVSNLdRS+Cc3iHc1vRQurbcZL0g/8XgtHitDaZDtlCdPNe2JEh1G/oR9mVPPKJQzL1Stw+qZe3U
Xn8Yhw68XdSq667VNRJW9OS8ouLGc8UALrIIXoVISSdhSkyQP0qwnSkUL6vJwLWml2IXp8PWNStS
ecKzPAVkMdX6M5UQ6jR4P0eOJSMJteZmdvJN39G+BL+eedZYvMz0NPUhfixD4h2AgvlhxPeZYAM9
chZEGpZvXy1q/191uclqw6CWOuyUjfl2jaiMiTQHxdWOWX6fml/p2/w2nuof+zl4UlfY+FUo9BhG
6W8vMVfh1IJ7N49p+9KnV3N1V/xH6PPvHqVxrPjfe9SB4rhlPzrN+/df/+//0U7jRvlLP/YoCF5y
i2KKjxX6H9N9QkURk4C1OBmTfm5RNs5p/hHsHwz05AT/5xYlqRXM+4XUtwig3X+ErhVvz5ZyuG+Q
iMBGqNJwYEuUO9ir8lkLjI7aVliXdLWN5l53iRAovGLOtXUUKfhInYQT+0XrpAh//86OJ0VeVdA9
nXLlm1hmzHenvPnZsdt6n5fNsp7/TqS3WkbxbRucjYDfo1WZlUt6XebpJwY2N7YWPU2j3nmQOy5n
G0m4WdAMXASW2bCOXkoBkFNXSbhk7sr0jtz7qYNrWCQpKc7oPUejvY204FG28aJDqSbLDGgqD6cH
VOatl8f9Qru1SSvc2PxV2yv7uSsuTGW2dzNuqVjapnRpoFKllSqQpio9WZ5CabPq7DzwtKrYtFM8
esDCdmRW7mAmdkw6ixdk0gmwCRrMi5nfxzi59AtUOxclvc5J2rxcafgKsuBOwwGWl6rv4ghLlmsN
f9hIVUqsuW8WTJ8u/j0snp4p65cP4gOPYN88//NRlL/281F0/qKTQga9UDFAvAlF4im1BNN7BFeu
RI2/Oi6af7mqpoN35mD4n7H/j+Oi8ZeumbRUgR8I7aQI+AOhzdtVWj6K1BAaKkykseBlTfmovnoU
J1UJh6Yp+ks0KR7J8TK+HqtD/puqRTuJRv9bgp8uZAFlMNlxEC2o70+lWtYNtZ2Y1aXaW+59GtWK
zQiW8NsdS5IFufoUgctju9wmADlXdGHx/Dsi/FyVCfi6kPxcTeQVPddTqO5s3BinoF37FLo7nAJ4
h0mG8Y5BPQybRAP7O5hDDLZWyY5jkrXYcaqq1P1yzDAROUoYwLdug+IRS7HrS4A2OUbFFyszx0sh
BTFmr1YZDyQ4000ZMCXMAOwpWYs/TcRjaRzVQbPS8yFLjk2XjoBti8mL3CtDU78xSPha1OEmaNU7
MdS7AsufpdjlVld5F2TkAQUNNm7uW1O+DyBkrY00x6XH9C2b6+9g2m6WCrW4Xn3vjeE2AwHvj2aT
fCYTqF27YdpfKKJq8MJb9lkWuyBu84xutN4SAaUY3000BTszwOnM6KPy8yHABZAplq+PzoXRuZeM
pHDM64TfhtjOtwAM72dNecxwMnI+jHDvdF2oC1Qc+AFCEkZ8GESxj4iQP9Hh9EGNdN+YnTExtCui
mxbGld8LrfHdSZ0eQQXNfIp6Sexfih/cVBqogdZyU9udcxYp+JxebYIfnGkkzPJVl+d0i1EYq3R5
aCQAWn9X3uPcJBEZr9Fl6+fPI3zF2+WW8NhVDWe02MHoItrXz7fCb/yCRD9zY/j6LvB+N444leD/
vdVPIXfsoZRgFq1oE3nw22cKRdjYM8EsLwM9PIPIN3lpyCivGk195YjUpa4KjE3DVJ7131EvQtEE
ZxrfEea/3MNJdekG6kwiw/KEMcXdtIwvN11XbRhePwkLAw3WUVDuy/SpzioCfRuGxYJdbz2NZAhr
UZKvrGjyZwNTnAb8nQib2nQCOTLcLZRHs65vqRuhUXREG8cu4PC82CVAi0oDpwDAEn8cw3M9ILYi
BfHAUI9qISfNiof4cpxcY1uHEs1shPchag/NyC/6yVElVgKRGjeacGuTSLLk9tdfsWw6vflkURnJ
jhfrJcJE431f11300a3yoLlUweZtWQgyOdJleBZHvgVKaGXWIcv1z6PVR3fV23JaivrfXvPdt6lM
g2iGNGyZUhuE1zRE2YTlemnFzszpwAJuWoU2PlNR156VAZewzGLGANLD0Fasc6aqj2pMs2Zole9B
am4owy9Q412rwfLFCuunHHM03uy6+hvA++/h2OAb+vkN/kP5KsFDKyK9uw/AbvI3f2zLiFzRmDLy
YjzAVv9GV6fBfDOZgtD55nZzWWd+dHGw+6PEo5hB2UBnnN30x65Mmg0OE/6TzRgSeO6f0W/F2ztd
rmWsX4hsgfMyP2WXfruGoOu0oFg7yqWw8sTLyv0QB+OqyGwaOdK+nIp5p0hDc4KzmdAaF5AqN+GI
65nIgXKd4YNepCGaEKfEA2xQrnRpl66lcRr218uIk7rEUV2p9cXcG3sIIM55JU3XJrtbUBkwa5pt
Lm3ZYZfdTNKojXzsC0FPHjaE1gsM9dqVpu7RYUVqkoasa/F9ghq2ScbqNteTe6GROr+kC2M+RSx+
7taPZk8WeqxV6zyFm5mEFZZWwGFFDeRSU5rtyF69wjOIWbnPzzhBg66xyENh4m8R3x5M5lOVDcp8
nYyDM2wQf4woosq2K+/6OlErkImaiSsOXC6xWu6m0pA+De3M5qXSpqlnwx8s+kYEXFz1yQwMqQBP
W0I9Z7X62gnxLeCQBADAsVZGd5kN93pLZnowk+cyuj0WuLm8FZOWrrRcf+JMQSigi5MOWx4cnXI4
2EHbntVq8QIRIGnojkUcw615IPfHzk39uk7DFCe9oOKe0zs1GvxUgL5pp1RdT6r5WJjlQx6LkmSy
qTxXC2ifinD9QrhHI6z2RVZetlq7zTGoZ644m6zgEUohZKrUmBlEJ5u+MNW91tOBiXjfeDEJ8gls
fF9qthger+eTE3bx2RBjIoT5iRRQC0CeA2A5shndZdL0Cs4EJQU+WPPkiO2kOTY9+WSbk2dW4wix
4OVXW7p2KgUYdkwstk2l3kp5TiDNtwvqtho3roJfuMadC+RtD5Bimw70ZqR9d8DH2zn5cXKhVky6
jJ0E6EMqeDuCOUgsZNV58glu3R3ouu2IRRhMLxk5mIZZgu8qTMQNZmIiZR/jTttp0mWcSL+xLZ3H
CxbkaRjxIlPNbiYxn9vSp8xXDuOlT76x26G/4bUpc2j5hvQ32xidp0VsDYzPtAn9QLYwuz67WLBG
59IjPUu3tKGYt3E/vhQK54z2ruk1zXNr9zrEZl1hty4qkn2wX6tuMiJBAQmBMRvaLQpQrNpxmz7l
0rutCHtTSTe3ga07kv5uTTq9ayzfbqCVvkpM9WIvlyOm8Eh1QECNh7JV1iWmcR3zuFGpQDGknTyM
jiOH5boZzyPs5pn0nas6URfSiR5jOg+wpid5QdcLrzqjypdButeNMTh3pZ/dwNieZfxvGN1H6Xgf
m3zvYIEfpCJHeuIn6Y4X0idPqimWeUx9s2efjPSRysSScPDwc4LNvrCSntBdjPdKu4Mq8LnFkD+6
JG1g0E8M56lDy5n3cJlLLPyG1nsdlv4mrB5n6fHXc1rRo0nwst7fOFqNckUSAZrGeIxBBIzobDLJ
DCgd89pAOscx8FqXVIF5GS4syRmYAA4ERePsGcfuIlAEsZN+oqA4R4R5LxDFrUg5vemAF+hVdhEB
M0jV/lOam7eNpBzk4A7MnEcN/AFg6uMkeQjhDGmf2PtdpoP/ApnATXJWSoZCBEyhDdTNIOkKfT88
5nqNkhin5tCqHD7GAz22g2IgA6xHZU9O/U5lisapa5+DcBiRyrlLej653bbLlmsiAQjngwlmAH+Y
Km5ZJ2fKAxYiAA+Rovg1a2vfgY1ozeosAiOhGdHD0Ma3FngJVCTZCuHDZrDwlQKgSAFRaJJIsYCm
CHSgvKAqCsmsaIFXRGV6iIFZTJlx60pouA41Vytr1UsAX1A3bQpAGNBYDjFgjNOW/O/ZRGef/t9n
k8tvw/PXD9oF8rdenUs4juD2MnWsXoaME/3py9H+osKSFEIE/XTvOIn+OJfQSNBtaIeYqlQ5XKLZ
+uNg4mIFsDROABxc/lTyT5vuzQmcc4lAFs3phLMThwZexdtzSdDHlWEF8XyMiytjhlmoszWups69
nzicr9RZB9OlF+dQUm+gsIEzzBRPgFenv58Zqzlu1ZUgPqhN5UOGo3BS7Bc3Si+y3n1YlvreGIvv
iOI29AckvFZ8Jj0SFF9r6x4w5K2q5+do8FD/BYOL+BwHukowUIZFE1BP+mCH9rIxcK/K6A5Pp9G2
KnXrMc3EQzgvL0pAPmeQurux7u/TuLtqXPMyxgu+ZSh9m6fTfVlO4WUwdGflCD13VtqD5oAymBhk
5FPJe17WiWOsyMLb90604UwYIBEuNkWkfOorbPugpJFwXGIN3SxmhH1SiICthObDMvZrgOeb2sFv
wL68IhTxK4j5Y5tq9iqEwHu7KDka3YCxR9V6Sz3ZAIwArCnYc1ZhoSS+q1if8yWF202Enj/BeGVd
jsErjiD5lCnYEh2QrJ1R8odcVpfZxCngLiuW2lsbXTDcAOsByjcToRCOOub5PuwkN61khjPZ0Ivu
tXHEfo0PoSaVFXpZ5HOYHBoISWFio0QOM3MN9hZExUCWoM0Bpp23ajbtlnGw/R7R9CoJsTKpBMyI
hWIwQFlrimqQkvtvVWJdZGrrrhBRPS0mFSaSMCAAQX/fFcVTjOY4sHAfZCWFVLuf+/4wNYJk1aTY
MXlU/CitYBOL4cJVS8y9AG+iSP00m/ZZXkEgyq35udas+t7M0Qrn5o2mDUR3jfseRtyUJOSaWgEJ
CXGwQ4FUemFtHOY+1WANIrWdlRm+bO48KAMadLtW2Lz0rRoTIC2J8E4w7hfX4sxTVqQFhcXaHRS4
nXW1jaGArsiIvCr0YGP06DZB5QJq7B8WaB2ZpX8vDT4zktEeySA8L4L0Hgnw5zBvribiUukyOyQG
LI9tU5BqBdodyI7wMvbpYurO8l5wNyfL44DIHfLGczfHvrD0AwT9tRZXn+147CA1slmmKkCMrMnu
erO5jzC/rqrebHlp6QEXil8tnBU78bl2aSo3vX3RVOKGLWurGsEnDZPBVp0xR/T9k+WEN8x1N0Ir
jggvj1Olujxji06UA22w2i4ITRoudSPcpMXXlANnj+vfb8dgW8ajStiUSSaANZNwZK0dlTrZHSEy
dqJ9XHr40IGtP+dEkXuWmnae2ppnWhbqK2Tpd/aC32cqMw5HjbgrivCAiPjz4kQXmTtdG7qy1dS0
WHHq+hrk6i53iWuyRb2HtcINGEjd+eRjr/tm0XHkgdLuuI0fRRdHLAvlZRcjXnaNr+4ywz9Wxqsy
AAuTt5rpQeEX6ygoLLJ4IxBZTIkZNE8ZGZ7uTZqyroCrqPfBEKl+PmvjprDdlynontOsvgq0hugM
OjTrdlQJsZhr128S6wB/0LxaDGdL8RAV14RrJLdVoX0JZkOHSrLcEwF8bizhiwZJpM/6eZcHruIT
mQWlMExWbRW1SPXBvLhp962sqKV6MnbXTBmknaN2VxVwzRUU8461KCM5zyTQShOHTtfO4l7bR1F3
00CjQfxu7O3FvJx65VDmvMs4rddVF6kQYhRzjeBnTUHZQ2ky1/9u+acRgVTl/mLLf64+2vD5nZ8b
vv4XMbjAHJiuIQKR5u6fGz5pt7L7b6OJknLZV/MBYiZReBjQsiju/vbo/tjwSRanP8ZPCLVVoTc4
fyInMVRe2que22nHp5lqamhKiPaht/F2x2/qNjetQV+OVUV6qwbrY9W4LNuVNd9rSb0NIueLOWr1
Oqj6F7UPnmJ7Qk8ymeRqBxnBIMq9O9Rr1ZovrAX5uoWZh225I9MjPtpxtpkD54qcaMKktV73a4wi
6eRejAa9s7zcOqG76xMdsg+ZaY7NfKsJyY8mIffWtsCSI/f4ptjFgXEdOtzBDC+Encr+ehqsnNry
Z50NuVZwnxjxXiWw3Kt050FUxhUEnqPlYhnom2Jwz6mCHlJ73gZTyjnFcq+zJLwN4bSQAkywioXn
LsxKdT135rexDBMiw/vquei4zmwN20VpJNQ0ZK+Gw6Ok6iacNNhrjCChksUqJ6WwOuvVMPX1igzh
nuHPmjGIF2fWxq2zl7CP13IsCmqu3fZ1g4a/NJMttca0ESps/zHdNTLkg/0aBmu0bsxM2+tzeTDU
LD7TFOssALroOQ2hv0Eqzse0JBdjtG9rLbYRHTSdB8KRd+E25tHJ7H0x9irBswTyWa1FpqBwL20U
F0ZRdF7bBU9t6NwlCn6TWDF25hx8Q7xHlh02DKKZ83ULWxExaDGhjDF3ZRQQ1pnm6h2lHi6aydoD
U5rWZlixBWc7XIDCiyxMXeHS1l7J3AV13KCuWMnxGBPOHsPl8Zconv06ILbECtMvjQYpaahprXTK
ot+4NazrxUoRYzgU0Ghu1kqnUX6NqpvCXdBz7IJBAZlbsaDYqqM3Kk66JwlyPQkzhK9tGisgMcm2
K62s3jVtWAa3zugoZ6QYfw2VsvIdTodni4y51Mi7ZKJw16qcelSSME2l6jxADH4b9ZY/OJB3hqI8
FE5zAc3/ezkVxFuSrKlOw2PVUk2S9/PQy/DNmPgrTqzV4yCDOQUJnT1JnbmM7GzI7lxkiGdZhtuO
VE/ybngklIduJO4T6v0u0XGQ2qF5JNd9C3Z2Y8WkAuDHhM+cttuE9FBy4yH/ut3TQq7ooKb37gSO
MidxNNSJHgWIiAFeq2N2I4JJ46h4dkkqjUKG2zK6lDboRUGWaSdDTUfSTeMgvi+VufZCJYxWCQmo
Rlw90I9cK2E2rxocy88DaamKpnweZHzq2DFTkoGq2ky0qp2aT8iGD60mvoqlPcDAulzIYmXOZK7a
kqOEjGktCKDPZHBrJeyDMTWU+WiOFD26GUK1X6WkveriLlV8c3YOFTGwrsyDDWQybEFEbDyQm9el
2TWGYYVsoOZzpXQ3icyVhSl3FdE19GwiZ2lzrHMiaBXF3i3SPYy0CRthg/OlIbA2I7hWuC4Fc3qM
c0TVJt+6ji9okFm3ab48uTL9tiMVgeBGOkugsWU4LpOQ835c9i6puVhGic/VNFRGI3txnNx2mfXi
yqjdfgIQXdRUHwoxvJoM5G1KONhG1Pl5zVq4cpds2rYF1fff87B/i2yS5X6x454/t+23j+AXr/Zc
Bu+ys095zc6GLPxtkW3I/8xqZxtIXtiO/1Nkm9pfGk1/mz0VYfTfI4Mfe677F3pfm78opE6fQvtP
9lw5LHi356IJQL4JcZ4lFQnAO5EvvPxJQfgyHmfkJsKPhiChaykI9sQKRz2my+DZNDT8Gbtq+qD1
mqKuGSfE3b5aYnU1DWyU5+2JD59Merf46VgVJb6HAjnal8keBenwVRMsfhfS+MJO1uwmWwvd764K
HhWgfts2my4WZkBe3bK466zCqUz1p0i+RG1jYYc2mo5KDHJMM6cVdeSk+dAAmsUnGztHhOmcckBS
bdurqeNsmyE0rftMI/J2I/DXw+igS1/YZrerlAGzpzH3cN8NZ9qEeC5VPwyTvPPhNZNNlk7hGcV7
9hIHhc30e9QUvJHz4CsZ7LSBjjm8QE4laq7Q77ca62WwePKWJTe2HTpHEIh1aG6tOfpuj4q5ygvn
e1KwzRBvlfui4meVkkjCXd/IGno8RGHVcqrANhLGaFuzriZ3r1FQ4QiRrnStS5t1rg/S4U02VW/R
4EfPp+6cxoxWDGuKZ82RMSlLGZ5VjZJdmTKcjYGFC9a/+JaKxdoamUETPhrMbVt2WBLbwl6lhE37
ptVnV3Qmgc255p6upA6Esh5hDpRk3DvGtwj48Q6ZEbcFSVr4tczab8qQEtRWXjj7hDt7ySAwuqWz
jZrmuxiDYFvpFEAiT4Z2PSKo4D3pYluWeXuGcy9Z60qUXPCaIViVdnmWwteP+0RdYxdiOxbjfA0i
kLhOt8z9to8sTL05sMeGEIqxJ025WBpepmM8ZgXZdGGdyKACk5VxFOGqROuxYlNgFlQayVbL7Po6
nGvUv+HYXQuA+9B4tRos/zynewJcss2iukDpcMiz2U2VP2miX7V5W/vBVKQ7tufIg6GS7/4tVP4u
VH45N70ooZFQlbwTFeqvRqanVdPBjwh6ToU6wo9+ViraXwjidbxWLJB/Swf/u2oyQSep3iLQU85H
f3YmT+sp81dE8eAwdLqWf7JomlLd8V9tAHUK2iIaoJC+6IGyfrNwv1Yy1WVtdoTNRVd1n1js1Ke1
yRJHjZueyWh4WriQ5clVrK+4t9btaXmbu6kjOfu07I2nJZBYgR0PuhE8V2meEKQ+FplyQC+JphBx
xQwMaCFo5YqMXk4Mq9qM6G1Ru0yYcRZryWIva10Q4pBxhcGpc7aJsgNdTITyClKpWFZJE9fRTow9
uoAssWRMN2KGXR025DkWMgLArsesOYZm1vPAGPMofM6zJasDZEx16Xrlm4VQePvvrf/3rU/l/L9r
9Kvs+cu35oN7n9/6WaWfiDomzolTAoCskl/f+wjbuPF5Lk719o8Tg+H+hVvYkPG66LpBT/JbP04M
hMchu0NlgAnS5qzh/snNz63y/u4XAhkfKj6IWbq0Pb69+4d55BxuivHYoewmVyP9VA7zjSiHwc/c
8JhrdfKljIdiFc/GHfGJNHgNhdpHjN+VSN3gaDFXi6EAyXVqXy0yWMYCaHHcBC9NSNE2ZaJZwdq9
MZkV0Swvg+04BBdOTnJlVImX3ohv7WH5FFEfwQcmslGvTI9E7Jw8nurMkL2DXMgsSLfYLJl+y7XW
Y8dgDbFUtNb7WYMwgVSBDKWLLnXvQUdycE7Dr0lLghlIVNWcjlHY7krYYLJJeK1HqroxHaQCiTlc
TTq8bGkOXwkdNwE2etnL4wBQewYrwp55S0wfmDkxVKGN22HIoP/v+P1cGb6RBlub/FcmtLm7Cyrz
rnEBBkET6w3D7wkbXdUNrts4n/eLhvy/KyIHcvnyYLlf8zJYN/oka8AzMXSPvbrEXpXArzGNmLHg
zAzCHpADWdP8bVCRcmiCA5DCiUWNHkKNfE3cK8DIIfRCleW4IWs+Ad1HoJ8LvbBsHkrFeiEd4SDK
FDLYsrahzNSttu+D9FqfIdmHln3j8AkFjPVXStlsxiy7bEz3xo7Vl3RaOBOqLq1MVZOJAON9rpuf
E/ibeiWwhAwFuqRew1w8iYOWOHdKBubZXtSHeEgyTo3JYTGC+2pqLis6h+H/Y+9MluNGsnT9Km29
hwxwzG237yKAmBgMBmeK2sAoisQ8z3j6+zmZUjFVSt1Os17mqjJLSUWQDLif849N6q7aLHsxFNTU
g3Jb0Wg1RdN151obBpDPvZI8U00LE4LywWsq5pJFCgRES/H5PN+oPXNjbbhHfk3nY2L7NZ6UwHgl
O3wdCL6dsV82lY3OURjxTYls2kpkt01ob5eEhsKmKL/ohfWo5+2Mbnx6MvqRz5dWs/SGBQnfdMVr
Q/Yt4BPpNlTLIEOUI8dZb8270uq+DYqBkTXSb0126jCOFcqk60tNHTtMJ8PksxFGq4Y+GF+JiPyZ
dUdWKdMq3/FDWiBiENghlDVoau+sao0ojWyUnNw0QiyqM5LpwgvRl/dT+5jVe51n7jEHaCrnmlE2
JJp66Qz6Yefoah4bdx+kcMml3U7QrqQJqf1oeH2tJdQaM2XFSvUK1NK5pHrXHfBxFCTzusvTerkb
3ngbc5gcGJUQedlNEeiwIOQl38dGUq4NeB8MaVhXYIKmwoASktyQQ3kW4UxbKpOhjViQ/G5ssjMS
h22pFJWB4PpjOZgJglIetyziI12MHQYd9vSYDEwkd7kfOu5041SwVCX5+FO0fCPMakVgleOjWd+o
8F3oUCC+Jko8CsuJfPJzSBO2LyaDyRu2bEHYEMOeRY6J1AI+zeq6fQy/1pAOnsG3ZXG/qSTHgqCA
ZoYWZA9uzoiK8CKDrUsNYu1mXdsyJl+0CVwKvJ4Lv9foRuGFwfi1tYz7stQ/56qNWBBOMMl0qKt6
WWRbwT06STovFhZ/QtkvRkkqItQdidHJzlX4Rv5f4U3SYVl3JggDpKSoscLq6esMW1kl9n1Vx8es
Mb42LVEgam6fLPhNqy9V1IiRjrxjRHHZgbWogfZVnZJrB36UXx5EabKMQBj2XT4MI0+I3uEGcqI1
kdQ+6grDh4ZlWACiLzsepplHzwa8byOxR2w7rGJgfXq4oba0M2Quh6DvzgleI4xEMgHZaCESHXJ3
pcd5xvroJL6RazSGQSIo0dJtSrdONl3vxquqQiYsOYdBsg8CGgLNy5My5+cR9IQieQptmp8VyVzM
1TR5zUgDRWsAB5Jo5tth/TySuEsRAuAjxMJd7FiHqKqe4wWOmLim/BZ0bKcU4o5kqtwLKn4bmR1s
oN5U3wkcjo1xj7ybddPqMXZxO1TdsytGAKM847PW5rSS0q0RKg0JMBrlSWDGxRpRfUvsT9e6X0Te
dvY/xoZ3s5Dx22XgJnpqu1/wFvKrfkxEGsMNzjc5bxBGINUIPyYiHUoDAEWqsd/RkO8T0TuGwiqA
xch4G/p/TERkFiJb0i3JXKgEHLAp/B1fw5vT+qd9AMmijdneJKTQcX/aB1gQVL3KMHurmFBXpkFh
mWaM92gXwVlr5VRFpEK0S3xMMzExl7MyzCH47wKRznn6UvbxkefvlimfyHgMNT56anpbqdShjm7n
ZD2HVbDOaXofR/4XzH81Qt+TDP7Ymp0HIxsx10frdqqfIjs5kgv/QibUeqQLkIA6guK16lhPxrNl
kPAz8xTqbcnRHef9LqmaXeO6h5YsQfQLm4VSAKxS0JfmQH5+eWePw8Uoop7WGyPeRot4yhrGOFX9
HKmEBtlB0HtVnc/bBlIV1yEEqWG1ZxRHUvAdVDCDys7VCTWKkhvUDpWHwmskEHC6KtBPrlqn2oyW
pFZ5cwfWPuEtzrj4SqEVK4UzztWzbyxW1XYW0OFxCGeizMFtk5WvWYXHUy1GnJJtckwNjMVxKNI1
TqfMY1Y0PXsq55U9O+tUmc8isyv8kAgQupIIcSVan5T6qwjwdFU47pk2UGlpm92R2MXbOupJx5qu
4inGarAgPp3zcasuDuleDH2EMF9NEfy54biPSaJdz22F/D8oba/n1KccSr9d8vgxxfY1ZuhGEYdB
MceU6iB9S2r1VbY37SCPkYfF/byOWgtUJ9Bp04oeooT3H4Jv0+4py7grY9db2EOrQjcQAlL0maQ0
VJI2GcIDxMQ3zp1meVRYrMhualdz4Barsog+04Z7PTXQKCVAEFM3Yf0hkFJdwO13M6qNMeHruA1c
n95iY0v77qksnQdTC/i9t0DjNO6CdFWPWh+f464+b2IaF5RQczzTouPQEAVTXkvHVq7oUMJdtQ30
8qKgeoKeX5sYKDbMsI0vCJJ8rJM63tSZpO/jxp+4Nq2RNzoOSDu1bNjVmnopREu63cgsrwWHJuz3
5Pjf9cqwLdsCIVm5QfULWU57rxe2g8upjP3CyiKOdnX4TLnwSzvQd5pMWyIrcYEUdQbwV5KTz3c1
25dlPXZe6g43TpptOlprlotuOAZKvJlVl3ro4qSZxaUYgh2pvCelt1xKKlGNysoUaSLuy2jxxdIw
aFMzwAc0DjxLiYJVDblVFvylRW5WnmOJ3Btl+06uDq9gitjmct2WhByPKj7ViZ6/kdBBO5n6fUl/
tRf0LjFrhbmPNFomFtSQDUI5PV45hTttFWUK8e/oRLMR9LZxFQdfB6BmOEUIiII0ocLR+NaTD05G
Yvqt1IfP9dI/o2pO1mXL0Bfq4yWoJ17f2KIgsbO6NcfRoHtmX1A+QTJpd+DsQV/rYPSIp5rOzCLv
9mZB1Qsyk8oy7+B7QFcjowFoNSjPDMe6AFazJ5BY5w2VdQoFhLYe4JN3lOfOILc6sWcXFCHN/c07
4ju6jaIf+qkvD6OJSvhzsxhiOKVdtStDjNFVQlI3RkNjE8e0h9Tq8qQ14XWLVNvr0unMMIp+0ygN
paWKdTDxU/qUoBOzmlnPdVmS4dxZTOeJ8TklAIhWuYG6a3WxzvSSD3NaEIbIf67CpZZfqsB4Qjwt
/M7ByqIv9SvyhgF/u5ypipHMUlXirl0zeQQXHmdyKKfYpV67Uo7YG6+UoD/kTvlliEeEqLo3ThQ7
ttqEU6MyiRnUp7No3psqO4NrV08xhTGWlNd3gjRpHfsrzqfxRhXJRdDS1pLMpI6K10VT+VtC8zUd
cpojY19ZzsQ8MVSZzZr+u+t0ktIdtBTTRJvPIYvso5pmqu9O5dMYLvtI13GPkBrp1QgvISLzC8uW
y5zphmtVIReXG9MfaV3z46k/Lup8cM0p8PgpVDu7oJSjLdVuqxsDZzu6FtuNbfRcdAUXgXLbpf5i
hg+iQZLuGElAGXCKEix1R14cY5+civXFBWCdpPyM7AbqV6bylE8VkbHleF45Hf4kBwt9qNknYh6P
fWbn3gSl6OJUBXndhX33ZLnjvAb3vpkzpV4vOShB4HKBoPy9C3oyqfqxeMB0e5YoKe+xXz73tRtt
eOoMPgMLsi5VKF5Tdi+t695xQG/w2J2neUQ8Y6jv9KS8Q1i2VWJ78iAC9/WoXw7U1bpm+TXmokP7
pV4YancgSSPw2FwDepe1BhVRsw/hETh1x3CFpYLQhzTdu+bsEP2LC8oR9bY18dXGRntK457MCHtT
iO5+yGloTVERGr3gA9gb0zpV82GN06z23ZRCGwVrsGfTVehbePyx12lbS0TOvuMHSmpldlKrNsHb
1Z31BSRwbblnbHN3GYrz9VxyCXJkbZR4CbfKqNEX5FoekB7wOE/aIdTEpaVBoiptJUt+1Hy/CDD9
IcCyNut1QDOdvjeM+DLqk3tFLcMNbc1M3nHAAWeOuyUXPBLElIpmWPAts+9a5fRclOGDbtantrCf
F0OH9VE3tAt+LtOQoIHK8jsUEUFefVZLZ4fv62Z0xEFPFE8XeEHVLCKlcXwK82zb2+LFTZczJApX
yIpYXDr1pjDkIa6YrFEA8f8AkW9ApJxSfwdE9vlT++9ApPyqH2M3QCSx3uDmb7DhT9QlODtzNzla
hM1IDPA7CK9+gkW0oS+pFjU01r8fYzcY5ZsH2DV/eJr+xtiNqflnINJgGBRy+ocmcEh/+DMQadA8
DHI+ayczG7t0R0qJQCxbp8ckyDxDputHy0NAOIaou2w7hu4D5r12lXNZmygg3CBD9stm33QVZ3HZ
XFlDSaqGeugD+rryaa9Prb/0O9xAj2UYgrUAHoQnLXHDI6ISx7NMWQKg0e+TtrQ7WvPyDSks03bP
oEpo8iOcZgZSqHQbY+woRc53IxpGXzeHS0SU+romJoQ/Vw/LMFFZiWeDTYYwczu7LxSsOnmjvsRV
+zou4puDj5dEmzTyQABvcmcCOZiMx3FWHrg/Lewk8urmvhsW96Kw5vmgGOm1JddXLouFomNwGEBn
/qF9NYMeJ+ZCus2g+SSgCj8RMRbRwBB+HuHUXEr9WU0/I6lkMF1WrQoUMzZgYwQcBnbX+CAXs+GZ
KQGxeIx01A8V3MG+aZkln7TYgKSLp4burGKICLmBRSPMpUbfq/SrTnJsatAg4n7j3YSTbZCCppRj
Dg3pMJKhmyVXRwso48WSNVeDZPLIq6lXrPP8qKhkWLWS8Ysk95dLFjCvOXAWeEGkn+PakFwhw0C6
7iSyNUkmMZCcoiXZRcgjg6RiGEfMXR72hvKMQAM0s6kRHwPJUOLAas8i0lC3k+QvqcTivqnZQ1ZK
pAdbLe1fhWQ866im/1uyoBp06NDx68NIX68HyZVqNfqxWPKnhmq9uJJR7etxXFN1iWAXupXi6dYr
zSS7dHTkWtobK6sguHW1wtgakrNNh9bcOlH9wvrnbk3J7NaS47Ul28tPDtRGMsAOYyHjIqwwrjJ+
NpIpLiRnrL/Rx5pkknPJKVczeZhli2K4lbR15yjNYZQsdDjCR7sRkZzkOevbqrMyFqnIWAWt+Upo
N5ZXKG1NMfRt+0Zzq5LxTlzq4hvHMb6qObpuEG8kOpIjR25srerKGBhYJIWeSDY9KXp4dcmwN0h9
duOSFt06eqPgJ8nGu/DpyWtGTtTOgX27KuVAioCiPXTBojYHHSCvUafbTNFCmmIzc1Xobkqrbn0/
K27oqUuA94n+DIRTE7217SP36UNWsqQEjjuuoxy17pCXJUVp6BLsObnXivIyqdv4y+ySGC+iMKIw
0iF7vaJWbemv4gInk2lBtdEhUO/d3nqJsuFLrwabMXSwAbnK65h0rWcW8aOuJGe08X6Wsoet3hI8
kOWNPETcIz+KfZ+6ryXPqdJLXWHu3KqOeVlr0VlFL8mqaMoLUuueheU+DJky+VozXXYLDiOSynfl
0t60i3tXR1ZAoAcwYt03a9LjYyQA8bzVBVJ68o6QLhLWS1s8eq/oOlQbc2WHQcV0rNcHk1kaZbpU
Z4hdXEZnqR2cHH08KpNeS9TB4Umhvbzgw4aDIiNwGs/T18RBL2+lXbILdVIObKPXSRxyjTOLcE+2
fWZuw8y/uq3JmaX2xdrS68tyVG5Q+Y/bJE3js5CqTHTWwB7pPDq8JYDWWSHEG0zXWgXlGF7lVMWg
fW+VqzehwaIGsB3yRbuKYTkJYnertlV8nYVN5TsC/xsnTL9tEzZnxZzcbWVo83pJ4EsIIc84Yex5
O/Vzsg7aWKf1JDfW7pJYK6sxX9s5XPzUWPa49E7o2A+5npyTcSjNaqrY6iS6rDFTBZuUdoQNJkp1
mzEl+YZaljthTaafYA6II2rrA1pft0KfOOoT3m2U89SKEflXVlA9YUWsiXPFKaXKipWx4Ds1m8GU
qVHhqmf/3ioJcpIkB1aowy6ElUUswjHVr/4Zdd5HHcaPvx51ruPhhcrLby+/mHb4wu/TjmZ8MkhH
EaTmvUOCPzBG2V+E3YmJ5s2+LQnZ72YoalGYcBBvoVk2UEFD435nXfVPYJIEiqC4lioFelH+xrDz
FjfwEWK0ddTZloOuwbKYA35OM45EMZgD8RjHpqzryj5XMsLcsxXTSpuz9hlJenJ7oaeU+QYwnbFk
tbR5Zr+cu9hEg6tmp76sFc7mSdmbZqEfeyAxfxRtccACkN9A7Y2nfjKqc+l4f+7CbjwT+ZjeGNrY
HIwyoUu8mzAtixgJLhkPGy1pqECwKUz5Aj+KY0MZAOgbLLUwt9tUaLhKswJ51GBpr4oeL9eiteKe
9PmipIFEwyfsuKulsmofz7dgW0vo9o7s9DLP++BWMGtc95WSRTdqYhKLsM1srV72KGZx+jT02BAH
olFlJHjBXh16DB3YnJrI54Ap5yeiEYerptEcDCJlI3ASLVQ0XFgWpUS5GdfJnZIspvQWpbbtTcKq
G+yoOtZEcyC0Ne2xqhsDsrCFKdS3FzwsxMU7XUW2YWFGvjo0rnkYKr15CsBUGEDwa0DdqS3HUT1Y
MxXlha4T3dYm+zmCmffLxbgG9B3snRhMHCt28tzhIz6rLOLxj2ZSd3unduLhekkQ387sbPioIz6Y
4zF3s7lQ/lFhvHMOMnb3r0+Em6dnmj3QH/0quIGv/H4kCI3WI/YL1UZ3hvvhI++g4YpAN/n9T/iq
72cCcgsdqNqRjylHAKaIH2eC84lFnqVINx2u0r95JtDK9PMCRPYLyRG25D7wcP4c0KonQwEROI14
hx0E3H1cbehvTdZVIg1wU4cxLG25qU1jeByT/FC1XJIWEQ7QhXHsBXPY+kHhaDQjWWvU9/Dac2GT
zhgrB7VbnsxALBdu372MVt1S10JWUpUFN3qvWMdiYBCdB73mAiephfi/dRJG9100rkeiBDax65zl
nTgDK3xNp/l+jJAsGOmpzqiR1sTOjVFouAnTYpwj3kwIHUKVp2cymQBo10XEgETmJbGNu9FSvqSD
8jIOsuUCSNubRrxzRZl/g3agAEpVLjqef+algoyIFMvD4Fpf54isMpcQDS9DK4GiBLi6n8v7KC+v
hBWurbKhFWU2GN/7blhTjtaHxzDeUzNzTYoAZe/BywJwOhdgJvSc6016AZyyWabkIa/1VSCC56gw
bwczQAyavM6hNIBl4sqhjWnl9Iu6HsIWcTtY19wDW/VZlG2mLgMfdZm2Gmu+ycPO9Dt7NHao9RNP
z6IGSQyxdEtpLCS8aeRKBom7ZlBqfaMLd2mEwQ6ofdsjfLg2tUxwdmJgTGZUBlpsDr5Z0srT1LKU
Gl+plzpadYZj5LpsJ+IulJKO3omubzo+/UbvYtCyxNz1gTun90Wo2OFRtEv+kLSm4q6yvCatMxsW
OBsW3GGK2V1M57Wlw3iKCAvoCD5FGQEZ2r0Row1Y77c8K23FdzVk/rGhBRuThviTrcaTx/xKJbSY
i01ljOUxX0R8hyfivqFWawdf9yUlf5KxvaJwykiEr1R9sxGzc+sW417PKfJogp76Y0wejabdKT0D
Wa+O+noKlmI7jEV4nRv42O2Wjsy2wKtKEgdc13CcopnYDlTGwJl26dGkOV0WM8ocpx+r27AevrbE
1R/sVAz4P6OXSmN/WIxZXceudqE4JXuFiuguV0wNzrvrd00fNDvRWNlNbdUZ7Up2cZsKogYqLY7w
f1S3pdP5XWch+Oi5PMLYRPeMYqQPFAZ1vcceUM5UzLuBB982eXlKJ5IZk71AASfGjDiwzrpZfZqC
yquj8R6PM8GrBXFNTNFEpRgue/BkKHtFcccvaTIS2rLUgR87XbGdqjJ9TnWz3WX9yDpfO4hso2k3
YABZN527GH6Dg2MFINxcjboWnEcUNR8Jyr1oualwVNLCit2XJzMfmg1FPpPfiaI9Kg64aqulKr1r
07L+Z0J9n1DRov7uPir+w49fwl9dR3zh9+tIsz6pDtL6P7x20nn/nQZnRMUo71BsawKGvVn5v19H
+icEqzJhyP4RMfR9RBWfgOh0qWqnlePvBglpMrTzT7JYZlTsDA5OfhBAoHH55x8C/uIkiQCoO/1I
ThnrqZnWDJFeb5npWR7nY4WtflhIuFoZaiUmPyrm5aZH0RYisTnX+8R+SiNCfzu8QGr9JbEzTbvE
a46RLxlwwq7aoXBPedmBDut9Fu/rbha3EPKKuddatVFWrqt0pzzQg7N0ttRuLdI00W5iG3vwYQmX
rH12i9Aaj41eNeYVCUTbwSqyF0yyIGtF3JPMYyAM3Kpy+nLfBrGunru9kQmYjmVBoLImLq3HTG5j
L7brSD2I3oWnrOvE9YoCA140ubXX1E237tU5PpjdbJwHwVIR60Eh1VPfQo1y/QYIfmyDEJa0iPrL
SJhPBGd/sdPwObEwYqNyzj0Yt5eqy18st6Tla8hr4xu1Q55DCpmow3FfLKq56QD8SbAPcSYIlUt9
THsN09wIvoDm8EFTeITddAyeJ2i/XasXYo+xIjpXUiE51gbhX91PDNVVvcV8WXoA+90qT0kXNB2g
HTZsCF70l/xyK588PQqU2sB3uvzg9C6tEEFjH0mQWvapwUQQC0q3DDfa2nGdrxrI+JU+O4lXtn2B
SDn1K8d9cYxI2TrDsss0ohmYnbdzgBxOafMUZVkDCGAQ6kcNlZ+Oy7BCdrEtNXda9d3kdVEzXqT6
hI074oh2M3PyG7qGMVdX4oTnMb1RRlO/JjC6eElUo4Hnj4uHZKARDKUYZV5D8k/82R9TNE/w70+t
FeW/T823X1aLyvPhx9FlfNJ0GWQmq3/eTpqPR5cDi8DELOM+SBT51yRtfiK4Vye21Cbc2aLk4F+T
tP6JsVwGCJt/pAv/ne1aE+z9fzq6GE+xG2OpIgBNFboq//zD0eVOplJROhpdKCm8qCm3PodpdG/J
TXB4Wwq7umtQGswKyyJGeoblYKzb5G5OUrIy3lbLQm6ZxOuF0L+W3D6nt0W0f99KQ3p12VGnbMBm
uarf91fdkrEV6dtiywrdsOV2byuvAy8MaYeDEObLVi2UIEtym5fEhDEHJsLLUpXiSA0lxEpw8m6q
ikjOsstasn9jdJRmb98XSFr6FXlQw31FcgFeQLNaZs8omKA8pa0LL9Ur51JPhwqBa508KmZl7jjc
O7QoQxYwtWmhs0LDGR+x0tL9lwfQsJ4TW4HnlmJfhGrugZz1R1Wx8wvbKobrnGrfdUPnqeFRNDzs
eiUwmX1r54sAVlyILXHLZTUQCDGtbAeRCH7RzL5GGorUZenyeJc19vKcC0X3o9CY28KbVdyQYtO7
ZsLMYuh9Wu6dQe+2JkO00sJhK8NjFzMTApfDPBgJ/Z3FGgCBnZ/9fVgGAlZGHXfZzg1BluktbMKt
zZJz1TYDFcxu0V65FEBvkowm61XWGtEtV9aFq7cVoQ1vXc4FAbZYxVoZBhK+9T0T9U/3syNroNOs
FbeTS6QCkF+PWWqEt892ql50tgyrDJJ9TUDcdJbbNI6+WKMTvri6a29xawSbLI6wzMUu8aet0gKi
Ko2NgjVuP0e6VjWnmhkPkXS3+mfeepu3ZLjwb04uOnh/5cKQX/X9xGL3N3guhf5+XgnmsO/DFn/k
ol2h90LTME86HBbfhy3pwhCUseDndDWyFP7swgDDAwfjIHt3e/4NPJAwpp9OLJmOhJ+D0EaSF4Cy
eH8fT6xBICeoFXc+mVKWqipZsW4BA1PC+ZygPrBNToQRDKaicEUX1XEcUWezQZlOSihXs4ARRqp5
PhVIYjiQSAlojTMD9MrLZp0ScY3YXqskcZXtvroSBr4m7JPKgYXbBHIvP7u4Ezx6QZ+LGhqOAvWr
PKZoIRjLjL1tyFZ6aJ8WJxu8osR7H1bUHsbluKw0hwSwPkYnUeTiKtWVbD/k6LfzwKQpMTJ3ij1N
VAkH7R6WrXBIByxML67Sa1xZL2Na35SkAVX52PgNDoB9gs7lLKT6k8PDrU5qb30BsMPBz98SaOkR
wHdEp9b77VRkfjC6R9XgR6MTYTaFw5WaLvd5X925SX2AHv5C9vs2qXLe7DIKOimSc8MEbUASfFwq
59viYveAq6w9RwyH2Sb4gOCF2lN6DNYRiZQusEAa6e3KdMpNwIZpK/WxENXnJJabqV4FYJx5sx7N
+esSiwstbvgXVCcxcUeemui1c9nqND5vYYnmVRVJe4nKJl83JYqLhuhDgp1JalDdkYDn7tBr7kZr
lpfFceK1aQ+HYiLk2m5sgoTaGWdL31Ye+YY5hNBYcf655WoUxkPVZ8eecmy/Nqr1MAnTb+eXwLbW
QhA+IIJQjqSvvU0ErZ2ahd8ZS7nR1C7DuCkug2bG/2LhMqiSCg3l8uTUUO0aclMvyugnbGSrM8q7
/YDuJUnKq17NuRatihjILNks9YYej8aL9GLbaxZXZfiAocGFFmtxfVAgOygIYxxUMERyIdmP07Dz
7XlRd3ZWxGuspKjpw6Bbx7V7z/F6meZhjVPFOgSj0/hz3bKxmvGTOi/SQl8+2ROaqHZSCL5WgmUX
dIR2oxtI1zhyyRwWJFRgWanQJYbGCh7mxg5sPlOlLnZUMwNwlJPXF9hRgmmhO6OGb9UN45Ap4xUG
okcMeAGFHbmzBu84zy2xA84nsCl0T1PRtn6mCOSokbZXQ0qarYqR3qSolxzJ6VSCySNTarij0uc+
6R+SXIeoHS8TWWJCHPcLQ9VFI0JG6tG5GEZTXScOIZRBWwzn7txe6pX+LTG49wnw2enZ/HVM3ItJ
FDcxpTlebi64QzpqVhQz3DhmkmwqKdTqAuuxLesrEcIlJEn6kixDvZtFQAEw8SUiUyxmcfpD3VB6
Y0ICHMM4W5N48lCM5QNY+4zfyHhq1ORLYfVktnQlrGkJ3RiXMAylc580ykELhzMKeNW1OplrK8K1
AuWNkrL3QMExY7nKI3vW1k7K87LBPzDaLTFdof25WwQ5kKHu7oYK+LzNXRQU5D6s6tY1TiItHcWv
JeT0z7X4DkNwH/3mWiTPeNM8Fc9x+/wrKIIv/nE7ChT0mo2w/q2jQ07mP25H/RMRQohy3jIN3gIP
vt+O9idXYNDlEvnxVd+hCCg2zLmmo2rkI79dnH/jdpRAw0eyDMwdCILKEe4+BP4St/94N5qZqjpJ
0CynpXuoCSOX8NuHH8zl+9/1H0WfX5bQ++1//6f8G/71Co4MW+fvIIfBEC7rwhsy/2FfADmzqqnS
tRPnCQYijjJUi+a3YXh3iD9P/xW+lL94nT9/J//+Oj/d8hQtV8TzmEicpO+3OR/t94/6X76AnGN+
+538lLIYIlGh5IjvREz2ajDubBQKQH+uAp84rNF+ee3wWPW7Pr7sSs73+IVdIwwvRXnVFYQWkfBG
obwZkmaD0Nu46pObMY+oFf7DLP+X71TCW799p9KX+uFnrsdKgHNM/iz0NVsI2pKHfkCVoRmnEStb
EGAOmF9tBREY/+hY8btS8C/fgCRu/u0NaET+yyGOyHrxk96scEKtG1R7PgEhxBqBBw1iUkNgpZor
o648l+Cofs+5fNagwTf78VrDGMUiUOLMVpXFa8g5XIkKrnLTherZCIzcbLP8s8j1szFQoWqEkmh3
k07ivJ66iYNopVsV1KM1VrOvEISJod5o3eyTzYcT4zRY8Zo8hpUkdntr2TaTe5lzNy/JJug/t7hB
w/aWbCVKGDIiNCx/KHgDFLJR2ERgIrqEpPJTKp1JisfoCQMDBxrPGl1j/bmt0gJBxVT9uUUaPSsk
UY7FQeuMqyQ5JvREDQXukJxg/Epf9HXp3naG5Ru4xxKpbDDj0PCNGDOL6iC8KNPssVOoo86XZuWa
lL3Rnn7++6dSihU//IbAOf/84Bs/PS5j7LZJN7XLSd3qu2C/nHcP+tbZNycMOefdDmBu7fiuN290
7wxgaFP606OyTzfdVt1ax3iTvHu6/voj86f38++PL9jGx4+skWW9ncuPbJnumY2L0W9IrtrQUv77
b/xXn8yPx9FPB54T50sWEch8UopVdjt9q0PiNDy0fKzpv38l7c8/4vdv6eND8DNSwu+j0d1YnCIC
4S/TidghYtJWY8u27YUnuPbfv+CvTkCWLOAZai5At3/6leboMG070wWtKrSNLF8H5fL3L/CrA/Dj
C/z0s4OrBKQIhTi1gy91m6PCkPj/Ler4xQfh44v8dMq6k2stlMGKkzsclvqss26F9eX338evrqSP
L/HT8ThzVzdNboqT4NmeMrSV1rWbXLjR9P4b+d8OezrGz03Zlq/d/5F/83NZzU0cRt3//fO/tu//
zm0o6xX+9C/rt3yQq/6lma9f2j7jS98fPPlf/k//8I+Ukdu5evnv/3z6Rqk0lQNdEz93XC8/J5Do
v0cNGI+OT4Re/voLP4xGsDS0jRGeLKVEH0cjCBeBbNEkiATpwEeo0ybViUgFytC4XWR8yb+gTlvO
U9w2BDX9r4xGriA1yhQ2nJD4Gehs+7Gvc2seT2p52YQGqU62//vPIe/0wxksDwigWpIrTCmOIIvi
p88hwsdU7+2+P7VGchbbuAio3rxqjZ0WXOIkJJz4968nfuKd/v0V5Tv6MBgI0vhjAM3+lJAYsHLm
kJRhag4FRvewbK/GpnTOho5gOCtlj2ytjZWgRK6DCcChyzsb4UJhfZmY9PaWTrr6jFTT19oSQ7UT
nZslYmxHpF7VqJj501cCsz7LVtxSEwYcO7x7EjYyGwA1Kv1F0KuZgpIijMOdkVrbds7iDQiOvgmr
uNwG81R4mAqTld2gooTDYYsTMaSF41V9fO0MA1YcvaT1aThX6oDfEllReUAqAM4135hJjLTGqwDQ
YRUQlliW2uWA9xuEfV+otEakSXigO5UoF+WuQSa7Goovw6JfTna0G+ylXWtdu4071MUV3UixOYFa
lONGqZqWgE0a3kiNubE7sGjgZ8DXmxLF6c5ivkm0ot7VVqR0V8vbwNPnDa6ejHu8wxN+gcoc8Ljt
Fj/v9ZpMeOfcgm1TDBpG7Xg/pTBvbnChqOnFvFgP6ANY5AA2V64uO4riZ7KAvmWIpMFGjONUGWcE
NPhDWp13NJf2/bzHDXepErNRBDWY73yODOS8d8BFuiVXvdAcD+2gPtRkexoGRR55sdyZGbNIkM/p
RdwXl0XakWsIgbSkZ+r/Y+88luPGti79Kh09xw14M+gJgLRMQyuaCYKiKHjv8fT9HVVJRbFUYtz4
e9CDmt24rFRmIoFz9tl7rW+VODKnymSS3SFFryeMLu3AYBt61qpNrDvmi8Q8SHK4VvMKBnc/dmhA
VXwF8LMP2VxCXsbHkuVfHGk865F93fYwfBVmoG4UNWulyvdBFl/2hXQzDpAHIPS7pZCJxo5r5d0X
K2K2ppgJ5+9x5fR5D/NA8UGjUkXNVx1WQ47z6BFGfTM2w1pmINaZ4FIU2S/L8mYp9Ms8IAtonNDC
dlk6XE9zdI0AcAfpxLcr+wFHsTdZRnNb0dbC+dd8LYCYoPdD4IofdKFC1CFDAqJ4lYmaLfAr1jp9
PVawnYrvz9O0eGVKI87U8DKKh6NuEBRo5CC3jVVmFV4/BRdtW24bg67i0vlGK52gu/oqGQQsFFcz
CSBEnNDx0IggQ/fySW9a0VjIEc0TjlIY2bxNR5igTYYqJA575oXSPm2XWxrvKIyy7hQ35U0yINVP
Bm5r5DBeb6vPTp88J5ZNLFKWuFMCPXVsm5mOyIiCJBjs7bdl5v/1rrd5LU9Iy9qfd7n/nzc9QQT8
557AY//5+e/7nXjNj/0OkRzBRSanYWSw36QHP1oBCnmEJvhCAMEi05Mt93srwOEvDjsEu9D70Z79
H0ex8fvzp2/RR/+VcFaTfy5YxZnA0jAw6UCPhdhLtOTf7g5Z13TyVE7yuaNpjS8aBwg95wtV6itg
OEp1ZYguN1E29MvSoF2XJWe7jmZ4QzY0hzf64zF8+0Mjeub6t+75aKI16m8ye6qOzSJ51UAkQGe/
KKwePppZpEx9QKLKuHPATcRWJfvc2Rtw4djYHPRrCL7uRiAVOnzUW5LkEEVV1QszoYuSTnSjIPTR
c5y/JrCLTFAvSsG/wDmynQQRI1wE25uKeQMgSL+UNHqeOKlX3TcU+CgFcFbAg2dwwmd44fASX4Lc
HlFSFcyvkFLssBRzgC6l6w4W0KXTsWzlAkKeadgFAgJS/IA8XZisOLOLABPQpNN4hmPewjOPjPpk
C8B5FaUPsarddqVT+RIM9ApNEGfz8K4ZCvqy7a7HGu3mi7INaueLLEDqSRRtU8jqhZwcSVp4zCGu
J4tzqyS4jg0BY29U+bay0AMv/AhdRC8a4T2Shw6NRA/MvbXaBxuPD2tjTK6cgY9aly9tgYCPgvgq
dlglpHy0x/08y403FxWB1tVeNouTvcQXw1yGOy1pr3uTLW4yZGiATd56lkkL1Mwk16oy1L4pKj1J
6iEDOKrFiZXBarq1aU+ugAfbZ0et5k1GXeAOZrJjY3SOYdu8qjWjDnwk4ZXUs5MssQFYZEhP9ax+
zQDUm25jAnaOEhHbEIFxxsPJzCQ1QnrVebouMpg+YVqemRBUGCPt8yiVAB5MhwnKXH7Fo6+hvir3
faOeqrJiAdY4T3exTgZhXxZAG6RNMg2Yu5T+yayiT2ma9l7Tw3FWo4IMxojrxvgYbwKUabtdPlnx
LEj1n/MwoBGvMQQqpCvFrr7q0bzqo2nTszN6BQmMntw1jMTBDFVmvp86Y6WH2nlW0jMTWSHFYD+X
y+ReHoM7IyeVB7hW6UWShcMuNPjY6iGoyIyU7B6mf50DlJTl63zu9vIYb+o0uY5jZJl99jjKzWeE
aSUbE4iMuR1OdpP2KCbx+pdycWSIBUZel/aYrHQUrWC2egSMfhFaB7lWXsgz1Py2m+8rTe3dQanW
VUuMO9IhTC7TsEsxE+HnlU9jNn6OxDTGFHOZwoxrt2RUozEwcxjdmIxwEjHLsRnqdPK4thpULZKY
9wDuLL00ITJCzIJmMRUqZuOLwCqPNZSPnMFRHTQqgytmSamqbhDQPNkMmfK8uFMYOilSe8Xny9yF
cZTDWKoR8yk+sB8uw4h+Mj3aYoaFkPSaCIGnWUy3Qj3KKB+ZeEnpLO1KMQUrGIcNjMX0XnqNGJPZ
Yl5WIYTExCSmaIGYpy1iskYqxqoJarJBxNQtZ/yWyIz+8FZiFFfaBZwXU7pczOtmMblTGeGBcab/
L6Z6AaMoRmbTFdYtUJuM/iCYJH80GP7dZw02pn/eZ29fo+f8Vzstr3qz02pC5q3/1Vn/sdMKDA5p
t+j4ONYxdvqx08K60Q1OfDZ0HJCVhrDqfm+6gxKmHW+xfSMP/G8tKoYimhh/NcXFic80aYvyXhwx
Of6y3b/daSH5gYfnY5wH+Lgt9xjBfoa8TYpCImoi5OCBptkQvvlg6HdouBW3RCyyUgZn3xmp6VWa
pgDknW9hz9abPmEUVCgxsTpmvkr66iVUJ8ZFICkJnyFmsJd8Teo/tTauijlPxo3ZmOhY9dlkJmz5
Zq1qXmUNzZEheg/kXY0IZ1M+d/hfZfhVW9j4zNQSUgYxsKXYVfvrWZmuMN+bVzXqQGQ+I93LrIAc
iKLRzRwM92HvICVxGFTSmlrZU0qyYC9tlYTonUT4Hu0+/qIUEDr9VhDWuiIZtqawq4bVAnhMQ0Sf
BoVyDlQW4Kkv+P/ISdtaSqa4FW+/CNddg/CGd8GJtwhPHmYX8ADY9OBY8UBG+wn7XtcwT+4K9bkT
zj5TePzKbjAw8yfXpdF6qVleDBKVSWPCYGT4PG+WSIlJYqEL2kMZaL45CW3prsJa6GAxhFNk74x6
uWzGdPY1bIhabb2U2BKJubHcBqMi7fFLREm34YCDcWTxGbA0NlgbZSyOBtJAH6mk6eFetTZVVj4k
Y7Y3MUZOCQ7JGavkJDyTfQeDHxOlUTivlXBVKsQXYV7EaVmYXBaW9QpuOVbMOB4tNxX2TBWfpo1f
MxXGzVFYOPEWTdgWsHXmwuC5tO29iePTNsHdQOFbpWGM+ClEjQ2c6VMpjKK5sIxOthn6LS7Skp8+
+8ZAiQfkoqiiOGxxAPVCvb+sBDRFFvgUCr8X3KAPA1wVmH/6OtCUL5VArkQCvlIQhBsIHEtYWMPa
FIiWpW4x7nK7wqMGVSZ/Y7nEAutS6dpOEqCX0CZsU7NLHgQoMDM0GB0qjCbOPA4U45WStKnfm3i/
C/gJGG6pGm2IZ5VAzIA6w1cYcIqE3ATig2ckIMPGHQScJlDgUApczQi3JhwA2ET2dNYg2qiQbSII
N2ZqIxqP173KHoAi4ujwb7Z6d1MJOI45W8zSzXvLyc/gixjHasnsBxB1UuIHZUHYKboHSyB3yomZ
dZlUzqq1nMYrkXa5XVKsy7Q6qirWTCm/a2H4pHV46HLIhQp0n1idL1VoP4AU0dAKAFAzTec8U5e9
LWePEbAgw4RWZMqjtUtq66A6+SkGLJQJwpAtWENlmoK7FvyhEAUcCEIl3vXAiVQgRQqwokxQi2zB
LzIBGUEquO+b9qwKwlGEyt6fBPXIiEAUNoKExKg5dRFwbEI9J+rHXCYPHt31aAb3iyAp1RVEL1Ie
WXp4HZiKCX1ARt5puguW5rUWVCZ1gSZAYt9WFsSmSLCbHC6rN4BzUsE6dSPjFU2QnogW0P10aMxt
CgbKAAelg4WKo4huhCBFZSCj8FI/LqZ2Gwi3SyOoUiAMJHo7yjUq8EcFFjVAn+JKFSwqBSiV6fSb
TlCq6sIOgF/ifANgFQCyGqL2KH8jW9HviQXrKrDyqwz41WTF0j4ChxULLpbcTXsTUNYgYhdI8jSE
SSLzzGJMV5kgay1ydFwEa4u4g8mXmuxruAS3qB3pSClC5ysYXVOUfGkq4xyW0LtkwfESEAcqK7AK
I8eJbQfuyxJAkqVermZBAoOySJyKE95M9Bp6AQsDGuY4+bDWq2ZPrxQJixKFHhXjTNvC5GBj0nqh
p/MAH0FM0p7ResSbSTDKiCM7IUS4U4GXLYR54oGPV/qgrxvwZkNpX8TgzhIoftuFm8gbFzOmkJQ3
s6W8gJ88GiFr9gQ2DRPIqlaaV5hXxw6s2gJ+iSB2OjIzkxXAayWhHEEKS4gkbDiHyFJAtMkhqIeB
m0BmPRIMNyuGgGMIrts0W7c0+I5Ue69px0IZa2YJBNHa8nBPbgceTtGob6fWOTcO/BZVHz9l3LfI
ZegxWgJ9MqgcTzBs0G0ZUJguJQla4TN7Z7Mq44i8eFwuK1nTzLNtS2RAEdu1adqG0HnlxsB67xHB
cqdY3SOG48BtWBfcFsEOeMQKiP6kAH+zP2uBPW0ap1nz+T43SY1X0y6/tAHjQidRBh/aw3Ii79Mg
hqe+ZM87jjp/G6voonNIzumGxtMqqVw5ef8lEAk5slV/0aLinCQOYb5SkKLHCY5KZXKgDudo7ZQO
yfATcT9B0lMPd6xggW2cIkvmKatiOHBxuS77cDszQSXU5DNAYTADUnEzl0u0iaXkCfTvi4FmRYvy
fMMseEMdwW8QDDeKgYeJGDoLG5S1I4GKrbjQU1xhukUQEHpYU1Las7DEhHP+NZXT0iNd4zxZHNdb
KTzIQC1RrVZfbamAnqQ7jyOD+ZVU5wDyCxPXgmG4VSg9yHUfXDXEjrKag+U+6kO0iWLdgLjbg/CR
OQ/VpzLLyohzYCyHGBvielhWsuLU0R+z0H/raIF5+ec6mkzu7vl/uc/N5+fmF+W0ePH3chrGPLWy
Lqplek3fpjE/ymkZx7cqOyZzEljvAgD/vXFl/AfNJxgb+096JEXw93IaxzcebdgYGGAQkVOEf59Y
Xf5RJjPs+sfR8c9zT4ppKDkQu/H2YqlBS/NudKxFijR2c66fovxpaU/T9Pjmsvz5fm8VLDDB35fr
jgVCX+VEAGifAQRf8m253gfs+IEx9ad+MYTm7ysqhlNG8Wg03Vc6Qj5B27Gf61gVFanYqRao2zoh
Dq5CCiqZ5YZwzE1hNYSDy7dJD3errb5IGRWm6hx6A0db26Wju8CsUgbFSIm96mrtHOYtMQsTuOqQ
i8guzLJOjOa8tO4oG7spaoOv6NsIps0jkwis2PIBUmVfajULSOFUspXeqpTE4FkfEvrIuFv0F/oU
+bpTrNDTCbq6UDivghazz1ZlSavMbh5Q1msrpLs0rXQdXd00Kgxryg7lpAawpykuhiZ+4ph+MDB7
s/swXAjRwsHV2hJStfgcm28DIyOxOT7aEXveQqCtJAOKJZKEvox07mDMgC6D9ouLyA+r7sZil5bk
aqfVOBtlaVtU/b6rZEwz/Xw1pfYe/COimaXxYbTsa8t6DpQBNpwFZ8ORABrHz10b5G4r2CsEDWRh
cpYg/5IqTqtLfWzTcO/01pZ0n4NeUF026nDMNDBvuYZMtN6ac225pe58SuKFHS/NLqklaAAtLNWx
/FjVqoBwJHtd0m+7jKRx+iZs5Aup01pB66aFKdrb8W7OarbJhGUuSMwNJWDLmSx96nUHsy9pSnKI
86eA9wmSaT8tjefow71egsOLjJPZIjLsFjho+nWUoxLqgxzv03CMxmZXwgwKMdRGA0be3Bm32UC0
tJrdmEqZU0tm95gOPymBdW8G/bpszL29GAR9N0+okYELds5G0trHki+vzjmYRBhMJLCuCLykbjJ8
LZ0O1ZjYcHdCMAEz2LzOblVXtwI3NK0nnoJ1EiePYYDRYmq7ZC0xurSq+iswta1NyKSuVU99Iz9K
knzTWjNmDUBKw+R4spF9XtLgCuz04kZzeEiTJt0oYQX7SbJuI3htFI4R4acAWOU8/+woeDUkMljw
lljG0Z7aYh/HJqjTim3VMG8SR3/oqxbomorcOqvE05NAB1SSC7rVNhyrsfaNempcSTGuJxupbT/3
2QXsOpGoqrUrJ6sGF5B5sBpb8xR2nK5jw/wEQpeg+jqwPzcOVueI0xyHLPZfnu9mCFryI6VgFsHT
8WlqYvNQMxbzHS4FrMoq9BopTUXueuTrEc3QrJfkVbfgRC66IL0uccpjGevlCxxrrh3NqtvVzUXX
TWfYge2u6CfdVTQOjIpat1ugGcmKo9nBRBfqtmlVbBQCalDVOuC7VUY8elatyq4uQSrE2dmCXcFu
TbdsoYz1goCNfpk/NYH2bKX1lvUNb5rCDq1Ikg8p8BCksPU4Thtuaho4xrIyvykNgtrg+QXZfZ8W
1+PQjET2mmc9tl1WFq9JdJ8xQu/TU72wakCdDCf478eroidYo7I4j5bzPqzhgmr1KhkSr1q6Azir
TWRERzmT79MGbmQvZF1Btimm9AkyIl3PuPNGOzARTsno0fXY+lyNEoxbzogxRsAxv02VfFwPhMhr
GG49GJQwK+0lXS1x3BwXOz1pakXPvL1SarMl8KN1pxw33TJiHVesnaoE/SrUUIhl83BnStVtDnsU
MW6f+W3TR6t57HKHNaffj7JZPhXI+Fl/pa8k+5Ex2IMy5e3wA1emfi61jFn2nFrDdkgiAIQ6RTdL
f3Qf1LyD2me3BZMJmGGys+/nBtxREmKLNyAdwUmBcISFRS+tW6MuE/5Xoi9Iq1varnqAEzytb82A
/k5hLA9LUHD87kmJM/pQocCd1t1sS5tKHooN/PrSw3YJ6GMw+oeGMno92XO8eBlFOLtS1G31gVTR
dAR6YOcIvvPy0RwqogZj2jy0rlsBfbX2aT3fyUARBgTkbllFd32m3tL/cOjc0goupaTxyyCbmb4n
o1vJ8iOND83XJr1+6JFp+1UJPY16Ob22YmZGUqA9qMSo3wSqMa3tHmNOgtXzA1XDO1WSju2NaRql
Bmk2Dske7zUNeU4TMEyKUwdZE6P1zmDoPzbt+vdVwHv555/vwyAOAYLGY/++COisJU8x4J7yLBPz
mDtWpUs7z59YLsGhzA4/wJxth6laZ3a6bdXoEA2wO9XigpXqgI4P+XZ6RabyNV6AlcYRrCfPogiD
17I30VLwCOiLfTLlkHLtR133iwLml1cIso6l6OA36X3+XL4YeV/GnZMWp5FUi3C+FfCYqPxAUfgu
7AS/ogNbXGPkDiSc05L17ndo+7Sa87QfTlUIOpBw7J2G4JSOTs2+MQxkSEjDg0Sn66pwuAcdecfg
CUHmTDBmoMlXS5Iz91/6KzS2zk3BrtSXAxII4Dc6c0fPIGlZ0AhPsRTvEaRwzVWeGzMfEWcSpnAN
4uE57TIiIsN4s2DlD1rFXEVZnK7STnuRsMUZeHRhONemO2Pd88oaA0vEWImtiNImMnf1or4CcHtG
CeD2Bg2pycqO82JhrbVmaSsrY3KUoyp3lwnsRqjQV4kchEFKHH4KeiW/rUcGVI4SHoy8QvRgVt3W
VGB4l2xxSsX5P7GwUcjqmcwa+gqclVnvs0MgP/fgiMFAsy4+2hINNWtUtnOiPzJojMDg0barCEnS
yJSDG8omxmMG4r9HmCnl26bjhJUr0x7F7HMaq9ELGpuNbNa5T/vpqJYcO7W2XscakRSEIl3nppkB
LEGDQQ/norbaD/ScOLl+Kpr/uB94IOmlC606fe6f77pAk8qCv3UnFFvPmtPm/oLX6WRKNcLONnoK
WySEpH17ijn5dvwt5yU7clUA0EUp3J+wPRIw6kJ0PBql/aDpRbRuc6Ne971M/JrBvCqMIWQP9mCv
5FLPtziqK39U4tq3G2LZdRYimYYnQMb6JsyhaihRW7Ib0KPqcMkXVb028wVxnvnsCC3goNA+anL1
zlRnaucZ/mSngG0lGrUxIMk3o/kAOHI3BuoX00L6WI0sA062NYvpNnCSAy10ry61GxO62zJBkpvV
GxoQxzSJburYuM4tqDJz92Cnqe5SN8ors+6pBeuB7DaMS7bgDEJ79WWETj6YxGeJe8KrHO1R0aQH
JSKzt+6QEHPeXw+LRMrrVK4UvdnIcrJzimGllhaD44EWaSd7tj1eWIS4jMqArDcTXJXuVhNeTXsi
zW1+BuD2UkNlKvAyEQpzxERGvy09E4Z5sApzPWL8iayYnjiwG9WJr4A5p7vZXgBlzyszI8SzoqAp
zZBzCQ/jIDlXY919JfwzABgjSDtkWXR96plk46owDlAdHMxW28QaOmobvw6T0QX8NxVq2uO1J5Mk
Vcb7EnNMKMWXdB7dMCrXaoqfjl08GkNwh9njULVrov8KBwSvryjsmlkwrju2dwJMK7+HEu5nKQNe
hAJLQvPUiSt3VMLRa2UW3UVV1gmxtQR7XAa2sg2LDqhjfSgE2aejf3jOKiHozqy9Ho4XlUo4qSGw
kVAVFW+UQddVyLVaTgmZCaEkX6EFK7xgvDSNlZUScWuf8mltzutS3wbWcI+oCNigfDQNLGxToB+S
aGwFTDi46NXB8lrcPZ4F+HED4t2vqBu25dwx0DWtbTNQhVglIS4Wht0haJQPtrYPntRvWvG3qsDI
mWFTpj2qPzRw7TGHaDANwrV9Tpujwonl9/vRz9Ovv60MYs729jitRvAsQL93p7J8JYx2mK5Jei7C
B9g+v38joQV9M2f7453I/9JVKLu4QA2xM775ZmNLIGwiD9NpUeZwVcUTPfVAFflC5S4q0din03BB
2wzsGUFhDJFtA1h9CcEigUk08u96rSJ9BWF1NRUayGqt/0SD7VzK1k1G+capBwGMejOFWOiKLlwT
KPRUJPq9FGXVddinw8og5n2TG/2FkcguhcVqJtDIo8TbFJ1m3WMDuqmWzKeTsu81YnY0FQAHHPTK
OY9peNGwbVtSepGqBQ+TRN/SBv6t3OdVs4qzYDfSjsQXZ7uIIp6BkxteNoaP9eQ096qw/KmtFn5w
VX/ut/z9or6TCaWmXpBAZk8ne3qKls+zvf/9r/bRv/9u48CgS40cpvMptm+IoMZ/evf7N/hbPUSl
8uauMN/df0wj6Vyq4Xwy1EuwSy6XSY7mD+T/4ir8NeL9fpXQclGSKgZq5Z9vvclqx6jV+RaOiiDn
pRtzapK7eLI++DXUn+/xb+0vzQLHwFYL/oHK9Oc3mpMYTuZSqSfKmBc2Nf82WyNrWsH89O7dwr3f
md5w+Hwde9GnafWcrebPPNHtVtv9/qqKEMq/feO3G/67AtAZYma9IctItx582ZNX002/ya9oWq8c
L0PkueE6rxWP3G43Wjl+BX3gVLz8/lMYv/oUb35c451/IAvazFbJkD49TDt1RWjA2rm0XCTWbuRv
7g3vQM7Exjkx4N4WN8b2FqjOZtqy7rnLpiRAzad15ju+dOi3xaY9RwhN3dD/VLr9SfbmjbFzdoQx
bJu7fH3z+4/+Xp39rYJ++9HfXUBJbeOskmLuS7d0q3X7ihjnVvFJx/IJDvDjVbHO9+Xm8uWw6neG
x4E92UOG2ycn1FFesGKQ9iXwPv3+U33zav39Rv6xhpqiOfpmDY3jcmgsk08V7Rw38pYtQ4PbAikw
4eguPFoX4ZibbexTvVWfaKStfv/+v35Y/3qO3q02LDUSgTHzdJKXcmWN48Uipaehl8sPNiWxqvz9
a/71Pu9WHZt8s2FYsvlETe0O44s8bUfIeJDHZXg71fr33+rXa9yPd3t/mJRyFn+jTnoGNyknv+sq
vPqfvcG7M5822ZlpIk86pcaFmtAHdD5yL3zww1jiQXxzX0h5ZRfWzINWVidwROtKfVhI5fuffY13
i1urZG0yWEl3msSvsmTw0f+UUf3j+OCj7/HuBuuhRfdFm8+ncZi82DzlKTi7/PL33+ODu8t6tyqZ
QSjNNOfYDQga0Z2CQJnurGm9Z82tl4zqaQjjDy7dL7+XAV0MDhphvvq7t7Q1XPZV3PUnPf/aEMOi
RTT5Nr//Wr+8jd+8x7uHJgudVqojfToZiU7//irPP+gqfPQG75bEJc0nskfq4SSzaNOMTrXsg8v0
bX/83YP/7j6OYoY+QcZ9zNnABai2H7bpkSMCvkcvWoXn3s3/oGD94x0H0Pj3a4341m8eHRg+oObV
iD3qgcZwwaqKJNYFNf6sHJbd4F4uXsUfXGOVe4prX0nudbcSu/rlY32p7Tm1A0NYzZ27Lbxo89HH
++VGTkzEj9Ll/Z0TN6OMbqI7KWexkUsuPGF9Vyiem250/75w94geL77KnzmcNXfzxeiOH6xeqlie
fvejvPvdB6k1o9qZqSX8wV985tOq6ToXmX/tnMwDTE//UV0DkaBju2421QZlywcr9EcfwXq370lT
LxFrVHUn6QL1mU9nM/lirBXfuuhfp221yg9E0Gykr+Gj5iH4OYd+8vr7p+udSfdvNaT17j5JBy3X
24JbE6zkunYVNxZV3S71bofdtNvFomg5AVO5l/Hn5utqY10iwPP7VbSDCvGUeR98HlEY/+1X+etx
FzrNt/etLTnMhgqWlHqFlnhjgqBdL+vlEF8o7ku4gwDv2btqS1PvMHnW3QpXNj9Rt0nXN7EvioQ/
i4N/R/c6D8SPFq9wcf7pwBSOmf/zv/8Y3aNFX/5uOBGv/D63B79kgOgygCgxoIez9IY9ocJfIooR
lhsq1J8MJxbACoIg6ecSCSkK+r/m9uZ/8BCikbUUmJXforPfzel/N7eng/bT/cS/ZMv05g3T1Awh
x9XE39+sg04g0Tmy7epcTKhWoJXAKVLh9GZTcR+j5FypSaO4LeU8DDeySRej29WG8nUoZRyLeT7u
R6HeyyM6/53cb8OS4DeuBwBiLIllQfNJpBskVvJ5DJoJUBvD2aFADJp12C6s3LAp7Wbnksn6ndFA
ialHbXaNdDlQ2NyFYUd2bHwfJNptjl/2bCmB5JWTMgJlstC3TEq8zzMGPjqJJKnjXNkpXZqpV18V
qenXoSqNt/gdtiiAL5JqmtfyVKykdrquFUQzZZXtSOs6DUIrq9cbQ24JADemQ241N1FLg7uZy2Nr
WOR/d9omlZ2I9Oz2ZUaJg18zHFbWMiMgigPCktG0OzMqSyGQx+HQNk28QzH1pCiR5Y3TSIEh4kEW
ntKJqRnpDdsI+44/0XXzs0bgn5frIFTmrSEpXJo+Hi6yGE9LboQnp4r3jk3iLTl+q6WTviRJ5sD1
YWQelvFmXMbYqwPGndJAX1OJyJHuF23dZwDzwoLOM1F15H0CwOi0a9wr12X7RbXLrxb/XD9zyeKa
eORIaZ8j3EVwnC3mfVbnJxCFaLklCBBM1QXoB1wh0xEhzy0GE+caukR5WecKgZ3JtMLOUDHDFfnU
3MMbWPS3Op17Lx0c35aMu6qYnX09JNvUom1v1sFJFp5BO0jXQZxdtGV3OQYYJDPyK0aUmSDqfMWI
7x291ZlSqo4XtPA6nKxeLzEkz3p+UMt8rRfDkz7O1S7XhuuhpWOtLOMr7zytJi17HaxaOQPg1txa
mVFT2OCw0+jowPo7DFrzWWkCDqmNou7gfJlPETmeq9qC37eai5bU94VRIF7cJhmqUzhI1r4STt3p
m2nX+mbg1SqYFoZpf8HGOO4HQ3PtwCLxcNoKXt5saAC5g+bR0UfC1OYCq23FW9Borvp024wUoL3B
JbZxtUh5tNxpVam4ujqPaNOsG7s2Lzplfs2iOvWV1LjOgii8MJeBlLnhpEajrzgJ9azJ+JJu/pdk
qZxdV1pfgBEg47SXFkik0/ql0l4xqOYSN0c0gLZvNWO1L60GdrdFHmiqr5CD6tzhdu8Sa8wrpgFB
3RjOtGqDr1kVXDJw7UlL7uTzEPWlZ/ZwGxDbXdQqbq2FaQdZeGgEkAhYQbEfExXpIOKPhHAaoYHt
ULxLyGVAo7zKcpDelrJeIaOwZ4nueIQQ5tui/O/upHNG+s3uVGbPxS+s/+JVb3cmhrWkpTGOJDDg
550JDhHHE8wbjHbFn74rymwozI4isKNsFpxrqAq/K8rIC2A/k4Ei0ZT9Zuv4L3YmxRb15V+VDjuT
RWAALWMZ1ZcJAODdoVBHct4QPDif7S5sLq0EjXOsVNZDmenqHvRY+jgrnbW2u0E+8uwHnE2HiNVi
wCXmjN1NJJfZhpT2+AIkcQDYrmtWRYwi067lU5ZFznEQJHFDMMUh9PL6AUKCD35JjLJ4dBHr7yeV
OPK2Y37P5DB9iQO52CTFGPiA2iCeklHwlEdRuMd2viCk6RKf52B2W3ZUEojnT45aA5jTnucgt/a9
IKV3pTReFOi6V0050uQXRPUpk89wCGhwxch8HbMmmgoAOysugx1H62jXJUvHIDtJXqtZGXVoRrlP
VHtIImv1GE1hsEI86sVptU9QzXpTUqQ7dXFGr0Oydxkq4YOczvu41xp0ygUuUsbfsdxJm84MFzLN
e20fRbK1yrTsQmE8uMNz7/hAi/VNmhX6alDVgCnqYLuEnKL+ygHjBeVwtTRJQcwCpisUKziyDNDG
qV26auicEo3p4jBzdaReiq7jsdJ8QgLAUCGJ82drrHZ11O57NXkiJAYTWtYVggyQrJgFk2ZWL50H
7TpakQ3Z+JmUyuvAVLaJLsH3wY04GcMm79LAnZe+eh7KMDmiyn2VUjyLNcJ29k3WuBE1M5SBG1Oz
rnILKVw6TRt1yD6pCTT7g+50mExUkPi1clmq9ic5bC3m0/GukmRU2h2BVDWD84r3MYU8OBv08Ni2
pOZaRX7RasqrYZQ9Y+bxBssFQag4KL1URlqc5/LZCp1tkZebQTMOyeQcq1HeRAqW/yULyY4LTDyv
4AXD+JwvceeaXb52dCQCizEfjbnyq1S6szUj85dJv0BUxl/64ClXm8/aqOCyiewXvH0bzJp3tUMu
E/h9Sv+qZYRWIDE71Smbsadi8X3RbaRuzDiaCNDjdHCwavBUEIN2UMy66RmUkk1aOYHmW0R5HUJT
jXf/LsbfSHUCG/Kbxbh7LuI2g5b+i6MCr/yxIMv/EahV2s8/XOY/JL7wXcUJQf8TSM0B468FWWb0
oILFx5oAkIU/fV+QYbFoOjY6JCEm8lmS6P+LBRnS/vsF2YbaxEewAcawEsqipfLmqCDZkpY2U1ae
e/wiyxEutJGcFF1O1FXX5WT8IQ/vvDwzTgZSezTkL3pIwEqj5reDQupHruSHWm0eYVHss7a4jvPY
7yS1ZNoeHG3DOFYTMe+FNW7IbQuBT6WHSB7vl6R4deJ2cstBbYmRNMsrIyQvKsdnEKGp6JEq+MIz
h40oOXYM6CaOVsSFDIXyGUSZOw1jmBF/N9jgLC2tifdqanbhJiUdcHFl0ldAllQaUWuBJGPlEros
i/y1TW39X/bOo7ltLF3Df6Vr9nAhh8VM1SWYRVLZknuDoiQaOWf8+vtAstq2zHHPFLXQrbrczLRk
gcDBCV94g7XWI9BmN4pTEQ87cRvUwG1dT90UgV9+CVoHV3ZKBPK8qZtgsKs6ODNKWGE2DbQS+2Aw
C1OrNAsiXvhWwywvXDGfxUgBwmNou4ca74FJGyV3RqbVyMW3KM1bVFN8fZ85uA0YbQ6D1YzaOcfD
luMnt+US6kHm+bN8cOjiwP5IneZWFp3PQjGsKkO4anAnTpp2RaSJLmm16VoNKScdm5cMpdNIxv7d
38N5OEPwS4CGV2/pnCN4L2RL0wM7WFjSVVMLK12SZ4iX7Ew3+yorBTrP7VLyq3Wrx0vXyTeuBRJL
7nZ1WjyIfXlledFSDvRbDMunnmYsHck91z1wD3mUXUfZgKS+P40ycdFq5VVRYbbctatAV+9iAy62
Ze4tswSh10KMiRUZia6viZTO1EjfKW09w38cFZjBltJy6/jlhRVWX4pymBq1Oc1gOABX2mFaem7i
Z0MmtUtQ8Sk7+W5o020jBxPYUlDqVQy7MST3vF3gpLtSsc4GRZvXVbUOtGABkPRPWQvmpl9tM6V6
cFPQn+Ordw3rRi0kiInSAsreBjRHNaktcVfLHuqtwa7Q5cuceB1a063mKasoGN8w0KAsjFclOAe6
G3Dl8gOpDGTu6M4IvNtU9K4qT5g7mbZRVHMu1zHW86gR6720adXuAb+uyrYSaRom0sZp4JwZNO+8
auMa0lzwu7O281ZpSTZt9sWhMGTa+N1V0Y+6r26jXSKmsvD11tvpjorvgRyfFxEolTiM0Pbz5RS5
bk5o0u0uPxd1bdNKTKl6tPoki7JzveUEKq2n3qX308XE/crG8N3LLq/0aYfDaxNFxhQYyZ9V0DP9
FB0CjLPo8qafC4rzJ8bz29bqvLkZ1zfYOswUQYEgqVYlIJnBn0hhAlI1htkieCDws0ZIZrInbR1V
vVILv7BR46kmQccbbwLrIsiERanGdC2DFPpnKKAKbwTzvJO2VVAvsDW1NVDtIlS6GbODtyUTQGGN
epGjFWQnankmI0AA361EB8c/B5y0UXJhAZNpFuv5LpNlf9Lm8WMGG30uDwLCMGU7DRx0if1Kv9Qi
c5VWgTIt0gAxpBDhRmfA20EIajsVSU5lT0Nfyc82IIFrhHoEO5bT+8pQAZ3JcWML8bBDtWDbhf6T
ruQB4gLy0skAhnajwRTk2ys9kT9Xlr4WNFA2Qh3NMVJDW8FvtxQF+0mjsgPEAjgiK0vqqZw79aT1
AVEFdb9JqWlMdMU/D8P8ttFr3cZ04sbVNeY7RIcEE8vGDM+diKGh3AJ2vghurSZObPyt8PnQhHaD
gnB05ml6+FK4/P9ETCM5+vdn/03hY0DY/3rwj3/218Ev40KNjKyKepFsIbT8Q41Q+aT/qOr+7dRX
pU/ollkGcFKM20Z3tu+nvvWJn6P3iuY7xT10bv6bUx+m9ttTH/FQy8Q62+J/uJU3BXABFwQ9z8v4
IpEgo2xLuYZz2Nc+8uyIH7WyNek6MqeRlfeYN9B/Ro5bB9lNHVlvivHQNxjNZNDhCoQv8pEfV5kE
tLVq7MSRO8fqgTSfgbp3RmadNnLsZND+Ey9zd8LIv2sar7LZrs/LvnoSxiBcs9ondWTteUS39cjj
S03/rBuZfYoVbAXij0JMtWk6sv+8Sm+mOPJGwOGKJxRKUG2pi4fGr+bAifsFfh8PAnRCr60Adnfu
0jCqXTKEkCdG4qGWt19aeOdR1Ud2ADdR0ap716S8ZY20RWkkMLo+VEZVAtZWj/RGkE57YyQ8liP1
0STBxHT1PB2N4b1BhiJh5BOv9i87WVzHonZQq3ih4Clfqv4ZVZ8QCoNgd6h1QYDgX1vLWCzua3KS
tEPzKhl96vGrtwKSgHQqqspjaVmPhVyeF4N/p2FxH5I9T5GpxPVe0y8wy8PAWWuXsedjbVyhuzkI
tTvvQ/8ar9kdtpW7QckdOxB93N9kvKC13IxXAaC+iSZVRCgiwj1aS5ln1AbQBAqabiedBZ7uLgKh
1gECRlsvr8WZWXa3eims5TZHh8ao1mbaQCiBnZ2B9wWrn6NwmiXyoq/GWCdIp4UP7STrI3MRGl4x
DUSE1PXG6WZa/cyM4LdGLy8Lt/3smAbmE/WFLtZIAiatjR5bvijUxO4gp02w01nJpKeTrmrdidoO
6H2LxQoXNFg/suAssE9w7DZtzkRD3Hm8Cv5l8RDgN6c32kXriis3MDpbl4OFGqAWW6lLS4L0FA76
bYUPsRi7n6lRHiioCHY4ELpqta5OmtziiKuH+yTIs6krIxluZHfwUdBRL9tbATamzZ9St6XWPFOa
8LoXQLcqsp5NJAmdHJjnuA1kW7W3zkMVblHVd2T7abupCV5nnYlwnQFynLVSmJRkfdl2QmvZVlBe
QqXo9pWDxxqlVIeyO+ZPShhAHAF27N9S942Ygb4xY63BTWsIriqjWiQlybbWFtmyk2THVlLxrAdP
iZwOgngBBsSDIFxS3IWQkeQEWTKs9gT1lV6ge+4riNN37kAhO92HXY6OlCJeq8pa6GGkjqIzbnGV
GuVM6btgCld8ZqopvB7jqyiJAabo6tdiEL9YpbUR22iX9f21rOP+ih6bN9N74D59nF95dbmPVLST
/X6F28parS2oLxJ2Ncy9AG69ikdA/1Uuiz9doT5r0+oS7M62aoJwDr9riirSVrFAFEhiE06gocmT
YNQ5qi2vsYuq+poJMToZXTt2O4y9nxd/ItSN7HwKzlhOIeXjiIOrHZ7MyGULph0F6j27bk54BtG5
ifTHSjIptpMpT9mQz0qh6BZuWddzb2jWlaOgSVO4V7rX7QPKJpD5QnVe5WWEiD9HcKkC1YnRsPMg
ilRed11puLNTuplFHTVdTBEJvxOtYNGlLAlT30aFH8zSzoGWq4xYRIcWn+BeOw5UmMy6thx1qXS9
CQ1+9J/qoysno2KNavbcrczovmhLfDTbZiOQS45AZBa2FtxhZ0TloWnDOdsqMlqy99AlqQ6zyZ/j
UrhmQ7/q1bRZ5mLcTTkALjNY4xSCtGlDZ2vhiT6S0aWiUgFPbxwzWXsOclxhHm1Kr7n0NdTAZMiF
Dsh3QLQFobob8bdNc63pgbkckvqhTIN6YmGYOMEqxMPUMBcQDhO+WirMfFy0/IVpCZd4ID7oCms7
jwwT0TETrnIHMTnBUHEnYvE9KdL8Hpchx67MPsIgtNMhTlJV9sDHT1P2bC1LRDh0YjWPqvShtvw7
qiWqTSI376kzTiReOdh4vB5aBYh/1SGoaIGst/XG11coAGBJodID8eBkKyly0rXa3Hp9eNlyJtpV
QO3L18pgAj/DhQbWM91MA22MgJ8hUoQViDC001ANtmhUp+B7jRYDubadCKF+qyGUjSvok5ZqF4Gb
HTpchrA0CO5H9YhJWwhMvTrZSArBqqHhwWvC0jKMBFKEtKqirKC5INez0BTTe4QGo1U55LeKzMLH
3PtO6NXzyq+e2jyaW05wy2Evnvl6iYiEaa1K3z0ng7+xhnCpCFgaGF7TjRkMqiRqu3ToaRhJD5Wy
UQEbwOmfUgR+9LtUgJWHZnieZsO8T80ryYnzmTaixhMIo7Msg0fYRLWzEot+r9PQ53028jwMzZsu
AXplOsLad919AYfDDVFg64JskeYpf29kF2mIQFpqie4MFuFjFnRQNCr/iyoiXhPk+oVY659TVV84
WdQtB1f5GojokSgIik1kGdaG2UFZ0A3CcUxJw4mY9ky/ADsLye/BtQ7SFx3BLksN/RkyoThWCOza
Xo/RSGCQzulCsBcTeRvC47Ir3wng5mdnfhMx1FWx6AcMWWtl9IcQw2XgYvkGiI3zrkJiIpcRgkuD
IprBzn7yXKgCuekW80ZSRDuNm2aaij3qIMO4q+p3MYrtE9fFfirOhRuvaG+RS6H74lt22kabuoQi
6NZmZbtlSh9R9a4r3chnRPOr2q1hRYrWrZrUF27UWrZSVuQ0mYBdrM56Uppq3rlCNJXDZCUQOY0u
XKLdyuVD5sYXHSBrl9HiCEEwEykTNGH8Q0tnTsj0r7oo3Ah0kaZGPLbyrPCrMTbh6BI/Nn1xZnGS
T3pDe8QpeoHrFhJfrrR2EiWZWgPabp0e3rkxmnVQQWXbJCsJhHjuOg+iiVqBFasTE6PXiVQH60wj
xYbZFuxkP105OeZ6phl+cTH6mlB7uZGQK6BlJlwZMeptcpyuVKu964i5EJgZ6G1maTLLKyiQPSw9
fAFzHgf3YNRVCkTdU/XMpP1lmn2KiVmOf03bfqX1gHJOS6vQDZW52NT3WcPS9QrpMnKTMVlUtoru
I7ijBcUEhtW17vOOIKcphJcd+3SRbBEcTOaFrq4ls3oMYvp51Enu8g6jEpimt0MEXaqPbmQVBngL
kTY1RIzGae2abaIg12e00zSqN1lZzBMRJDnVFBJXyNfM2uBgERt7jU63sEsOQ1ysBwt6qku1R5aT
e5wsMeUNbrOGBm5JlGeEbH1ezsz0rNZYpHAQp3ltLMSu+Kp7hHRG2mGgRszXBOTIUXBP+WcFD2Lq
hcneMcOHoKrPVTVfxz7cGxcWhUPHfgJpC31946rzpFmnUaR28vQaAZBlplori0JXLgYXMGNwEidT
7RXsJZ1o5hfNBuHdFX7PdqSJjbwuA6m3c9eQw8soGfT7PvV1oKuC1vADrcqaaW/qNEQz4QXV/v85
6IjA/k0OWjN34gTk01sJ8fHvXpNQBCYwCZNo+eHTZcqj3Pdf1WcEJiAm6wYFaB2PQ/LT79VnlfyT
w1N+VmsbGZvfq8/g7hEJt9AB54TEdeW/qD7rb4AqYF6oOANVoeZoqSo4+zFP/aH6LDVaEQsATs4H
zVvT1pyoTUrdJEQmEnHIeaMRiAdOtFWziEBGUZdiLS38rDr3qGRiKzS1WvkykQS2a2ndltk+rNUv
INXxNK223SBRzVSXgwe/LxTS3vYM9wti2Jfwg8KZHsd7C0k7G5VJOI1RndmDRDYU9xHalCFcSzOu
krtU8c7qOjU3iRJfmF6IBA0n12QwBLuwwgdd0OaKIyFqlZ5j6UocbAX38MJ0YDJo4BD8TeUalWfI
V/55radPepoSSKDaZQ+eQdTdhNJK681NVcFRdOIboutDrw7bUrUeAN3fIKGVgg9xF6le43IygL9p
9HNIU+uoityJ5Wm3CqxzfBf/bD19XjZFg0waQUVrmReqVVAUS8/RJt4FLZZL8MBYhMBK8LalOV8I
dxYyn5MU0ylRCzaYaKHTmPVnKJVVK5SRc/bbgSxat+K5EFh/dkZ8oTX1Rq3NdJfll2KqzGOOWcSL
zqERz2ulQ8Gu4bhHMlwppL0ieexGwn2jOne6Ks71mvTGaloaoVH84Pf1LS05WohDDc2iC3Z9w9Dl
YX0pdg5xaajHn3N1BTAFG5LKpP+HHlyzc0Vz7rTIzVF0b+2+bq69Ppjx/3F918toWuXJ55rbcGin
2qHPIY3Z90LzRcbGhJ8q9md5w3sIAoGIQzSjadqbgC975co3oSG0zpOaQ131df1GTfUrAcVDGwf0
jRXjQAN10LO9jMQfMasrQXNWWlCpyLQTe3d5cIMPzaMp+tPEiS/BUD0FSfHZtUSwErJGYMhDLTNH
anG4cUDypZ1r0wWaK+oI2DEcO0p9UN9+PR1wsNGGcCGqQGdlJZohY9DDPKoPNFayqarnjS0a2X2a
xjNLyqIN/huenUckBEA+ULbuJESvSwBaAiVmiJMckVhLZlvgTbf5EJJJ1ETcIkdg6gugIDvTRDgd
scGoSM9EdMKRMgvntVne+7qxQW7/KmnQBzB8K7YFaRgWcUKEnzgFxfeeMw9Y0Z9Zkl+bDS9ea91p
T8lerJ0npxGkqdJoV1ZmXtWts2wVwFmS46yMUIAuyKSfgJ2bd7j1kQ1S+pHdsIQGiip6kKNqIAz9
3lWG0iabJARnRCeVUKyrBkpniH5jT4dDGsu/li4u/EGOZ314RZtI8hxSeXfYo1W6rxr9xu2amzDC
s70zL9BaQX/LHcgUZOI77H0+w/4nlEW9wxuqudc3OvIYOZx8iZZxrTVkJUK/5732a7XUZmlGYxa7
VmUqC+pB7sptJArbTqyQHjb7ZAaeYE9JfNlnlWYjIdnzuuBL9q1hIPhCEI6cxnVsQMLOy0paODTY
x7Yu99NEybStmYH8/KscdRy92ig+g3gDGYdwRVXmUMZMCVWPfSIP4zYr8l0Z4R2AasQhy+hSC+28
DMiVBDlSZ0lryHNdQjBQHIqNI9EGT9CIwQ3VPMsTHhqdvQZVxOSLGkcoXQnswa5vWtTpCNii3l06
qt4tU6nf5zomAhZbI/H1PFdqgYq0uh0q77yMlJgkiQZ97yvXbRC3APBAkpXiAtjHTYZuipJK15Kb
I6A3AAsUU2PvggvIdI/+nepPW1/UJ5pY3wr6INkO4lSzCKULCl1M6rB0vjT68KWoqCOUqrt0IwHv
P6meIb2J5ElVX2emFE+LkPcLTXpqUn+zWzBLEzemJFREbBWZnXrWORvdws29GKWS8gbr58+hXN0V
uanAbq3vVAuPP0luJSoAsnc2wJXA097T7N6DQJ66OZhbSVkVZXCd6MpiyGgJOaH0pQ2pY1hYC2qR
FdimFY4oO/DVhfy50S/bcj049y3VQE+5pKo0oYz3mbD51ldiXk1SLfQk3ckZ1c8sksqlGOgHiY1+
JnXWBYkqS5vy61LQiAQNffBRv0dd0oeom1rtpswi+kTy0ugitl+/nw29dJ1o+pmHsNEEVfs7o6Lm
IebVOq92Y+Ow0vBqcA33AkcHWnip5S/kvEB5v/DvpH5YRFERbCgdockmFFurN4R509fhXKm6YDJQ
IkX+mrxac0aTJneNLTy+NboJZkZKXQoqfa3IS2T7DpgDeds2qSYqRuqxZtwFadwuisqnB1flQ7+T
qDYg9cN7xl1RX7omloq+MyJCy7VTDda5BPD0XBwQ73NolK4auoJR4Zkm5P4eTdGuk9mPzXzG4RFg
mw5fVJO2tLJX7EZr3WHqmCrVUmjvqAaqymcE0dkhGpjOaiksCat3qlq6y8QTD0ovHpzefeDIGaUL
umUvkgybBlmWyKNzj8BD0mnYRfiZoyauud5Cpl2OkyHyipi73yME1SyAMQWzFpxLjo0HWesw1xsB
53RDP3PHfulDJa4l1bkKHWMpCBBV/MI4V7IOa846luwwEm8Zfk5xKTpkXbBuEEKeZ/SNi1JfBCZu
jppiJPOkE/ECLcRsCsWN3lve3idVRx0vutbUfqpH2m1socGeB1SDhnDVqvocJZML2uaIOqXdXKqy
GyNVH9lcLyrgIzaa4NDS9fwKqO2cDU5atCpAEksqd4lHK80YpGWig1uygvgcJcAeNSKvnvlW2M+K
rmI+0JifevrgofpazuIOS/ZMR6jHT+X9UFJtjNoWb/aAzdnUdwS590WRbdCDMMifhZmEnAD0cVTZ
AwpV8lWRN2es3CVQCBEYsTdKxWIE4tOElDhqQ2njO9WZE6V3iOzdt07IGZEYd6XcbdOO1Lb1Lcrj
uNjRP3Y/xz3W9RLK04O/LtRiS6FpjtgAtRzfRFU+44wW9Ns6a7ZD501wZnqIVG2dh9RbS6XfNJ1Z
L/uiJ3Hs9G0smYmtx2yEgrcQNZ+qn6Yuw1TetOJwVheKgiEIrUkdq5GgjeMLxaF4T9UOunFbyNPG
A6rQoOYLT1+mPB8nSMCgtIU4U7Es0Y/FXTZ4MFpiGLOrL4wMfr9VNOkCelC5iXNkcnKlPYvwoGBT
cgB1OcLCesYzyM/YBnqb4Bz0SljrI/RB99KV9YyGiJ6REcMzSuI5C/k/kI59u8Wj1kx/wefH3z47
Kt6kv/g3/Uf/6DXdOX6hb8nYf+b1JELz+CnBe76xZ7ep314n2lPQq5/gKyjm6FmJpYQGq2D8kMRF
aeJ++7Ugkf8BuIRvMFJc+K4fxujfjcLvH/BXG6xfr/Pbm3+brUonDwLy4qNQkarKgEl/enpZ/QRH
XMHVinx1/HyEMfgxYQeG+nJPLxS3v+bU38wBHvP7FIBVoqm4L0iW+Pwhhf5pEJgCFAAQaqBT+WEG
YeTSPHurrZ7++Q/pGW4nUmU4eTWIII4t0M0vT/p2NcjyiJ0zqeLxmw+4GsZFfPIgGJ+A8THjMbd5
/kAy/Gk+MAgyJR9jxBR+wDGgJMQMPnkijBBJWvzsej8/PHsFuTSWvC+r5eWrPt6uOBbqTh4DKn8y
tTpgI+OH1/12KGCpWYjEvpAOPuAgvMzQ/25vHB/z++ZofdIknhBfiH+zI0DkY/eUJPnDzoSXg/u0
QUAJkbIBBI/jM0HGPstEUlB92YI/4Ex4maInDALYKkPDf0seD4jx88u2qH6SAdWwLX7YfZFbPnlP
MICioVj4MgbjafN2T+DoBAj+bDD9uhN/wPnwcn6fMB8U/RNaADQkCJFfPm+GYoycTWi65qhr8DHP
ydNjBbbH0dQVbck3Tz9GSjjPGYr2UVeDdPrhAOlaRF1dNL4dDm9Xg2QyCJYOdPNjhosaAJCTtwQZ
AybZ1FSFKHz8EHj8tCVI2ieNZaLBaX/+/Uc9J6XTIybtE9ItY6zw8qRjHPrzUKDWz/GBweTLTvzx
9kXp9GBB/8TjkR+opKbPn18HAS6TRcD0YQfh9ESSF82CMOiKP8/5X2NnGYNQTUKR96PGzqP2zGnB
AhGTaokWr5pG//j55YwQPyFeRmT9bel9wOVwetiIdR3FNdzkXibCL9ujDIqCX488vg8aJnxbp6fE
SuondB1kxXzdE97WVTgosfEg5R6J4nw+7BnxHmEjSTVRkfEtl3p7RjAfwLOoJsW2DzofRh3C03YG
xYC3ihrACCh6fd9vD0p0QA0Tfv/L1vFBh+LbOzplaRjwckbpehymnz9vlwaB9OhuA63no8aQ3yof
pwwCILMxhIa4dHw+yAq5NYBznAQ+6Ez4lvSfMgjGJ0VEDQqUyr+ZCRwl8AjYI4G88fmom6R8egzJ
cUDH6a+R+KXWQm4Nc8fE8uq/2CT/g/Dirwae7eHG9NzfwwnyuZny0rf623/w2vz69QI/9CueuzY/
/cux3/dy7Zeuxvjf/9o/IV019cuq8B8r+bn19sNvX1txz9/07e+/PeKvX/7Tl70+1+sPl/6h2BeP
WGE/d1S+3eiLoNn/ROiaPe3fdlteGg3f7+af//j5Zn84IX5/dYh9h7cXH0/G158db4T+dfz89uLx
/iktXi/0Q5+IhXPynU/gfh+7cYoKJ1/b3kf7hldSvl7rh3snKj/9+gB/y19eKaPOwn2HiydVsf/D
Tsvq2FeQWp38FdND9McuLY6OPwH7ydefRX9M04LJ83qtH8af8+fk68+LQ3lMhmmUzjj54ovokCSv
1/nhxtkoT772so4f0uiper3U98uPTfiTL7+Ks0Ph76PXS/1w+fdYsit4YEcu/R4r9uxQHBnzMa09
eVDO/MQ9shGMhZqTr73Zh0f2sLFe/Q6XLsvDsTF5jwW6Scs//idxD9Hh2Mi8xxLd7p/YgF/H4YeJ
+B5LdLuH/n/k2u+xRMdrg+88cutj2nbya90ekqf00T+2e41pwDtcv3g8PL1e6Pu4j+H16RdPuffX
6/xw7fdYptv06Ji8xyrl0tWhOPRH7vw9Vupunx2bLe+xTneHZv9r7IhK4Hss0XPMj9wj29doZ3Xy
VLmI9o+HI7Hj6PHxDhev42PB3agyffLFr3xCx9J/OjIyo53Pyde/3j8WpARJdeQsVd5jlSKh/Mfk
gDzKsS94j6X68gVFsi+ejm5kynss2vFLpv7BPfYQ77Fqx+vPWQGPfvl47DveY/mO37FO93l97LRS
3mMNj9+wqf3yj/MHv8yOPcd7LObxW7b76nDs+u+xnrn+3/p1P2fWJySzL99hR8cdwd9nYY9P8Rvp
8pMfwdsfzQnVd1nU1DCOBWwYmL/DnueXIVI99eulvscOI+Dp9C31d7K8J486gUl85IAfXUdOv/O/
07A8+e7HMsuRc1h9j3V7c/D2x4ZmdE84eWh+L/F16rjc1OwER474EW1z+q3/nhl+6r1/5gbrY2t1
FBE7+ea/pNGRfX7kjZ9+6frhyELS/v6oPVaW/YtK8Wux9pUicezPfq5Fj//iMTrsi3/9LwAAAP//
</cx:binary>
              </cx:geoCache>
            </cx:geography>
          </cx:layoutPr>
          <cx:valueColors>
            <cx:minColor>
              <a:schemeClr val="accent1">
                <a:lumMod val="40000"/>
                <a:lumOff val="60000"/>
              </a:schemeClr>
            </cx:minColor>
            <cx:maxColor>
              <a:schemeClr val="accent1">
                <a:lumMod val="50000"/>
              </a:schemeClr>
            </cx:max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4.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3.xml"/><Relationship Id="rId6" Type="http://schemas.microsoft.com/office/2014/relationships/chartEx" Target="../charts/chartEx1.xml"/><Relationship Id="rId5" Type="http://schemas.openxmlformats.org/officeDocument/2006/relationships/chart" Target="../charts/chart6.xml"/><Relationship Id="rId10" Type="http://schemas.openxmlformats.org/officeDocument/2006/relationships/image" Target="../media/image2.png"/><Relationship Id="rId4" Type="http://schemas.openxmlformats.org/officeDocument/2006/relationships/chart" Target="../charts/chart5.xml"/><Relationship Id="rId9"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60960</xdr:colOff>
      <xdr:row>10</xdr:row>
      <xdr:rowOff>60960</xdr:rowOff>
    </xdr:from>
    <xdr:to>
      <xdr:col>11</xdr:col>
      <xdr:colOff>213360</xdr:colOff>
      <xdr:row>21</xdr:row>
      <xdr:rowOff>129540</xdr:rowOff>
    </xdr:to>
    <xdr:graphicFrame macro="">
      <xdr:nvGraphicFramePr>
        <xdr:cNvPr id="3" name="Chart 2">
          <a:extLst>
            <a:ext uri="{FF2B5EF4-FFF2-40B4-BE49-F238E27FC236}">
              <a16:creationId xmlns:a16="http://schemas.microsoft.com/office/drawing/2014/main" id="{97BA84D0-4A61-717A-286A-6D6020749B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220980</xdr:colOff>
      <xdr:row>6</xdr:row>
      <xdr:rowOff>41910</xdr:rowOff>
    </xdr:from>
    <xdr:to>
      <xdr:col>12</xdr:col>
      <xdr:colOff>510540</xdr:colOff>
      <xdr:row>21</xdr:row>
      <xdr:rowOff>41910</xdr:rowOff>
    </xdr:to>
    <xdr:graphicFrame macro="">
      <xdr:nvGraphicFramePr>
        <xdr:cNvPr id="8" name="Chart 7">
          <a:extLst>
            <a:ext uri="{FF2B5EF4-FFF2-40B4-BE49-F238E27FC236}">
              <a16:creationId xmlns:a16="http://schemas.microsoft.com/office/drawing/2014/main" id="{1B937311-59BD-DEB8-8A2A-2D0788EBE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xdr:colOff>
      <xdr:row>0</xdr:row>
      <xdr:rowOff>15240</xdr:rowOff>
    </xdr:from>
    <xdr:to>
      <xdr:col>26</xdr:col>
      <xdr:colOff>0</xdr:colOff>
      <xdr:row>39</xdr:row>
      <xdr:rowOff>175260</xdr:rowOff>
    </xdr:to>
    <xdr:sp macro="" textlink="">
      <xdr:nvSpPr>
        <xdr:cNvPr id="4" name="Rectangle 3">
          <a:extLst>
            <a:ext uri="{FF2B5EF4-FFF2-40B4-BE49-F238E27FC236}">
              <a16:creationId xmlns:a16="http://schemas.microsoft.com/office/drawing/2014/main" id="{7C242DF7-22C2-BD4B-1FC2-022D9EA2DF46}"/>
            </a:ext>
          </a:extLst>
        </xdr:cNvPr>
        <xdr:cNvSpPr/>
      </xdr:nvSpPr>
      <xdr:spPr>
        <a:xfrm>
          <a:off x="2293620" y="15240"/>
          <a:ext cx="14005560" cy="7292340"/>
        </a:xfrm>
        <a:prstGeom prst="rect">
          <a:avLst/>
        </a:prstGeom>
        <a:solidFill>
          <a:schemeClr val="accent1">
            <a:lumMod val="60000"/>
            <a:lumOff val="4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xdr:colOff>
      <xdr:row>0</xdr:row>
      <xdr:rowOff>15240</xdr:rowOff>
    </xdr:from>
    <xdr:to>
      <xdr:col>3</xdr:col>
      <xdr:colOff>7620</xdr:colOff>
      <xdr:row>39</xdr:row>
      <xdr:rowOff>167640</xdr:rowOff>
    </xdr:to>
    <xdr:sp macro="" textlink="">
      <xdr:nvSpPr>
        <xdr:cNvPr id="3" name="Rectangle 2">
          <a:extLst>
            <a:ext uri="{FF2B5EF4-FFF2-40B4-BE49-F238E27FC236}">
              <a16:creationId xmlns:a16="http://schemas.microsoft.com/office/drawing/2014/main" id="{C5FB686B-32FC-FFB6-F417-4D0EC288C486}"/>
            </a:ext>
          </a:extLst>
        </xdr:cNvPr>
        <xdr:cNvSpPr/>
      </xdr:nvSpPr>
      <xdr:spPr>
        <a:xfrm>
          <a:off x="7620" y="15240"/>
          <a:ext cx="2278380" cy="7284720"/>
        </a:xfrm>
        <a:prstGeom prst="rect">
          <a:avLst/>
        </a:prstGeom>
        <a:solidFill>
          <a:schemeClr val="accent1">
            <a:lumMod val="5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3</xdr:row>
      <xdr:rowOff>160020</xdr:rowOff>
    </xdr:from>
    <xdr:to>
      <xdr:col>1</xdr:col>
      <xdr:colOff>1463040</xdr:colOff>
      <xdr:row>8</xdr:row>
      <xdr:rowOff>83820</xdr:rowOff>
    </xdr:to>
    <xdr:sp macro="" textlink="Pivots!G4">
      <xdr:nvSpPr>
        <xdr:cNvPr id="5" name="TextBox 4">
          <a:extLst>
            <a:ext uri="{FF2B5EF4-FFF2-40B4-BE49-F238E27FC236}">
              <a16:creationId xmlns:a16="http://schemas.microsoft.com/office/drawing/2014/main" id="{7996555F-ADB3-1770-6F16-1585D21D45C5}"/>
            </a:ext>
          </a:extLst>
        </xdr:cNvPr>
        <xdr:cNvSpPr txBox="1"/>
      </xdr:nvSpPr>
      <xdr:spPr>
        <a:xfrm>
          <a:off x="152400" y="708660"/>
          <a:ext cx="1638300" cy="83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BFEE59-E755-4FE8-B6DF-61E51894FE5E}" type="TxLink">
            <a:rPr lang="en-US" sz="1800" b="1" i="0" u="none" strike="noStrike">
              <a:gradFill>
                <a:gsLst>
                  <a:gs pos="0">
                    <a:schemeClr val="bg1">
                      <a:lumMod val="75000"/>
                    </a:schemeClr>
                  </a:gs>
                  <a:gs pos="8000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rPr>
            <a:pPr/>
            <a:t>2,400</a:t>
          </a:fld>
          <a:endParaRPr lang="en-IN" sz="1800" b="1">
            <a:gradFill>
              <a:gsLst>
                <a:gs pos="0">
                  <a:schemeClr val="bg1">
                    <a:lumMod val="75000"/>
                  </a:schemeClr>
                </a:gs>
                <a:gs pos="80000">
                  <a:schemeClr val="accent1">
                    <a:lumMod val="30000"/>
                    <a:lumOff val="70000"/>
                  </a:schemeClr>
                </a:gs>
              </a:gsLst>
              <a:lin ang="5400000" scaled="1"/>
            </a:gradFill>
            <a:effectLst>
              <a:outerShdw blurRad="50800" dist="38100" dir="2700000" algn="tl" rotWithShape="0">
                <a:prstClr val="black">
                  <a:alpha val="40000"/>
                </a:prstClr>
              </a:outerShdw>
            </a:effectLst>
          </a:endParaRPr>
        </a:p>
      </xdr:txBody>
    </xdr:sp>
    <xdr:clientData/>
  </xdr:twoCellAnchor>
  <xdr:twoCellAnchor>
    <xdr:from>
      <xdr:col>0</xdr:col>
      <xdr:colOff>152400</xdr:colOff>
      <xdr:row>7</xdr:row>
      <xdr:rowOff>55245</xdr:rowOff>
    </xdr:from>
    <xdr:to>
      <xdr:col>1</xdr:col>
      <xdr:colOff>1463040</xdr:colOff>
      <xdr:row>11</xdr:row>
      <xdr:rowOff>161925</xdr:rowOff>
    </xdr:to>
    <xdr:sp macro="" textlink="Pivots!H4">
      <xdr:nvSpPr>
        <xdr:cNvPr id="7" name="TextBox 6">
          <a:extLst>
            <a:ext uri="{FF2B5EF4-FFF2-40B4-BE49-F238E27FC236}">
              <a16:creationId xmlns:a16="http://schemas.microsoft.com/office/drawing/2014/main" id="{1DF1C480-8C0B-4C07-857B-9C61C18BD031}"/>
            </a:ext>
          </a:extLst>
        </xdr:cNvPr>
        <xdr:cNvSpPr txBox="1"/>
      </xdr:nvSpPr>
      <xdr:spPr>
        <a:xfrm>
          <a:off x="152400" y="1335405"/>
          <a:ext cx="1638300" cy="83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4E4D44A-A24C-4E91-8BA8-E351D5D81514}" type="TxLink">
            <a:rPr lang="en-US" sz="1800" b="1" i="0" u="none" strike="noStrike">
              <a:gradFill>
                <a:gsLst>
                  <a:gs pos="0">
                    <a:schemeClr val="bg1">
                      <a:lumMod val="75000"/>
                    </a:schemeClr>
                  </a:gs>
                  <a:gs pos="8000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t>11,997</a:t>
          </a:fld>
          <a:endParaRPr lang="en-IN" sz="1800" b="1" i="0" u="none" strike="noStrike">
            <a:gradFill>
              <a:gsLst>
                <a:gs pos="0">
                  <a:schemeClr val="bg1">
                    <a:lumMod val="75000"/>
                  </a:schemeClr>
                </a:gs>
                <a:gs pos="8000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152400</xdr:colOff>
      <xdr:row>10</xdr:row>
      <xdr:rowOff>133350</xdr:rowOff>
    </xdr:from>
    <xdr:to>
      <xdr:col>1</xdr:col>
      <xdr:colOff>1463040</xdr:colOff>
      <xdr:row>15</xdr:row>
      <xdr:rowOff>57150</xdr:rowOff>
    </xdr:to>
    <xdr:sp macro="" textlink="Pivots!I4">
      <xdr:nvSpPr>
        <xdr:cNvPr id="8" name="TextBox 7">
          <a:extLst>
            <a:ext uri="{FF2B5EF4-FFF2-40B4-BE49-F238E27FC236}">
              <a16:creationId xmlns:a16="http://schemas.microsoft.com/office/drawing/2014/main" id="{62775909-CC27-425C-8CF9-24ABE8BDDE93}"/>
            </a:ext>
          </a:extLst>
        </xdr:cNvPr>
        <xdr:cNvSpPr txBox="1"/>
      </xdr:nvSpPr>
      <xdr:spPr>
        <a:xfrm>
          <a:off x="152400" y="1962150"/>
          <a:ext cx="1638300" cy="83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F710E8C-9F90-4F72-B022-C9A06CE64652}" type="TxLink">
            <a:rPr lang="en-US" sz="1800" b="1" i="0" u="none" strike="noStrike">
              <a:gradFill>
                <a:gsLst>
                  <a:gs pos="0">
                    <a:schemeClr val="bg1">
                      <a:lumMod val="75000"/>
                    </a:schemeClr>
                  </a:gs>
                  <a:gs pos="8000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t>$649.0k</a:t>
          </a:fld>
          <a:endParaRPr lang="en-IN" sz="1800" b="1" i="0" u="none" strike="noStrike">
            <a:gradFill>
              <a:gsLst>
                <a:gs pos="0">
                  <a:schemeClr val="bg1">
                    <a:lumMod val="75000"/>
                  </a:schemeClr>
                </a:gs>
                <a:gs pos="8000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152400</xdr:colOff>
      <xdr:row>14</xdr:row>
      <xdr:rowOff>28575</xdr:rowOff>
    </xdr:from>
    <xdr:to>
      <xdr:col>1</xdr:col>
      <xdr:colOff>1463040</xdr:colOff>
      <xdr:row>18</xdr:row>
      <xdr:rowOff>135255</xdr:rowOff>
    </xdr:to>
    <xdr:sp macro="" textlink="Pivots!J4">
      <xdr:nvSpPr>
        <xdr:cNvPr id="9" name="TextBox 8">
          <a:extLst>
            <a:ext uri="{FF2B5EF4-FFF2-40B4-BE49-F238E27FC236}">
              <a16:creationId xmlns:a16="http://schemas.microsoft.com/office/drawing/2014/main" id="{8C2A103C-B09C-49CE-9CE8-D25F4A6060AC}"/>
            </a:ext>
          </a:extLst>
        </xdr:cNvPr>
        <xdr:cNvSpPr txBox="1"/>
      </xdr:nvSpPr>
      <xdr:spPr>
        <a:xfrm>
          <a:off x="152400" y="2588895"/>
          <a:ext cx="1638300" cy="83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3F6441F-B908-482D-9119-65968D312890}" type="TxLink">
            <a:rPr lang="en-US" sz="1800" b="1" i="0" u="none" strike="noStrike">
              <a:gradFill>
                <a:gsLst>
                  <a:gs pos="0">
                    <a:schemeClr val="bg1">
                      <a:lumMod val="75000"/>
                    </a:schemeClr>
                  </a:gs>
                  <a:gs pos="8000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t>4.0</a:t>
          </a:fld>
          <a:endParaRPr lang="en-IN" sz="1800" b="1" i="0" u="none" strike="noStrike">
            <a:gradFill>
              <a:gsLst>
                <a:gs pos="0">
                  <a:schemeClr val="bg1">
                    <a:lumMod val="75000"/>
                  </a:schemeClr>
                </a:gs>
                <a:gs pos="8000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152400</xdr:colOff>
      <xdr:row>17</xdr:row>
      <xdr:rowOff>106680</xdr:rowOff>
    </xdr:from>
    <xdr:to>
      <xdr:col>1</xdr:col>
      <xdr:colOff>1470660</xdr:colOff>
      <xdr:row>22</xdr:row>
      <xdr:rowOff>30480</xdr:rowOff>
    </xdr:to>
    <xdr:sp macro="" textlink="Pivots!K4">
      <xdr:nvSpPr>
        <xdr:cNvPr id="10" name="TextBox 9">
          <a:extLst>
            <a:ext uri="{FF2B5EF4-FFF2-40B4-BE49-F238E27FC236}">
              <a16:creationId xmlns:a16="http://schemas.microsoft.com/office/drawing/2014/main" id="{3889220E-C918-4643-99F4-9BA19CD31468}"/>
            </a:ext>
          </a:extLst>
        </xdr:cNvPr>
        <xdr:cNvSpPr txBox="1"/>
      </xdr:nvSpPr>
      <xdr:spPr>
        <a:xfrm>
          <a:off x="152400" y="3215640"/>
          <a:ext cx="1645920" cy="83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24A7858-C78F-4FB3-87D0-4EB58B515201}" type="TxLink">
            <a:rPr lang="en-US" sz="1800" b="1" i="0" u="none" strike="noStrike">
              <a:gradFill>
                <a:gsLst>
                  <a:gs pos="0">
                    <a:schemeClr val="bg1">
                      <a:lumMod val="75000"/>
                    </a:schemeClr>
                  </a:gs>
                  <a:gs pos="8000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ea typeface="+mn-ea"/>
              <a:cs typeface="+mn-cs"/>
            </a:rPr>
            <a:pPr marL="0" indent="0"/>
            <a:t>2.3</a:t>
          </a:fld>
          <a:endParaRPr lang="en-IN" sz="1800" b="1" i="0" u="none" strike="noStrike">
            <a:gradFill>
              <a:gsLst>
                <a:gs pos="0">
                  <a:schemeClr val="bg1">
                    <a:lumMod val="75000"/>
                  </a:schemeClr>
                </a:gs>
                <a:gs pos="80000">
                  <a:schemeClr val="accent1">
                    <a:lumMod val="30000"/>
                    <a:lumOff val="70000"/>
                  </a:schemeClr>
                </a:gs>
              </a:gsLst>
              <a:lin ang="5400000" scaled="1"/>
            </a:gradFill>
            <a:effectLst>
              <a:outerShdw blurRad="50800" dist="38100" dir="2700000" algn="tl" rotWithShape="0">
                <a:prstClr val="black">
                  <a:alpha val="40000"/>
                </a:prstClr>
              </a:outerShdw>
            </a:effectLst>
            <a:latin typeface="Aptos Narrow"/>
            <a:ea typeface="+mn-ea"/>
            <a:cs typeface="+mn-cs"/>
          </a:endParaRPr>
        </a:p>
      </xdr:txBody>
    </xdr:sp>
    <xdr:clientData/>
  </xdr:twoCellAnchor>
  <xdr:twoCellAnchor>
    <xdr:from>
      <xdr:col>0</xdr:col>
      <xdr:colOff>152400</xdr:colOff>
      <xdr:row>2</xdr:row>
      <xdr:rowOff>121920</xdr:rowOff>
    </xdr:from>
    <xdr:to>
      <xdr:col>1</xdr:col>
      <xdr:colOff>1465185</xdr:colOff>
      <xdr:row>4</xdr:row>
      <xdr:rowOff>121920</xdr:rowOff>
    </xdr:to>
    <xdr:sp macro="" textlink="">
      <xdr:nvSpPr>
        <xdr:cNvPr id="12" name="TextBox 11">
          <a:extLst>
            <a:ext uri="{FF2B5EF4-FFF2-40B4-BE49-F238E27FC236}">
              <a16:creationId xmlns:a16="http://schemas.microsoft.com/office/drawing/2014/main" id="{23282F14-1E14-E15E-88F0-58007781F8A0}"/>
            </a:ext>
          </a:extLst>
        </xdr:cNvPr>
        <xdr:cNvSpPr txBox="1"/>
      </xdr:nvSpPr>
      <xdr:spPr>
        <a:xfrm>
          <a:off x="152400" y="487680"/>
          <a:ext cx="1640445"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FFFF"/>
              </a:solidFill>
            </a:rPr>
            <a:t>🛒</a:t>
          </a:r>
          <a:r>
            <a:rPr lang="en-IN" sz="1100">
              <a:solidFill>
                <a:srgbClr val="FFFFFF"/>
              </a:solidFill>
            </a:rPr>
            <a:t>Orders</a:t>
          </a:r>
        </a:p>
      </xdr:txBody>
    </xdr:sp>
    <xdr:clientData/>
  </xdr:twoCellAnchor>
  <xdr:twoCellAnchor>
    <xdr:from>
      <xdr:col>0</xdr:col>
      <xdr:colOff>152400</xdr:colOff>
      <xdr:row>5</xdr:row>
      <xdr:rowOff>137160</xdr:rowOff>
    </xdr:from>
    <xdr:to>
      <xdr:col>2</xdr:col>
      <xdr:colOff>37415</xdr:colOff>
      <xdr:row>7</xdr:row>
      <xdr:rowOff>47625</xdr:rowOff>
    </xdr:to>
    <xdr:sp macro="" textlink="">
      <xdr:nvSpPr>
        <xdr:cNvPr id="13" name="TextBox 12">
          <a:extLst>
            <a:ext uri="{FF2B5EF4-FFF2-40B4-BE49-F238E27FC236}">
              <a16:creationId xmlns:a16="http://schemas.microsoft.com/office/drawing/2014/main" id="{2507533C-4F6F-4EFF-8C08-170A3606B902}"/>
            </a:ext>
          </a:extLst>
        </xdr:cNvPr>
        <xdr:cNvSpPr txBox="1"/>
      </xdr:nvSpPr>
      <xdr:spPr>
        <a:xfrm>
          <a:off x="152400" y="1051560"/>
          <a:ext cx="183573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FFFF"/>
              </a:solidFill>
            </a:rPr>
            <a:t>👕</a:t>
          </a:r>
          <a:r>
            <a:rPr lang="en-IN" sz="1100">
              <a:solidFill>
                <a:srgbClr val="FFFFFF"/>
              </a:solidFill>
            </a:rPr>
            <a:t>Quantity</a:t>
          </a:r>
        </a:p>
      </xdr:txBody>
    </xdr:sp>
    <xdr:clientData/>
  </xdr:twoCellAnchor>
  <xdr:twoCellAnchor>
    <xdr:from>
      <xdr:col>0</xdr:col>
      <xdr:colOff>121920</xdr:colOff>
      <xdr:row>12</xdr:row>
      <xdr:rowOff>121920</xdr:rowOff>
    </xdr:from>
    <xdr:to>
      <xdr:col>2</xdr:col>
      <xdr:colOff>252236</xdr:colOff>
      <xdr:row>14</xdr:row>
      <xdr:rowOff>45719</xdr:rowOff>
    </xdr:to>
    <xdr:sp macro="" textlink="">
      <xdr:nvSpPr>
        <xdr:cNvPr id="14" name="TextBox 13">
          <a:extLst>
            <a:ext uri="{FF2B5EF4-FFF2-40B4-BE49-F238E27FC236}">
              <a16:creationId xmlns:a16="http://schemas.microsoft.com/office/drawing/2014/main" id="{5434FF3B-B280-4286-A0C7-5D4DC92AFDD4}"/>
            </a:ext>
          </a:extLst>
        </xdr:cNvPr>
        <xdr:cNvSpPr txBox="1"/>
      </xdr:nvSpPr>
      <xdr:spPr>
        <a:xfrm>
          <a:off x="121920" y="2316480"/>
          <a:ext cx="2081036" cy="289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FFFF"/>
              </a:solidFill>
            </a:rPr>
            <a:t>⭐</a:t>
          </a:r>
          <a:r>
            <a:rPr lang="en-IN" sz="1100">
              <a:solidFill>
                <a:srgbClr val="FFFFFF"/>
              </a:solidFill>
            </a:rPr>
            <a:t>Avg.</a:t>
          </a:r>
          <a:r>
            <a:rPr lang="en-IN" sz="1100" baseline="0">
              <a:solidFill>
                <a:srgbClr val="FFFFFF"/>
              </a:solidFill>
            </a:rPr>
            <a:t> Rating</a:t>
          </a:r>
          <a:endParaRPr lang="en-IN" sz="1100">
            <a:solidFill>
              <a:srgbClr val="FFFFFF"/>
            </a:solidFill>
          </a:endParaRPr>
        </a:p>
      </xdr:txBody>
    </xdr:sp>
    <xdr:clientData/>
  </xdr:twoCellAnchor>
  <xdr:twoCellAnchor>
    <xdr:from>
      <xdr:col>0</xdr:col>
      <xdr:colOff>129540</xdr:colOff>
      <xdr:row>9</xdr:row>
      <xdr:rowOff>30480</xdr:rowOff>
    </xdr:from>
    <xdr:to>
      <xdr:col>3</xdr:col>
      <xdr:colOff>110102</xdr:colOff>
      <xdr:row>11</xdr:row>
      <xdr:rowOff>0</xdr:rowOff>
    </xdr:to>
    <xdr:sp macro="" textlink="">
      <xdr:nvSpPr>
        <xdr:cNvPr id="15" name="TextBox 14">
          <a:extLst>
            <a:ext uri="{FF2B5EF4-FFF2-40B4-BE49-F238E27FC236}">
              <a16:creationId xmlns:a16="http://schemas.microsoft.com/office/drawing/2014/main" id="{798B2C46-FFAB-465D-8D82-37002B4AFEC3}"/>
            </a:ext>
          </a:extLst>
        </xdr:cNvPr>
        <xdr:cNvSpPr txBox="1"/>
      </xdr:nvSpPr>
      <xdr:spPr>
        <a:xfrm>
          <a:off x="129540" y="1676400"/>
          <a:ext cx="2258942"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FFFF"/>
              </a:solidFill>
            </a:rPr>
            <a:t>💰</a:t>
          </a:r>
          <a:r>
            <a:rPr lang="en-IN" sz="1100">
              <a:solidFill>
                <a:srgbClr val="FFFFFF"/>
              </a:solidFill>
            </a:rPr>
            <a:t>Amount</a:t>
          </a:r>
        </a:p>
      </xdr:txBody>
    </xdr:sp>
    <xdr:clientData/>
  </xdr:twoCellAnchor>
  <xdr:twoCellAnchor>
    <xdr:from>
      <xdr:col>0</xdr:col>
      <xdr:colOff>114300</xdr:colOff>
      <xdr:row>16</xdr:row>
      <xdr:rowOff>45720</xdr:rowOff>
    </xdr:from>
    <xdr:to>
      <xdr:col>1</xdr:col>
      <xdr:colOff>1455420</xdr:colOff>
      <xdr:row>18</xdr:row>
      <xdr:rowOff>76200</xdr:rowOff>
    </xdr:to>
    <xdr:sp macro="" textlink="">
      <xdr:nvSpPr>
        <xdr:cNvPr id="16" name="TextBox 15">
          <a:extLst>
            <a:ext uri="{FF2B5EF4-FFF2-40B4-BE49-F238E27FC236}">
              <a16:creationId xmlns:a16="http://schemas.microsoft.com/office/drawing/2014/main" id="{58A82640-1D78-4B13-A813-1029940C2C87}"/>
            </a:ext>
          </a:extLst>
        </xdr:cNvPr>
        <xdr:cNvSpPr txBox="1"/>
      </xdr:nvSpPr>
      <xdr:spPr>
        <a:xfrm>
          <a:off x="114300" y="2971800"/>
          <a:ext cx="166878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FFFF"/>
              </a:solidFill>
            </a:rPr>
            <a:t>📅</a:t>
          </a:r>
          <a:r>
            <a:rPr lang="en-IN" sz="1100">
              <a:solidFill>
                <a:srgbClr val="FFFFFF"/>
              </a:solidFill>
            </a:rPr>
            <a:t>Days</a:t>
          </a:r>
          <a:r>
            <a:rPr lang="en-IN" sz="1100" baseline="0">
              <a:solidFill>
                <a:srgbClr val="FFFFFF"/>
              </a:solidFill>
            </a:rPr>
            <a:t> to  Deliver</a:t>
          </a:r>
          <a:endParaRPr lang="en-IN" sz="1100">
            <a:solidFill>
              <a:srgbClr val="FFFFFF"/>
            </a:solidFill>
          </a:endParaRPr>
        </a:p>
      </xdr:txBody>
    </xdr:sp>
    <xdr:clientData/>
  </xdr:twoCellAnchor>
  <xdr:twoCellAnchor>
    <xdr:from>
      <xdr:col>3</xdr:col>
      <xdr:colOff>167640</xdr:colOff>
      <xdr:row>2</xdr:row>
      <xdr:rowOff>129540</xdr:rowOff>
    </xdr:from>
    <xdr:to>
      <xdr:col>10</xdr:col>
      <xdr:colOff>22860</xdr:colOff>
      <xdr:row>17</xdr:row>
      <xdr:rowOff>129540</xdr:rowOff>
    </xdr:to>
    <xdr:graphicFrame macro="">
      <xdr:nvGraphicFramePr>
        <xdr:cNvPr id="17" name="Chart 16">
          <a:extLst>
            <a:ext uri="{FF2B5EF4-FFF2-40B4-BE49-F238E27FC236}">
              <a16:creationId xmlns:a16="http://schemas.microsoft.com/office/drawing/2014/main" id="{4A9950D8-F171-4BA4-88B5-99659F45C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243840</xdr:colOff>
      <xdr:row>2</xdr:row>
      <xdr:rowOff>152400</xdr:rowOff>
    </xdr:from>
    <xdr:to>
      <xdr:col>19</xdr:col>
      <xdr:colOff>76200</xdr:colOff>
      <xdr:row>17</xdr:row>
      <xdr:rowOff>121920</xdr:rowOff>
    </xdr:to>
    <xdr:sp macro="" textlink="">
      <xdr:nvSpPr>
        <xdr:cNvPr id="20" name="TextBox 19">
          <a:extLst>
            <a:ext uri="{FF2B5EF4-FFF2-40B4-BE49-F238E27FC236}">
              <a16:creationId xmlns:a16="http://schemas.microsoft.com/office/drawing/2014/main" id="{5427A1A0-6656-6BD0-F602-E10B060174B6}"/>
            </a:ext>
          </a:extLst>
        </xdr:cNvPr>
        <xdr:cNvSpPr txBox="1"/>
      </xdr:nvSpPr>
      <xdr:spPr>
        <a:xfrm>
          <a:off x="6789420" y="518160"/>
          <a:ext cx="5318760" cy="2712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mc:AlternateContent xmlns:mc="http://schemas.openxmlformats.org/markup-compatibility/2006">
    <mc:Choice xmlns:a14="http://schemas.microsoft.com/office/drawing/2010/main" Requires="a14">
      <xdr:twoCellAnchor editAs="oneCell">
        <xdr:from>
          <xdr:col>11</xdr:col>
          <xdr:colOff>161208</xdr:colOff>
          <xdr:row>4</xdr:row>
          <xdr:rowOff>68580</xdr:rowOff>
        </xdr:from>
        <xdr:to>
          <xdr:col>18</xdr:col>
          <xdr:colOff>190500</xdr:colOff>
          <xdr:row>16</xdr:row>
          <xdr:rowOff>83820</xdr:rowOff>
        </xdr:to>
        <xdr:pic>
          <xdr:nvPicPr>
            <xdr:cNvPr id="19" name="Picture 18">
              <a:extLst>
                <a:ext uri="{FF2B5EF4-FFF2-40B4-BE49-F238E27FC236}">
                  <a16:creationId xmlns:a16="http://schemas.microsoft.com/office/drawing/2014/main" id="{7EB9EF1E-BE9D-A00F-C170-C4750BE5EA92}"/>
                </a:ext>
              </a:extLst>
            </xdr:cNvPr>
            <xdr:cNvPicPr>
              <a:picLocks noChangeAspect="1" noChangeArrowheads="1"/>
              <a:extLst>
                <a:ext uri="{84589F7E-364E-4C9E-8A38-B11213B215E9}">
                  <a14:cameraTool cellRange="'App Amt. by Gender'!$H$4:$L$9" spid="_x0000_s6169"/>
                </a:ext>
              </a:extLst>
            </xdr:cNvPicPr>
          </xdr:nvPicPr>
          <xdr:blipFill>
            <a:blip xmlns:r="http://schemas.openxmlformats.org/officeDocument/2006/relationships" r:embed="rId2"/>
            <a:srcRect/>
            <a:stretch>
              <a:fillRect/>
            </a:stretch>
          </xdr:blipFill>
          <xdr:spPr bwMode="auto">
            <a:xfrm>
              <a:off x="7316388" y="800100"/>
              <a:ext cx="4296492" cy="22098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19</xdr:col>
      <xdr:colOff>259080</xdr:colOff>
      <xdr:row>2</xdr:row>
      <xdr:rowOff>167640</xdr:rowOff>
    </xdr:from>
    <xdr:to>
      <xdr:col>25</xdr:col>
      <xdr:colOff>304800</xdr:colOff>
      <xdr:row>17</xdr:row>
      <xdr:rowOff>114300</xdr:rowOff>
    </xdr:to>
    <xdr:graphicFrame macro="">
      <xdr:nvGraphicFramePr>
        <xdr:cNvPr id="2" name="Chart 1">
          <a:extLst>
            <a:ext uri="{FF2B5EF4-FFF2-40B4-BE49-F238E27FC236}">
              <a16:creationId xmlns:a16="http://schemas.microsoft.com/office/drawing/2014/main" id="{FEE96758-38DB-499D-B6FE-775065E9F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167640</xdr:colOff>
      <xdr:row>18</xdr:row>
      <xdr:rowOff>129540</xdr:rowOff>
    </xdr:from>
    <xdr:to>
      <xdr:col>10</xdr:col>
      <xdr:colOff>38100</xdr:colOff>
      <xdr:row>39</xdr:row>
      <xdr:rowOff>53340</xdr:rowOff>
    </xdr:to>
    <xdr:graphicFrame macro="">
      <xdr:nvGraphicFramePr>
        <xdr:cNvPr id="6" name="Chart 5">
          <a:extLst>
            <a:ext uri="{FF2B5EF4-FFF2-40B4-BE49-F238E27FC236}">
              <a16:creationId xmlns:a16="http://schemas.microsoft.com/office/drawing/2014/main" id="{EB1BE25F-E982-4CB5-80F8-8E79D1EF8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15240</xdr:colOff>
      <xdr:row>29</xdr:row>
      <xdr:rowOff>22860</xdr:rowOff>
    </xdr:from>
    <xdr:to>
      <xdr:col>7</xdr:col>
      <xdr:colOff>480060</xdr:colOff>
      <xdr:row>38</xdr:row>
      <xdr:rowOff>7620</xdr:rowOff>
    </xdr:to>
    <xdr:graphicFrame macro="">
      <xdr:nvGraphicFramePr>
        <xdr:cNvPr id="11" name="Chart 10">
          <a:extLst>
            <a:ext uri="{FF2B5EF4-FFF2-40B4-BE49-F238E27FC236}">
              <a16:creationId xmlns:a16="http://schemas.microsoft.com/office/drawing/2014/main" id="{A58DCE28-87E1-416F-9415-71CF83BE93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220980</xdr:colOff>
      <xdr:row>18</xdr:row>
      <xdr:rowOff>144780</xdr:rowOff>
    </xdr:from>
    <xdr:to>
      <xdr:col>19</xdr:col>
      <xdr:colOff>98580</xdr:colOff>
      <xdr:row>39</xdr:row>
      <xdr:rowOff>120300</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566464BC-588F-4847-831A-32F9826375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766560" y="3436620"/>
              <a:ext cx="5364000" cy="3816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289560</xdr:colOff>
      <xdr:row>23</xdr:row>
      <xdr:rowOff>121920</xdr:rowOff>
    </xdr:from>
    <xdr:to>
      <xdr:col>18</xdr:col>
      <xdr:colOff>388620</xdr:colOff>
      <xdr:row>32</xdr:row>
      <xdr:rowOff>68580</xdr:rowOff>
    </xdr:to>
    <mc:AlternateContent xmlns:mc="http://schemas.openxmlformats.org/markup-compatibility/2006">
      <mc:Choice xmlns:cx4="http://schemas.microsoft.com/office/drawing/2016/5/10/chartex" Requires="cx4">
        <xdr:graphicFrame macro="">
          <xdr:nvGraphicFramePr>
            <xdr:cNvPr id="21" name="Chart 20">
              <a:extLst>
                <a:ext uri="{FF2B5EF4-FFF2-40B4-BE49-F238E27FC236}">
                  <a16:creationId xmlns:a16="http://schemas.microsoft.com/office/drawing/2014/main" id="{C2DEE768-1617-4027-B15A-53748323A7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492740" y="4328160"/>
              <a:ext cx="1318260" cy="1592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213360</xdr:colOff>
      <xdr:row>18</xdr:row>
      <xdr:rowOff>152400</xdr:rowOff>
    </xdr:from>
    <xdr:to>
      <xdr:col>25</xdr:col>
      <xdr:colOff>312420</xdr:colOff>
      <xdr:row>28</xdr:row>
      <xdr:rowOff>91440</xdr:rowOff>
    </xdr:to>
    <xdr:graphicFrame macro="">
      <xdr:nvGraphicFramePr>
        <xdr:cNvPr id="22" name="Chart 21">
          <a:extLst>
            <a:ext uri="{FF2B5EF4-FFF2-40B4-BE49-F238E27FC236}">
              <a16:creationId xmlns:a16="http://schemas.microsoft.com/office/drawing/2014/main" id="{624897C5-A615-4F18-A111-00953DE8B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220980</xdr:colOff>
      <xdr:row>29</xdr:row>
      <xdr:rowOff>60960</xdr:rowOff>
    </xdr:from>
    <xdr:to>
      <xdr:col>25</xdr:col>
      <xdr:colOff>335280</xdr:colOff>
      <xdr:row>38</xdr:row>
      <xdr:rowOff>179040</xdr:rowOff>
    </xdr:to>
    <xdr:graphicFrame macro="">
      <xdr:nvGraphicFramePr>
        <xdr:cNvPr id="23" name="Chart 22">
          <a:extLst>
            <a:ext uri="{FF2B5EF4-FFF2-40B4-BE49-F238E27FC236}">
              <a16:creationId xmlns:a16="http://schemas.microsoft.com/office/drawing/2014/main" id="{DC2B653A-DA7A-4AD8-B274-C9AE55031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137160</xdr:colOff>
      <xdr:row>19</xdr:row>
      <xdr:rowOff>137161</xdr:rowOff>
    </xdr:from>
    <xdr:to>
      <xdr:col>2</xdr:col>
      <xdr:colOff>167640</xdr:colOff>
      <xdr:row>29</xdr:row>
      <xdr:rowOff>167640</xdr:rowOff>
    </xdr:to>
    <mc:AlternateContent xmlns:mc="http://schemas.openxmlformats.org/markup-compatibility/2006" xmlns:a14="http://schemas.microsoft.com/office/drawing/2010/main">
      <mc:Choice Requires="a14">
        <xdr:graphicFrame macro="">
          <xdr:nvGraphicFramePr>
            <xdr:cNvPr id="24" name="Order Mode">
              <a:extLst>
                <a:ext uri="{FF2B5EF4-FFF2-40B4-BE49-F238E27FC236}">
                  <a16:creationId xmlns:a16="http://schemas.microsoft.com/office/drawing/2014/main" id="{00043291-9066-4FE5-818F-10BE4C56A959}"/>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137160" y="3611881"/>
              <a:ext cx="1981200" cy="1859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30</xdr:row>
      <xdr:rowOff>91441</xdr:rowOff>
    </xdr:from>
    <xdr:to>
      <xdr:col>2</xdr:col>
      <xdr:colOff>167640</xdr:colOff>
      <xdr:row>38</xdr:row>
      <xdr:rowOff>167640</xdr:rowOff>
    </xdr:to>
    <mc:AlternateContent xmlns:mc="http://schemas.openxmlformats.org/markup-compatibility/2006" xmlns:a14="http://schemas.microsoft.com/office/drawing/2010/main">
      <mc:Choice Requires="a14">
        <xdr:graphicFrame macro="">
          <xdr:nvGraphicFramePr>
            <xdr:cNvPr id="25" name="Gender Value">
              <a:extLst>
                <a:ext uri="{FF2B5EF4-FFF2-40B4-BE49-F238E27FC236}">
                  <a16:creationId xmlns:a16="http://schemas.microsoft.com/office/drawing/2014/main" id="{7203CAE5-F877-41DB-A52C-521ED7B20D66}"/>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137160" y="5577841"/>
              <a:ext cx="1981200" cy="1539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10</xdr:col>
      <xdr:colOff>251460</xdr:colOff>
      <xdr:row>2</xdr:row>
      <xdr:rowOff>160021</xdr:rowOff>
    </xdr:from>
    <xdr:ext cx="5791200" cy="327659"/>
    <xdr:sp macro="" textlink="">
      <xdr:nvSpPr>
        <xdr:cNvPr id="26" name="Rectangle 25">
          <a:extLst>
            <a:ext uri="{FF2B5EF4-FFF2-40B4-BE49-F238E27FC236}">
              <a16:creationId xmlns:a16="http://schemas.microsoft.com/office/drawing/2014/main" id="{F23E85D5-D664-C466-8986-96FD330A4E8C}"/>
            </a:ext>
          </a:extLst>
        </xdr:cNvPr>
        <xdr:cNvSpPr/>
      </xdr:nvSpPr>
      <xdr:spPr>
        <a:xfrm>
          <a:off x="6797040" y="525781"/>
          <a:ext cx="5791200" cy="327659"/>
        </a:xfrm>
        <a:prstGeom prst="rect">
          <a:avLst/>
        </a:prstGeom>
        <a:noFill/>
      </xdr:spPr>
      <xdr:txBody>
        <a:bodyPr wrap="none" lIns="91440" tIns="45720" rIns="91440" bIns="45720">
          <a:no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How</a:t>
          </a:r>
          <a:r>
            <a:rPr lang="en-US" sz="1600" b="1" cap="none" spc="0" baseline="0">
              <a:ln w="0"/>
              <a:solidFill>
                <a:schemeClr val="tx1"/>
              </a:solidFill>
              <a:effectLst>
                <a:outerShdw blurRad="38100" dist="19050" dir="2700000" algn="tl" rotWithShape="0">
                  <a:schemeClr val="dk1">
                    <a:alpha val="40000"/>
                  </a:schemeClr>
                </a:outerShdw>
              </a:effectLst>
            </a:rPr>
            <a:t> they like to buy?</a:t>
          </a:r>
          <a:endParaRPr lang="en-US" sz="1600" b="1"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0</xdr:col>
      <xdr:colOff>160020</xdr:colOff>
      <xdr:row>0</xdr:row>
      <xdr:rowOff>53340</xdr:rowOff>
    </xdr:from>
    <xdr:to>
      <xdr:col>2</xdr:col>
      <xdr:colOff>236220</xdr:colOff>
      <xdr:row>2</xdr:row>
      <xdr:rowOff>134791</xdr:rowOff>
    </xdr:to>
    <xdr:pic>
      <xdr:nvPicPr>
        <xdr:cNvPr id="27" name="Picture 26">
          <a:extLst>
            <a:ext uri="{FF2B5EF4-FFF2-40B4-BE49-F238E27FC236}">
              <a16:creationId xmlns:a16="http://schemas.microsoft.com/office/drawing/2014/main" id="{1E249E69-F41E-4F53-9149-1414219BE25B}"/>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160020" y="53340"/>
          <a:ext cx="2026920" cy="447211"/>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0.47511</cdr:x>
      <cdr:y>0.15888</cdr:y>
    </cdr:from>
    <cdr:to>
      <cdr:x>0.60633</cdr:x>
      <cdr:y>0.29907</cdr:y>
    </cdr:to>
    <cdr:cxnSp macro="">
      <cdr:nvCxnSpPr>
        <cdr:cNvPr id="13" name="Connector: Elbow 12">
          <a:extLst xmlns:a="http://schemas.openxmlformats.org/drawingml/2006/main">
            <a:ext uri="{FF2B5EF4-FFF2-40B4-BE49-F238E27FC236}">
              <a16:creationId xmlns:a16="http://schemas.microsoft.com/office/drawing/2014/main" id="{467CF1EA-04EA-B9A1-009E-6326660C365A}"/>
            </a:ext>
          </a:extLst>
        </cdr:cNvPr>
        <cdr:cNvCxnSpPr/>
      </cdr:nvCxnSpPr>
      <cdr:spPr>
        <a:xfrm xmlns:a="http://schemas.openxmlformats.org/drawingml/2006/main" rot="5400000" flipH="1" flipV="1">
          <a:off x="800100" y="259080"/>
          <a:ext cx="220980" cy="228600"/>
        </a:xfrm>
        <a:prstGeom xmlns:a="http://schemas.openxmlformats.org/drawingml/2006/main" prst="bentConnector3">
          <a:avLst/>
        </a:prstGeom>
        <a:ln xmlns:a="http://schemas.openxmlformats.org/drawingml/2006/main">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0.29412</cdr:x>
      <cdr:y>0.18692</cdr:y>
    </cdr:from>
    <cdr:to>
      <cdr:x>0.38009</cdr:x>
      <cdr:y>0.29907</cdr:y>
    </cdr:to>
    <cdr:cxnSp macro="">
      <cdr:nvCxnSpPr>
        <cdr:cNvPr id="15" name="Connector: Elbow 14">
          <a:extLst xmlns:a="http://schemas.openxmlformats.org/drawingml/2006/main">
            <a:ext uri="{FF2B5EF4-FFF2-40B4-BE49-F238E27FC236}">
              <a16:creationId xmlns:a16="http://schemas.microsoft.com/office/drawing/2014/main" id="{F716B9CA-2BA1-7C50-EE45-E0172299AD56}"/>
            </a:ext>
          </a:extLst>
        </cdr:cNvPr>
        <cdr:cNvCxnSpPr/>
      </cdr:nvCxnSpPr>
      <cdr:spPr>
        <a:xfrm xmlns:a="http://schemas.openxmlformats.org/drawingml/2006/main" rot="16200000" flipV="1">
          <a:off x="495300" y="304799"/>
          <a:ext cx="144780" cy="182881"/>
        </a:xfrm>
        <a:prstGeom xmlns:a="http://schemas.openxmlformats.org/drawingml/2006/main" prst="bentConnector3">
          <a:avLst/>
        </a:prstGeom>
        <a:ln xmlns:a="http://schemas.openxmlformats.org/drawingml/2006/main">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67206" refreshedDate="46069.659984953701" createdVersion="8" refreshedVersion="8" minRefreshableVersion="3" recordCount="2400" xr:uid="{DAFBFC2D-812A-42C4-85DC-C83E0B3C21D7}">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ntainsBlank="1"/>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1804471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m/>
    <x v="0"/>
    <x v="0"/>
    <x v="0"/>
    <x v="0"/>
    <x v="0"/>
    <x v="0"/>
    <x v="0"/>
  </r>
  <r>
    <s v="TX500002"/>
    <x v="1"/>
    <x v="1"/>
    <n v="30.6"/>
    <n v="61.2"/>
    <x v="0"/>
    <d v="2025-01-03T00:00:00"/>
    <s v="M"/>
    <x v="0"/>
    <x v="0"/>
    <x v="0"/>
    <x v="1"/>
    <x v="1"/>
    <x v="0"/>
    <x v="1"/>
  </r>
  <r>
    <s v="TX500003"/>
    <x v="2"/>
    <x v="2"/>
    <n v="109.4"/>
    <n v="328.20000000000005"/>
    <x v="0"/>
    <d v="2025-01-04T00:00:00"/>
    <s v="F"/>
    <x v="0"/>
    <x v="1"/>
    <x v="0"/>
    <x v="2"/>
    <x v="2"/>
    <x v="0"/>
    <x v="2"/>
  </r>
  <r>
    <s v="TX500004"/>
    <x v="3"/>
    <x v="3"/>
    <n v="37.700000000000003"/>
    <n v="263.90000000000003"/>
    <x v="0"/>
    <d v="2025-01-02T00:00:00"/>
    <s v="F"/>
    <x v="0"/>
    <x v="0"/>
    <x v="0"/>
    <x v="2"/>
    <x v="3"/>
    <x v="0"/>
    <x v="2"/>
  </r>
  <r>
    <s v="TX500005"/>
    <x v="4"/>
    <x v="2"/>
    <n v="56.7"/>
    <n v="170.10000000000002"/>
    <x v="0"/>
    <d v="2025-01-04T00:00:00"/>
    <s v="F"/>
    <x v="0"/>
    <x v="2"/>
    <x v="0"/>
    <x v="3"/>
    <x v="2"/>
    <x v="0"/>
    <x v="2"/>
  </r>
  <r>
    <s v="TX500006"/>
    <x v="1"/>
    <x v="4"/>
    <n v="83.5"/>
    <n v="1002"/>
    <x v="0"/>
    <d v="2025-01-04T00:00:00"/>
    <s v="M"/>
    <x v="1"/>
    <x v="0"/>
    <x v="0"/>
    <x v="3"/>
    <x v="2"/>
    <x v="0"/>
    <x v="1"/>
  </r>
  <r>
    <s v="TX500007"/>
    <x v="5"/>
    <x v="0"/>
    <n v="55.3"/>
    <n v="55.3"/>
    <x v="0"/>
    <d v="2025-01-02T00:00:00"/>
    <s v="F"/>
    <x v="0"/>
    <x v="0"/>
    <x v="0"/>
    <x v="3"/>
    <x v="3"/>
    <x v="0"/>
    <x v="2"/>
  </r>
  <r>
    <s v="TX500008"/>
    <x v="6"/>
    <x v="1"/>
    <n v="40.299999999999997"/>
    <n v="80.599999999999994"/>
    <x v="0"/>
    <d v="2025-01-02T00:00:00"/>
    <s v="M"/>
    <x v="2"/>
    <x v="2"/>
    <x v="0"/>
    <x v="3"/>
    <x v="3"/>
    <x v="0"/>
    <x v="1"/>
  </r>
  <r>
    <s v="TX500009"/>
    <x v="7"/>
    <x v="5"/>
    <n v="35.700000000000003"/>
    <n v="392.70000000000005"/>
    <x v="0"/>
    <d v="2025-01-02T00:00:00"/>
    <s v="F"/>
    <x v="0"/>
    <x v="0"/>
    <x v="0"/>
    <x v="3"/>
    <x v="3"/>
    <x v="0"/>
    <x v="2"/>
  </r>
  <r>
    <s v="TX500010"/>
    <x v="8"/>
    <x v="3"/>
    <n v="22.4"/>
    <n v="156.79999999999998"/>
    <x v="0"/>
    <d v="2025-01-04T00:00:00"/>
    <s v="M"/>
    <x v="0"/>
    <x v="1"/>
    <x v="0"/>
    <x v="3"/>
    <x v="2"/>
    <x v="0"/>
    <x v="1"/>
  </r>
  <r>
    <s v="TX500011"/>
    <x v="9"/>
    <x v="1"/>
    <n v="54.4"/>
    <n v="108.8"/>
    <x v="0"/>
    <d v="2025-01-07T00:00:00"/>
    <s v="F"/>
    <x v="0"/>
    <x v="0"/>
    <x v="0"/>
    <x v="3"/>
    <x v="4"/>
    <x v="0"/>
    <x v="2"/>
  </r>
  <r>
    <s v="TX500012"/>
    <x v="9"/>
    <x v="1"/>
    <n v="49"/>
    <n v="98"/>
    <x v="0"/>
    <d v="2025-01-03T00:00:00"/>
    <s v="F"/>
    <x v="2"/>
    <x v="1"/>
    <x v="0"/>
    <x v="3"/>
    <x v="1"/>
    <x v="0"/>
    <x v="2"/>
  </r>
  <r>
    <s v="TX500013"/>
    <x v="5"/>
    <x v="3"/>
    <n v="118.6"/>
    <n v="830.19999999999993"/>
    <x v="0"/>
    <d v="2025-01-05T00:00:00"/>
    <s v="F"/>
    <x v="1"/>
    <x v="0"/>
    <x v="0"/>
    <x v="4"/>
    <x v="5"/>
    <x v="0"/>
    <x v="2"/>
  </r>
  <r>
    <s v="TX500014"/>
    <x v="6"/>
    <x v="6"/>
    <n v="88.4"/>
    <n v="2386.8000000000002"/>
    <x v="0"/>
    <d v="2025-01-08T00:00:00"/>
    <s v="M"/>
    <x v="3"/>
    <x v="0"/>
    <x v="0"/>
    <x v="5"/>
    <x v="6"/>
    <x v="0"/>
    <x v="1"/>
  </r>
  <r>
    <s v="TX500015"/>
    <x v="10"/>
    <x v="0"/>
    <n v="66.7"/>
    <n v="66.7"/>
    <x v="0"/>
    <d v="2025-01-04T00:00:00"/>
    <s v="M"/>
    <x v="0"/>
    <x v="0"/>
    <x v="0"/>
    <x v="6"/>
    <x v="2"/>
    <x v="0"/>
    <x v="1"/>
  </r>
  <r>
    <s v="TX500016"/>
    <x v="9"/>
    <x v="7"/>
    <n v="30.9"/>
    <n v="309"/>
    <x v="0"/>
    <d v="2025-01-02T00:00:00"/>
    <s v="M"/>
    <x v="1"/>
    <x v="2"/>
    <x v="0"/>
    <x v="6"/>
    <x v="3"/>
    <x v="0"/>
    <x v="1"/>
  </r>
  <r>
    <s v="TX500017"/>
    <x v="4"/>
    <x v="2"/>
    <n v="31.1"/>
    <n v="93.300000000000011"/>
    <x v="0"/>
    <d v="2025-01-02T00:00:00"/>
    <s v="F"/>
    <x v="0"/>
    <x v="1"/>
    <x v="0"/>
    <x v="6"/>
    <x v="3"/>
    <x v="0"/>
    <x v="2"/>
  </r>
  <r>
    <s v="TX500018"/>
    <x v="7"/>
    <x v="2"/>
    <n v="36.6"/>
    <n v="109.80000000000001"/>
    <x v="0"/>
    <d v="2025-01-04T00:00:00"/>
    <s v="F"/>
    <x v="0"/>
    <x v="0"/>
    <x v="0"/>
    <x v="7"/>
    <x v="2"/>
    <x v="0"/>
    <x v="2"/>
  </r>
  <r>
    <s v="TX500019"/>
    <x v="6"/>
    <x v="8"/>
    <n v="51.1"/>
    <n v="408.8"/>
    <x v="0"/>
    <d v="2025-01-04T00:00:00"/>
    <s v="F"/>
    <x v="2"/>
    <x v="3"/>
    <x v="0"/>
    <x v="7"/>
    <x v="2"/>
    <x v="0"/>
    <x v="2"/>
  </r>
  <r>
    <s v="TX500020"/>
    <x v="9"/>
    <x v="0"/>
    <n v="25.2"/>
    <n v="25.2"/>
    <x v="0"/>
    <d v="2025-01-02T00:00:00"/>
    <s v="F"/>
    <x v="1"/>
    <x v="2"/>
    <x v="0"/>
    <x v="8"/>
    <x v="3"/>
    <x v="0"/>
    <x v="2"/>
  </r>
  <r>
    <s v="TX500021"/>
    <x v="9"/>
    <x v="9"/>
    <n v="43.8"/>
    <n v="219"/>
    <x v="0"/>
    <d v="2025-01-04T00:00:00"/>
    <s v="F"/>
    <x v="2"/>
    <x v="0"/>
    <x v="0"/>
    <x v="8"/>
    <x v="2"/>
    <x v="0"/>
    <x v="2"/>
  </r>
  <r>
    <s v="TX500022"/>
    <x v="8"/>
    <x v="4"/>
    <n v="46.7"/>
    <n v="560.40000000000009"/>
    <x v="0"/>
    <d v="2025-01-02T00:00:00"/>
    <s v="F"/>
    <x v="1"/>
    <x v="1"/>
    <x v="0"/>
    <x v="8"/>
    <x v="3"/>
    <x v="0"/>
    <x v="2"/>
  </r>
  <r>
    <s v="TX500023"/>
    <x v="3"/>
    <x v="10"/>
    <n v="79.900000000000006"/>
    <n v="1518.1000000000001"/>
    <x v="0"/>
    <d v="2025-01-02T00:00:00"/>
    <s v="M"/>
    <x v="0"/>
    <x v="2"/>
    <x v="0"/>
    <x v="8"/>
    <x v="3"/>
    <x v="0"/>
    <x v="1"/>
  </r>
  <r>
    <s v="TX500024"/>
    <x v="11"/>
    <x v="8"/>
    <n v="26.4"/>
    <n v="211.2"/>
    <x v="0"/>
    <d v="2025-01-02T00:00:00"/>
    <s v="F"/>
    <x v="3"/>
    <x v="0"/>
    <x v="0"/>
    <x v="8"/>
    <x v="3"/>
    <x v="0"/>
    <x v="2"/>
  </r>
  <r>
    <s v="TX500025"/>
    <x v="12"/>
    <x v="8"/>
    <n v="88.8"/>
    <n v="710.4"/>
    <x v="0"/>
    <d v="2025-01-02T00:00:00"/>
    <s v="F"/>
    <x v="4"/>
    <x v="0"/>
    <x v="0"/>
    <x v="8"/>
    <x v="3"/>
    <x v="0"/>
    <x v="2"/>
  </r>
  <r>
    <s v="TX500026"/>
    <x v="0"/>
    <x v="7"/>
    <n v="17.5"/>
    <n v="175"/>
    <x v="0"/>
    <d v="2025-01-02T00:00:00"/>
    <s v="F"/>
    <x v="2"/>
    <x v="0"/>
    <x v="0"/>
    <x v="9"/>
    <x v="3"/>
    <x v="0"/>
    <x v="2"/>
  </r>
  <r>
    <s v="TX500027"/>
    <x v="1"/>
    <x v="11"/>
    <n v="38.700000000000003"/>
    <n v="348.3"/>
    <x v="0"/>
    <d v="2025-01-04T00:00:00"/>
    <s v="M"/>
    <x v="1"/>
    <x v="0"/>
    <x v="0"/>
    <x v="10"/>
    <x v="2"/>
    <x v="0"/>
    <x v="1"/>
  </r>
  <r>
    <s v="TX500028"/>
    <x v="13"/>
    <x v="12"/>
    <n v="57.2"/>
    <n v="228.8"/>
    <x v="0"/>
    <d v="2025-01-03T00:00:00"/>
    <m/>
    <x v="1"/>
    <x v="2"/>
    <x v="0"/>
    <x v="11"/>
    <x v="1"/>
    <x v="0"/>
    <x v="0"/>
  </r>
  <r>
    <s v="TX500029"/>
    <x v="6"/>
    <x v="9"/>
    <n v="50.9"/>
    <n v="254.5"/>
    <x v="0"/>
    <d v="2025-01-07T00:00:00"/>
    <m/>
    <x v="1"/>
    <x v="2"/>
    <x v="0"/>
    <x v="12"/>
    <x v="4"/>
    <x v="0"/>
    <x v="0"/>
  </r>
  <r>
    <s v="TX500030"/>
    <x v="14"/>
    <x v="3"/>
    <n v="41"/>
    <n v="287"/>
    <x v="0"/>
    <d v="2025-01-05T00:00:00"/>
    <s v="F"/>
    <x v="1"/>
    <x v="0"/>
    <x v="0"/>
    <x v="13"/>
    <x v="5"/>
    <x v="0"/>
    <x v="2"/>
  </r>
  <r>
    <s v="TX500031"/>
    <x v="8"/>
    <x v="3"/>
    <n v="19.100000000000001"/>
    <n v="133.70000000000002"/>
    <x v="0"/>
    <d v="2025-01-05T00:00:00"/>
    <s v="M"/>
    <x v="0"/>
    <x v="2"/>
    <x v="0"/>
    <x v="14"/>
    <x v="5"/>
    <x v="0"/>
    <x v="1"/>
  </r>
  <r>
    <s v="TX500032"/>
    <x v="2"/>
    <x v="9"/>
    <n v="166.1"/>
    <n v="830.5"/>
    <x v="0"/>
    <d v="2025-01-04T00:00:00"/>
    <s v="M"/>
    <x v="0"/>
    <x v="0"/>
    <x v="0"/>
    <x v="15"/>
    <x v="2"/>
    <x v="0"/>
    <x v="1"/>
  </r>
  <r>
    <s v="TX500033"/>
    <x v="4"/>
    <x v="2"/>
    <n v="29.9"/>
    <n v="89.699999999999989"/>
    <x v="0"/>
    <d v="2025-01-02T00:00:00"/>
    <s v="M"/>
    <x v="3"/>
    <x v="0"/>
    <x v="0"/>
    <x v="3"/>
    <x v="3"/>
    <x v="0"/>
    <x v="1"/>
  </r>
  <r>
    <s v="TX500034"/>
    <x v="10"/>
    <x v="13"/>
    <n v="21.7"/>
    <n v="130.19999999999999"/>
    <x v="0"/>
    <d v="2025-01-03T00:00:00"/>
    <s v="O"/>
    <x v="2"/>
    <x v="2"/>
    <x v="0"/>
    <x v="3"/>
    <x v="1"/>
    <x v="0"/>
    <x v="3"/>
  </r>
  <r>
    <s v="TX500035"/>
    <x v="11"/>
    <x v="1"/>
    <n v="32"/>
    <n v="64"/>
    <x v="0"/>
    <d v="2025-01-04T00:00:00"/>
    <s v="M"/>
    <x v="0"/>
    <x v="2"/>
    <x v="0"/>
    <x v="3"/>
    <x v="2"/>
    <x v="0"/>
    <x v="1"/>
  </r>
  <r>
    <s v="TX500036"/>
    <x v="8"/>
    <x v="1"/>
    <n v="15.8"/>
    <n v="31.6"/>
    <x v="0"/>
    <d v="2025-01-02T00:00:00"/>
    <s v="M"/>
    <x v="4"/>
    <x v="2"/>
    <x v="0"/>
    <x v="3"/>
    <x v="3"/>
    <x v="0"/>
    <x v="1"/>
  </r>
  <r>
    <s v="TX500037"/>
    <x v="2"/>
    <x v="14"/>
    <n v="203.1"/>
    <n v="3452.7"/>
    <x v="0"/>
    <d v="2025-01-05T00:00:00"/>
    <s v="M"/>
    <x v="3"/>
    <x v="1"/>
    <x v="0"/>
    <x v="3"/>
    <x v="5"/>
    <x v="0"/>
    <x v="1"/>
  </r>
  <r>
    <s v="TX500038"/>
    <x v="7"/>
    <x v="15"/>
    <n v="39"/>
    <n v="507"/>
    <x v="0"/>
    <d v="2025-01-07T00:00:00"/>
    <s v="M"/>
    <x v="0"/>
    <x v="2"/>
    <x v="0"/>
    <x v="3"/>
    <x v="4"/>
    <x v="0"/>
    <x v="1"/>
  </r>
  <r>
    <s v="TX500039"/>
    <x v="10"/>
    <x v="0"/>
    <n v="26.5"/>
    <n v="26.5"/>
    <x v="1"/>
    <d v="2025-01-03T00:00:00"/>
    <s v="M"/>
    <x v="2"/>
    <x v="0"/>
    <x v="0"/>
    <x v="3"/>
    <x v="3"/>
    <x v="0"/>
    <x v="1"/>
  </r>
  <r>
    <s v="TX500040"/>
    <x v="5"/>
    <x v="0"/>
    <n v="43.1"/>
    <n v="43.1"/>
    <x v="1"/>
    <d v="2025-01-03T00:00:00"/>
    <s v="F"/>
    <x v="2"/>
    <x v="1"/>
    <x v="0"/>
    <x v="3"/>
    <x v="3"/>
    <x v="0"/>
    <x v="2"/>
  </r>
  <r>
    <s v="TX500041"/>
    <x v="1"/>
    <x v="2"/>
    <n v="139"/>
    <n v="417"/>
    <x v="1"/>
    <d v="2025-01-03T00:00:00"/>
    <s v="F"/>
    <x v="4"/>
    <x v="2"/>
    <x v="0"/>
    <x v="3"/>
    <x v="3"/>
    <x v="0"/>
    <x v="2"/>
  </r>
  <r>
    <s v="TX500042"/>
    <x v="12"/>
    <x v="0"/>
    <n v="80.7"/>
    <n v="80.7"/>
    <x v="1"/>
    <d v="2025-01-03T00:00:00"/>
    <s v="M"/>
    <x v="0"/>
    <x v="2"/>
    <x v="0"/>
    <x v="16"/>
    <x v="3"/>
    <x v="0"/>
    <x v="1"/>
  </r>
  <r>
    <s v="TX500043"/>
    <x v="4"/>
    <x v="1"/>
    <n v="54.5"/>
    <n v="109"/>
    <x v="1"/>
    <d v="2025-01-04T00:00:00"/>
    <s v="M"/>
    <x v="1"/>
    <x v="1"/>
    <x v="0"/>
    <x v="6"/>
    <x v="1"/>
    <x v="0"/>
    <x v="1"/>
  </r>
  <r>
    <s v="TX500044"/>
    <x v="6"/>
    <x v="2"/>
    <n v="68.599999999999994"/>
    <n v="205.79999999999998"/>
    <x v="1"/>
    <d v="2025-01-02T00:00:00"/>
    <s v="F"/>
    <x v="0"/>
    <x v="1"/>
    <x v="0"/>
    <x v="8"/>
    <x v="7"/>
    <x v="0"/>
    <x v="2"/>
  </r>
  <r>
    <s v="TX500045"/>
    <x v="2"/>
    <x v="12"/>
    <n v="135.9"/>
    <n v="543.6"/>
    <x v="1"/>
    <d v="2025-01-03T00:00:00"/>
    <s v="F"/>
    <x v="2"/>
    <x v="2"/>
    <x v="0"/>
    <x v="8"/>
    <x v="3"/>
    <x v="0"/>
    <x v="2"/>
  </r>
  <r>
    <s v="TX500046"/>
    <x v="2"/>
    <x v="12"/>
    <n v="70.900000000000006"/>
    <n v="283.60000000000002"/>
    <x v="1"/>
    <d v="2025-01-03T00:00:00"/>
    <s v="F"/>
    <x v="0"/>
    <x v="0"/>
    <x v="0"/>
    <x v="17"/>
    <x v="3"/>
    <x v="0"/>
    <x v="2"/>
  </r>
  <r>
    <s v="TX500047"/>
    <x v="1"/>
    <x v="9"/>
    <n v="63.7"/>
    <n v="318.5"/>
    <x v="1"/>
    <d v="2025-01-03T00:00:00"/>
    <s v="M"/>
    <x v="1"/>
    <x v="1"/>
    <x v="0"/>
    <x v="9"/>
    <x v="3"/>
    <x v="0"/>
    <x v="1"/>
  </r>
  <r>
    <s v="TX500048"/>
    <x v="13"/>
    <x v="0"/>
    <n v="29.7"/>
    <n v="29.7"/>
    <x v="1"/>
    <d v="2025-01-04T00:00:00"/>
    <s v="F"/>
    <x v="1"/>
    <x v="0"/>
    <x v="0"/>
    <x v="11"/>
    <x v="1"/>
    <x v="0"/>
    <x v="2"/>
  </r>
  <r>
    <s v="TX500049"/>
    <x v="4"/>
    <x v="2"/>
    <n v="26.8"/>
    <n v="80.400000000000006"/>
    <x v="1"/>
    <d v="2025-01-11T00:00:00"/>
    <s v="F"/>
    <x v="1"/>
    <x v="2"/>
    <x v="0"/>
    <x v="11"/>
    <x v="8"/>
    <x v="0"/>
    <x v="2"/>
  </r>
  <r>
    <s v="TX500050"/>
    <x v="14"/>
    <x v="0"/>
    <n v="27"/>
    <n v="27"/>
    <x v="1"/>
    <d v="2025-01-04T00:00:00"/>
    <s v="F"/>
    <x v="0"/>
    <x v="0"/>
    <x v="0"/>
    <x v="18"/>
    <x v="1"/>
    <x v="0"/>
    <x v="2"/>
  </r>
  <r>
    <s v="TX500051"/>
    <x v="8"/>
    <x v="0"/>
    <n v="41.4"/>
    <n v="41.4"/>
    <x v="1"/>
    <d v="2025-01-03T00:00:00"/>
    <s v="M"/>
    <x v="1"/>
    <x v="2"/>
    <x v="0"/>
    <x v="19"/>
    <x v="3"/>
    <x v="0"/>
    <x v="1"/>
  </r>
  <r>
    <s v="TX500052"/>
    <x v="8"/>
    <x v="1"/>
    <n v="24.3"/>
    <n v="48.6"/>
    <x v="1"/>
    <d v="2025-01-05T00:00:00"/>
    <s v="F"/>
    <x v="1"/>
    <x v="0"/>
    <x v="0"/>
    <x v="19"/>
    <x v="2"/>
    <x v="0"/>
    <x v="2"/>
  </r>
  <r>
    <s v="TX500053"/>
    <x v="8"/>
    <x v="2"/>
    <n v="41.7"/>
    <n v="125.10000000000001"/>
    <x v="1"/>
    <d v="2025-01-04T00:00:00"/>
    <s v="M"/>
    <x v="0"/>
    <x v="2"/>
    <x v="0"/>
    <x v="20"/>
    <x v="1"/>
    <x v="0"/>
    <x v="1"/>
  </r>
  <r>
    <s v="TX500054"/>
    <x v="0"/>
    <x v="1"/>
    <n v="18"/>
    <n v="36"/>
    <x v="1"/>
    <d v="2025-01-03T00:00:00"/>
    <s v="F"/>
    <x v="0"/>
    <x v="2"/>
    <x v="0"/>
    <x v="21"/>
    <x v="3"/>
    <x v="0"/>
    <x v="2"/>
  </r>
  <r>
    <s v="TX500055"/>
    <x v="7"/>
    <x v="2"/>
    <n v="91.3"/>
    <n v="273.89999999999998"/>
    <x v="1"/>
    <d v="2025-01-05T00:00:00"/>
    <s v="M"/>
    <x v="2"/>
    <x v="2"/>
    <x v="0"/>
    <x v="3"/>
    <x v="2"/>
    <x v="0"/>
    <x v="1"/>
  </r>
  <r>
    <s v="TX500056"/>
    <x v="8"/>
    <x v="8"/>
    <n v="19.3"/>
    <n v="154.4"/>
    <x v="1"/>
    <d v="2025-01-03T00:00:00"/>
    <s v="M"/>
    <x v="0"/>
    <x v="0"/>
    <x v="0"/>
    <x v="3"/>
    <x v="3"/>
    <x v="0"/>
    <x v="1"/>
  </r>
  <r>
    <s v="TX500057"/>
    <x v="12"/>
    <x v="15"/>
    <n v="63.2"/>
    <n v="821.6"/>
    <x v="1"/>
    <d v="2025-01-03T00:00:00"/>
    <s v="F"/>
    <x v="0"/>
    <x v="0"/>
    <x v="0"/>
    <x v="3"/>
    <x v="3"/>
    <x v="0"/>
    <x v="2"/>
  </r>
  <r>
    <s v="TX500058"/>
    <x v="10"/>
    <x v="11"/>
    <n v="33.299999999999997"/>
    <n v="299.7"/>
    <x v="2"/>
    <d v="2025-01-11T00:00:00"/>
    <s v="F"/>
    <x v="0"/>
    <x v="2"/>
    <x v="0"/>
    <x v="3"/>
    <x v="9"/>
    <x v="0"/>
    <x v="2"/>
  </r>
  <r>
    <s v="TX500059"/>
    <x v="7"/>
    <x v="1"/>
    <n v="64.2"/>
    <n v="128.4"/>
    <x v="2"/>
    <d v="2025-01-04T00:00:00"/>
    <s v="M"/>
    <x v="0"/>
    <x v="2"/>
    <x v="0"/>
    <x v="3"/>
    <x v="3"/>
    <x v="0"/>
    <x v="1"/>
  </r>
  <r>
    <s v="TX500060"/>
    <x v="9"/>
    <x v="2"/>
    <n v="23.1"/>
    <n v="69.300000000000011"/>
    <x v="2"/>
    <d v="2025-01-06T00:00:00"/>
    <s v="F"/>
    <x v="1"/>
    <x v="2"/>
    <x v="0"/>
    <x v="3"/>
    <x v="2"/>
    <x v="0"/>
    <x v="2"/>
  </r>
  <r>
    <s v="TX500061"/>
    <x v="15"/>
    <x v="1"/>
    <n v="71.099999999999994"/>
    <n v="142.19999999999999"/>
    <x v="2"/>
    <d v="2025-01-05T00:00:00"/>
    <s v="F"/>
    <x v="3"/>
    <x v="1"/>
    <x v="0"/>
    <x v="3"/>
    <x v="1"/>
    <x v="0"/>
    <x v="2"/>
  </r>
  <r>
    <s v="TX500062"/>
    <x v="0"/>
    <x v="1"/>
    <n v="11.5"/>
    <n v="23"/>
    <x v="2"/>
    <d v="2025-01-04T00:00:00"/>
    <s v="F"/>
    <x v="0"/>
    <x v="0"/>
    <x v="0"/>
    <x v="3"/>
    <x v="3"/>
    <x v="0"/>
    <x v="2"/>
  </r>
  <r>
    <s v="TX500063"/>
    <x v="15"/>
    <x v="10"/>
    <n v="69.2"/>
    <n v="1314.8"/>
    <x v="2"/>
    <d v="2025-01-08T00:00:00"/>
    <s v="F"/>
    <x v="0"/>
    <x v="0"/>
    <x v="0"/>
    <x v="3"/>
    <x v="0"/>
    <x v="0"/>
    <x v="2"/>
  </r>
  <r>
    <s v="TX500064"/>
    <x v="0"/>
    <x v="0"/>
    <n v="26.8"/>
    <n v="26.8"/>
    <x v="2"/>
    <d v="2025-01-04T00:00:00"/>
    <s v="M"/>
    <x v="2"/>
    <x v="4"/>
    <x v="0"/>
    <x v="3"/>
    <x v="3"/>
    <x v="0"/>
    <x v="1"/>
  </r>
  <r>
    <s v="TX500065"/>
    <x v="16"/>
    <x v="2"/>
    <n v="31.2"/>
    <n v="93.6"/>
    <x v="2"/>
    <d v="2025-01-06T00:00:00"/>
    <s v="F"/>
    <x v="0"/>
    <x v="0"/>
    <x v="0"/>
    <x v="3"/>
    <x v="2"/>
    <x v="0"/>
    <x v="2"/>
  </r>
  <r>
    <s v="TX500066"/>
    <x v="12"/>
    <x v="1"/>
    <n v="113.2"/>
    <n v="226.4"/>
    <x v="2"/>
    <d v="2025-01-04T00:00:00"/>
    <s v="F"/>
    <x v="4"/>
    <x v="0"/>
    <x v="0"/>
    <x v="3"/>
    <x v="3"/>
    <x v="0"/>
    <x v="2"/>
  </r>
  <r>
    <s v="TX500067"/>
    <x v="10"/>
    <x v="8"/>
    <n v="21"/>
    <n v="168"/>
    <x v="2"/>
    <d v="2025-01-04T00:00:00"/>
    <s v="M"/>
    <x v="0"/>
    <x v="0"/>
    <x v="0"/>
    <x v="6"/>
    <x v="3"/>
    <x v="0"/>
    <x v="1"/>
  </r>
  <r>
    <s v="TX500068"/>
    <x v="1"/>
    <x v="1"/>
    <n v="89.1"/>
    <n v="178.2"/>
    <x v="2"/>
    <d v="2025-01-04T00:00:00"/>
    <s v="F"/>
    <x v="2"/>
    <x v="2"/>
    <x v="0"/>
    <x v="6"/>
    <x v="3"/>
    <x v="0"/>
    <x v="2"/>
  </r>
  <r>
    <s v="TX500069"/>
    <x v="1"/>
    <x v="0"/>
    <n v="97.7"/>
    <n v="97.7"/>
    <x v="2"/>
    <d v="2025-01-05T00:00:00"/>
    <s v="F"/>
    <x v="0"/>
    <x v="1"/>
    <x v="0"/>
    <x v="6"/>
    <x v="1"/>
    <x v="0"/>
    <x v="2"/>
  </r>
  <r>
    <s v="TX500070"/>
    <x v="15"/>
    <x v="12"/>
    <n v="97.7"/>
    <n v="390.8"/>
    <x v="2"/>
    <d v="2025-01-05T00:00:00"/>
    <s v="M"/>
    <x v="3"/>
    <x v="0"/>
    <x v="0"/>
    <x v="6"/>
    <x v="1"/>
    <x v="0"/>
    <x v="1"/>
  </r>
  <r>
    <s v="TX500071"/>
    <x v="17"/>
    <x v="2"/>
    <n v="47.4"/>
    <n v="142.19999999999999"/>
    <x v="2"/>
    <d v="2025-01-06T00:00:00"/>
    <s v="M"/>
    <x v="3"/>
    <x v="2"/>
    <x v="0"/>
    <x v="8"/>
    <x v="2"/>
    <x v="0"/>
    <x v="1"/>
  </r>
  <r>
    <s v="TX500072"/>
    <x v="7"/>
    <x v="0"/>
    <n v="89.6"/>
    <n v="89.6"/>
    <x v="2"/>
    <d v="2025-01-06T00:00:00"/>
    <s v="F"/>
    <x v="0"/>
    <x v="2"/>
    <x v="0"/>
    <x v="8"/>
    <x v="2"/>
    <x v="0"/>
    <x v="2"/>
  </r>
  <r>
    <s v="TX500073"/>
    <x v="10"/>
    <x v="16"/>
    <n v="28.4"/>
    <n v="511.2"/>
    <x v="2"/>
    <d v="2025-01-06T00:00:00"/>
    <s v="F"/>
    <x v="3"/>
    <x v="2"/>
    <x v="0"/>
    <x v="17"/>
    <x v="2"/>
    <x v="0"/>
    <x v="2"/>
  </r>
  <r>
    <s v="TX500074"/>
    <x v="0"/>
    <x v="1"/>
    <n v="17.899999999999999"/>
    <n v="35.799999999999997"/>
    <x v="2"/>
    <d v="2025-01-04T00:00:00"/>
    <s v="F"/>
    <x v="0"/>
    <x v="2"/>
    <x v="0"/>
    <x v="9"/>
    <x v="3"/>
    <x v="0"/>
    <x v="2"/>
  </r>
  <r>
    <s v="TX500075"/>
    <x v="9"/>
    <x v="1"/>
    <n v="48.4"/>
    <n v="96.8"/>
    <x v="2"/>
    <d v="2025-01-06T00:00:00"/>
    <s v="M"/>
    <x v="1"/>
    <x v="0"/>
    <x v="0"/>
    <x v="9"/>
    <x v="2"/>
    <x v="0"/>
    <x v="1"/>
  </r>
  <r>
    <s v="TX500076"/>
    <x v="12"/>
    <x v="12"/>
    <n v="44.4"/>
    <n v="177.6"/>
    <x v="2"/>
    <d v="2025-01-04T00:00:00"/>
    <s v="O"/>
    <x v="1"/>
    <x v="1"/>
    <x v="0"/>
    <x v="11"/>
    <x v="3"/>
    <x v="0"/>
    <x v="3"/>
  </r>
  <r>
    <s v="TX500077"/>
    <x v="2"/>
    <x v="8"/>
    <n v="103.7"/>
    <n v="829.6"/>
    <x v="2"/>
    <d v="2025-01-04T00:00:00"/>
    <s v="F"/>
    <x v="0"/>
    <x v="1"/>
    <x v="0"/>
    <x v="19"/>
    <x v="3"/>
    <x v="0"/>
    <x v="2"/>
  </r>
  <r>
    <s v="TX500078"/>
    <x v="5"/>
    <x v="12"/>
    <n v="58.6"/>
    <n v="234.4"/>
    <x v="2"/>
    <d v="2025-01-05T00:00:00"/>
    <s v="M"/>
    <x v="3"/>
    <x v="0"/>
    <x v="0"/>
    <x v="19"/>
    <x v="1"/>
    <x v="0"/>
    <x v="1"/>
  </r>
  <r>
    <s v="TX500079"/>
    <x v="9"/>
    <x v="12"/>
    <n v="54.8"/>
    <n v="219.2"/>
    <x v="2"/>
    <d v="2025-01-07T00:00:00"/>
    <s v="F"/>
    <x v="2"/>
    <x v="1"/>
    <x v="0"/>
    <x v="13"/>
    <x v="5"/>
    <x v="0"/>
    <x v="2"/>
  </r>
  <r>
    <s v="TX500080"/>
    <x v="12"/>
    <x v="2"/>
    <n v="78.8"/>
    <n v="236.39999999999998"/>
    <x v="2"/>
    <d v="2025-01-09T00:00:00"/>
    <s v="F"/>
    <x v="4"/>
    <x v="1"/>
    <x v="0"/>
    <x v="21"/>
    <x v="4"/>
    <x v="0"/>
    <x v="2"/>
  </r>
  <r>
    <s v="TX500081"/>
    <x v="18"/>
    <x v="9"/>
    <n v="36.799999999999997"/>
    <n v="184"/>
    <x v="2"/>
    <d v="2025-01-06T00:00:00"/>
    <s v="M"/>
    <x v="4"/>
    <x v="1"/>
    <x v="0"/>
    <x v="22"/>
    <x v="2"/>
    <x v="0"/>
    <x v="1"/>
  </r>
  <r>
    <s v="TX500082"/>
    <x v="6"/>
    <x v="13"/>
    <n v="50.6"/>
    <n v="303.60000000000002"/>
    <x v="2"/>
    <d v="2025-01-05T00:00:00"/>
    <s v="F"/>
    <x v="3"/>
    <x v="0"/>
    <x v="0"/>
    <x v="3"/>
    <x v="1"/>
    <x v="0"/>
    <x v="2"/>
  </r>
  <r>
    <s v="TX500083"/>
    <x v="15"/>
    <x v="2"/>
    <n v="36.799999999999997"/>
    <n v="110.39999999999999"/>
    <x v="2"/>
    <d v="2025-01-03T00:00:00"/>
    <s v="M"/>
    <x v="2"/>
    <x v="1"/>
    <x v="0"/>
    <x v="3"/>
    <x v="7"/>
    <x v="0"/>
    <x v="1"/>
  </r>
  <r>
    <s v="TX500084"/>
    <x v="8"/>
    <x v="11"/>
    <n v="41.8"/>
    <n v="376.2"/>
    <x v="3"/>
    <d v="2025-01-10T00:00:00"/>
    <s v="F"/>
    <x v="3"/>
    <x v="0"/>
    <x v="0"/>
    <x v="3"/>
    <x v="4"/>
    <x v="0"/>
    <x v="2"/>
  </r>
  <r>
    <s v="TX500085"/>
    <x v="18"/>
    <x v="0"/>
    <n v="77.3"/>
    <n v="77.3"/>
    <x v="3"/>
    <d v="2025-01-05T00:00:00"/>
    <s v="M"/>
    <x v="4"/>
    <x v="4"/>
    <x v="0"/>
    <x v="3"/>
    <x v="3"/>
    <x v="0"/>
    <x v="1"/>
  </r>
  <r>
    <s v="TX500086"/>
    <x v="8"/>
    <x v="12"/>
    <n v="19.8"/>
    <n v="79.2"/>
    <x v="3"/>
    <d v="2025-01-10T00:00:00"/>
    <s v="M"/>
    <x v="1"/>
    <x v="2"/>
    <x v="0"/>
    <x v="3"/>
    <x v="4"/>
    <x v="0"/>
    <x v="1"/>
  </r>
  <r>
    <s v="TX500087"/>
    <x v="13"/>
    <x v="12"/>
    <n v="15.5"/>
    <n v="62"/>
    <x v="3"/>
    <d v="2025-01-05T00:00:00"/>
    <s v="F"/>
    <x v="1"/>
    <x v="2"/>
    <x v="0"/>
    <x v="3"/>
    <x v="3"/>
    <x v="0"/>
    <x v="2"/>
  </r>
  <r>
    <s v="TX500088"/>
    <x v="12"/>
    <x v="0"/>
    <n v="46.8"/>
    <n v="46.8"/>
    <x v="3"/>
    <d v="2025-01-08T00:00:00"/>
    <s v="M"/>
    <x v="0"/>
    <x v="2"/>
    <x v="0"/>
    <x v="3"/>
    <x v="5"/>
    <x v="0"/>
    <x v="1"/>
  </r>
  <r>
    <s v="TX500089"/>
    <x v="9"/>
    <x v="11"/>
    <n v="28.6"/>
    <n v="257.40000000000003"/>
    <x v="3"/>
    <d v="2025-01-08T00:00:00"/>
    <s v="M"/>
    <x v="0"/>
    <x v="2"/>
    <x v="0"/>
    <x v="3"/>
    <x v="5"/>
    <x v="0"/>
    <x v="1"/>
  </r>
  <r>
    <s v="TX500090"/>
    <x v="2"/>
    <x v="0"/>
    <n v="97.7"/>
    <n v="97.7"/>
    <x v="3"/>
    <d v="2025-01-07T00:00:00"/>
    <s v="F"/>
    <x v="1"/>
    <x v="0"/>
    <x v="0"/>
    <x v="3"/>
    <x v="2"/>
    <x v="0"/>
    <x v="2"/>
  </r>
  <r>
    <s v="TX500091"/>
    <x v="9"/>
    <x v="9"/>
    <n v="54.7"/>
    <n v="273.5"/>
    <x v="3"/>
    <d v="2025-01-07T00:00:00"/>
    <m/>
    <x v="0"/>
    <x v="2"/>
    <x v="0"/>
    <x v="23"/>
    <x v="2"/>
    <x v="0"/>
    <x v="0"/>
  </r>
  <r>
    <s v="TX500092"/>
    <x v="2"/>
    <x v="13"/>
    <n v="130.5"/>
    <n v="783"/>
    <x v="3"/>
    <d v="2025-01-06T00:00:00"/>
    <s v="F"/>
    <x v="0"/>
    <x v="1"/>
    <x v="0"/>
    <x v="23"/>
    <x v="1"/>
    <x v="0"/>
    <x v="2"/>
  </r>
  <r>
    <s v="TX500093"/>
    <x v="11"/>
    <x v="1"/>
    <n v="50.4"/>
    <n v="100.8"/>
    <x v="3"/>
    <d v="2025-01-06T00:00:00"/>
    <s v="M"/>
    <x v="2"/>
    <x v="2"/>
    <x v="0"/>
    <x v="6"/>
    <x v="1"/>
    <x v="0"/>
    <x v="1"/>
  </r>
  <r>
    <s v="TX500094"/>
    <x v="6"/>
    <x v="15"/>
    <n v="61.5"/>
    <n v="799.5"/>
    <x v="3"/>
    <d v="2025-01-05T00:00:00"/>
    <m/>
    <x v="3"/>
    <x v="1"/>
    <x v="0"/>
    <x v="11"/>
    <x v="3"/>
    <x v="0"/>
    <x v="0"/>
  </r>
  <r>
    <s v="TX500095"/>
    <x v="9"/>
    <x v="12"/>
    <n v="30.1"/>
    <n v="120.4"/>
    <x v="3"/>
    <d v="2025-01-05T00:00:00"/>
    <s v="F"/>
    <x v="0"/>
    <x v="2"/>
    <x v="0"/>
    <x v="21"/>
    <x v="3"/>
    <x v="0"/>
    <x v="2"/>
  </r>
  <r>
    <s v="TX500096"/>
    <x v="2"/>
    <x v="9"/>
    <n v="74.8"/>
    <n v="374"/>
    <x v="3"/>
    <d v="2025-01-05T00:00:00"/>
    <s v="F"/>
    <x v="1"/>
    <x v="0"/>
    <x v="0"/>
    <x v="1"/>
    <x v="3"/>
    <x v="0"/>
    <x v="2"/>
  </r>
  <r>
    <s v="TX500097"/>
    <x v="16"/>
    <x v="2"/>
    <n v="64.900000000000006"/>
    <n v="194.70000000000002"/>
    <x v="3"/>
    <d v="2025-01-11T00:00:00"/>
    <s v="M"/>
    <x v="0"/>
    <x v="0"/>
    <x v="0"/>
    <x v="2"/>
    <x v="6"/>
    <x v="0"/>
    <x v="1"/>
  </r>
  <r>
    <s v="TX500098"/>
    <x v="9"/>
    <x v="1"/>
    <n v="50.5"/>
    <n v="101"/>
    <x v="3"/>
    <d v="2025-01-06T00:00:00"/>
    <s v="M"/>
    <x v="1"/>
    <x v="0"/>
    <x v="0"/>
    <x v="22"/>
    <x v="1"/>
    <x v="0"/>
    <x v="1"/>
  </r>
  <r>
    <s v="TX500099"/>
    <x v="11"/>
    <x v="3"/>
    <n v="63"/>
    <n v="441"/>
    <x v="3"/>
    <d v="2025-01-07T00:00:00"/>
    <s v="M"/>
    <x v="3"/>
    <x v="2"/>
    <x v="0"/>
    <x v="3"/>
    <x v="2"/>
    <x v="0"/>
    <x v="1"/>
  </r>
  <r>
    <s v="TX500100"/>
    <x v="2"/>
    <x v="2"/>
    <n v="93.6"/>
    <n v="280.79999999999995"/>
    <x v="3"/>
    <d v="2025-01-17T00:00:00"/>
    <s v="F"/>
    <x v="0"/>
    <x v="2"/>
    <x v="0"/>
    <x v="3"/>
    <x v="10"/>
    <x v="0"/>
    <x v="2"/>
  </r>
  <r>
    <s v="TX500101"/>
    <x v="5"/>
    <x v="17"/>
    <n v="41.4"/>
    <n v="1242"/>
    <x v="3"/>
    <d v="2025-01-08T00:00:00"/>
    <s v="M"/>
    <x v="2"/>
    <x v="2"/>
    <x v="0"/>
    <x v="3"/>
    <x v="5"/>
    <x v="0"/>
    <x v="1"/>
  </r>
  <r>
    <s v="TX500102"/>
    <x v="2"/>
    <x v="1"/>
    <n v="160"/>
    <n v="320"/>
    <x v="4"/>
    <d v="2025-01-06T00:00:00"/>
    <s v="M"/>
    <x v="2"/>
    <x v="2"/>
    <x v="0"/>
    <x v="5"/>
    <x v="3"/>
    <x v="1"/>
    <x v="1"/>
  </r>
  <r>
    <s v="TX500103"/>
    <x v="19"/>
    <x v="5"/>
    <n v="10.5"/>
    <n v="115.5"/>
    <x v="4"/>
    <d v="2025-01-08T00:00:00"/>
    <s v="F"/>
    <x v="4"/>
    <x v="0"/>
    <x v="0"/>
    <x v="8"/>
    <x v="2"/>
    <x v="1"/>
    <x v="2"/>
  </r>
  <r>
    <s v="TX500104"/>
    <x v="10"/>
    <x v="1"/>
    <n v="53"/>
    <n v="106"/>
    <x v="4"/>
    <d v="2025-01-05T00:00:00"/>
    <s v="M"/>
    <x v="2"/>
    <x v="4"/>
    <x v="0"/>
    <x v="17"/>
    <x v="7"/>
    <x v="1"/>
    <x v="1"/>
  </r>
  <r>
    <s v="TX500105"/>
    <x v="8"/>
    <x v="2"/>
    <n v="18.5"/>
    <n v="55.5"/>
    <x v="4"/>
    <d v="2025-01-10T00:00:00"/>
    <s v="F"/>
    <x v="1"/>
    <x v="2"/>
    <x v="0"/>
    <x v="11"/>
    <x v="0"/>
    <x v="1"/>
    <x v="2"/>
  </r>
  <r>
    <s v="TX500106"/>
    <x v="16"/>
    <x v="2"/>
    <n v="84.5"/>
    <n v="253.5"/>
    <x v="4"/>
    <d v="2025-01-07T00:00:00"/>
    <s v="F"/>
    <x v="4"/>
    <x v="1"/>
    <x v="0"/>
    <x v="13"/>
    <x v="1"/>
    <x v="1"/>
    <x v="2"/>
  </r>
  <r>
    <s v="TX500107"/>
    <x v="15"/>
    <x v="3"/>
    <n v="31.2"/>
    <n v="218.4"/>
    <x v="4"/>
    <d v="2025-01-05T00:00:00"/>
    <s v="F"/>
    <x v="2"/>
    <x v="2"/>
    <x v="0"/>
    <x v="3"/>
    <x v="7"/>
    <x v="1"/>
    <x v="2"/>
  </r>
  <r>
    <s v="TX500108"/>
    <x v="8"/>
    <x v="16"/>
    <n v="32.6"/>
    <n v="586.80000000000007"/>
    <x v="4"/>
    <d v="2025-01-06T00:00:00"/>
    <s v="M"/>
    <x v="1"/>
    <x v="1"/>
    <x v="0"/>
    <x v="3"/>
    <x v="3"/>
    <x v="1"/>
    <x v="1"/>
  </r>
  <r>
    <s v="TX500109"/>
    <x v="10"/>
    <x v="12"/>
    <n v="45.4"/>
    <n v="181.6"/>
    <x v="4"/>
    <d v="2025-01-07T00:00:00"/>
    <s v="M"/>
    <x v="1"/>
    <x v="0"/>
    <x v="0"/>
    <x v="3"/>
    <x v="1"/>
    <x v="1"/>
    <x v="1"/>
  </r>
  <r>
    <s v="TX500110"/>
    <x v="2"/>
    <x v="4"/>
    <n v="120"/>
    <n v="1440"/>
    <x v="4"/>
    <d v="2025-01-06T00:00:00"/>
    <s v="F"/>
    <x v="2"/>
    <x v="4"/>
    <x v="0"/>
    <x v="3"/>
    <x v="3"/>
    <x v="1"/>
    <x v="2"/>
  </r>
  <r>
    <s v="TX500111"/>
    <x v="0"/>
    <x v="12"/>
    <n v="18.899999999999999"/>
    <n v="75.599999999999994"/>
    <x v="4"/>
    <d v="2025-01-07T00:00:00"/>
    <s v="M"/>
    <x v="0"/>
    <x v="2"/>
    <x v="0"/>
    <x v="3"/>
    <x v="1"/>
    <x v="1"/>
    <x v="1"/>
  </r>
  <r>
    <s v="TX500112"/>
    <x v="4"/>
    <x v="0"/>
    <n v="32"/>
    <n v="32"/>
    <x v="4"/>
    <d v="2025-01-07T00:00:00"/>
    <s v="F"/>
    <x v="4"/>
    <x v="0"/>
    <x v="0"/>
    <x v="3"/>
    <x v="1"/>
    <x v="1"/>
    <x v="2"/>
  </r>
  <r>
    <s v="TX500113"/>
    <x v="7"/>
    <x v="1"/>
    <n v="37.299999999999997"/>
    <n v="74.599999999999994"/>
    <x v="4"/>
    <d v="2025-01-06T00:00:00"/>
    <s v="M"/>
    <x v="2"/>
    <x v="0"/>
    <x v="0"/>
    <x v="3"/>
    <x v="3"/>
    <x v="1"/>
    <x v="1"/>
  </r>
  <r>
    <s v="TX500114"/>
    <x v="18"/>
    <x v="0"/>
    <n v="119.8"/>
    <n v="119.8"/>
    <x v="4"/>
    <d v="2025-01-06T00:00:00"/>
    <s v="M"/>
    <x v="1"/>
    <x v="1"/>
    <x v="0"/>
    <x v="3"/>
    <x v="3"/>
    <x v="1"/>
    <x v="1"/>
  </r>
  <r>
    <s v="TX500115"/>
    <x v="10"/>
    <x v="1"/>
    <n v="26.4"/>
    <n v="52.8"/>
    <x v="4"/>
    <d v="2025-01-08T00:00:00"/>
    <s v="M"/>
    <x v="2"/>
    <x v="0"/>
    <x v="0"/>
    <x v="3"/>
    <x v="2"/>
    <x v="1"/>
    <x v="1"/>
  </r>
  <r>
    <s v="TX500116"/>
    <x v="6"/>
    <x v="13"/>
    <n v="76.5"/>
    <n v="459"/>
    <x v="4"/>
    <d v="2025-01-06T00:00:00"/>
    <s v="F"/>
    <x v="1"/>
    <x v="1"/>
    <x v="0"/>
    <x v="3"/>
    <x v="3"/>
    <x v="1"/>
    <x v="2"/>
  </r>
  <r>
    <s v="TX500117"/>
    <x v="4"/>
    <x v="7"/>
    <n v="45.7"/>
    <n v="457"/>
    <x v="4"/>
    <d v="2025-01-06T00:00:00"/>
    <s v="F"/>
    <x v="2"/>
    <x v="0"/>
    <x v="0"/>
    <x v="24"/>
    <x v="3"/>
    <x v="1"/>
    <x v="2"/>
  </r>
  <r>
    <s v="TX500118"/>
    <x v="1"/>
    <x v="4"/>
    <n v="92.6"/>
    <n v="1111.1999999999998"/>
    <x v="4"/>
    <d v="2025-01-07T00:00:00"/>
    <s v="F"/>
    <x v="2"/>
    <x v="0"/>
    <x v="0"/>
    <x v="25"/>
    <x v="1"/>
    <x v="1"/>
    <x v="2"/>
  </r>
  <r>
    <s v="TX500119"/>
    <x v="6"/>
    <x v="13"/>
    <n v="60.1"/>
    <n v="360.6"/>
    <x v="4"/>
    <d v="2025-01-06T00:00:00"/>
    <s v="M"/>
    <x v="1"/>
    <x v="0"/>
    <x v="0"/>
    <x v="23"/>
    <x v="3"/>
    <x v="1"/>
    <x v="1"/>
  </r>
  <r>
    <s v="TX500120"/>
    <x v="1"/>
    <x v="2"/>
    <n v="73"/>
    <n v="219"/>
    <x v="4"/>
    <d v="2025-01-06T00:00:00"/>
    <s v="F"/>
    <x v="3"/>
    <x v="1"/>
    <x v="0"/>
    <x v="6"/>
    <x v="3"/>
    <x v="1"/>
    <x v="2"/>
  </r>
  <r>
    <s v="TX500121"/>
    <x v="6"/>
    <x v="2"/>
    <n v="44.3"/>
    <n v="132.89999999999998"/>
    <x v="4"/>
    <d v="2025-01-09T00:00:00"/>
    <m/>
    <x v="2"/>
    <x v="2"/>
    <x v="0"/>
    <x v="6"/>
    <x v="5"/>
    <x v="1"/>
    <x v="0"/>
  </r>
  <r>
    <s v="TX500122"/>
    <x v="6"/>
    <x v="2"/>
    <n v="63.3"/>
    <n v="189.89999999999998"/>
    <x v="4"/>
    <d v="2025-01-06T00:00:00"/>
    <s v="M"/>
    <x v="2"/>
    <x v="0"/>
    <x v="0"/>
    <x v="6"/>
    <x v="3"/>
    <x v="1"/>
    <x v="1"/>
  </r>
  <r>
    <s v="TX500123"/>
    <x v="12"/>
    <x v="0"/>
    <n v="66.8"/>
    <n v="66.8"/>
    <x v="4"/>
    <d v="2025-01-06T00:00:00"/>
    <s v="F"/>
    <x v="1"/>
    <x v="0"/>
    <x v="0"/>
    <x v="6"/>
    <x v="3"/>
    <x v="1"/>
    <x v="2"/>
  </r>
  <r>
    <s v="TX500124"/>
    <x v="2"/>
    <x v="1"/>
    <n v="59.7"/>
    <n v="119.4"/>
    <x v="4"/>
    <d v="2025-01-06T00:00:00"/>
    <s v="F"/>
    <x v="0"/>
    <x v="0"/>
    <x v="0"/>
    <x v="7"/>
    <x v="3"/>
    <x v="1"/>
    <x v="2"/>
  </r>
  <r>
    <s v="TX500125"/>
    <x v="1"/>
    <x v="13"/>
    <n v="92"/>
    <n v="552"/>
    <x v="4"/>
    <d v="2025-01-07T00:00:00"/>
    <s v="M"/>
    <x v="0"/>
    <x v="4"/>
    <x v="0"/>
    <x v="7"/>
    <x v="1"/>
    <x v="1"/>
    <x v="1"/>
  </r>
  <r>
    <s v="TX500126"/>
    <x v="7"/>
    <x v="1"/>
    <n v="87.6"/>
    <n v="175.2"/>
    <x v="4"/>
    <d v="2025-01-07T00:00:00"/>
    <s v="M"/>
    <x v="1"/>
    <x v="1"/>
    <x v="0"/>
    <x v="8"/>
    <x v="1"/>
    <x v="1"/>
    <x v="1"/>
  </r>
  <r>
    <s v="TX500127"/>
    <x v="6"/>
    <x v="2"/>
    <n v="84.5"/>
    <n v="253.5"/>
    <x v="4"/>
    <d v="2025-01-06T00:00:00"/>
    <s v="F"/>
    <x v="1"/>
    <x v="1"/>
    <x v="0"/>
    <x v="8"/>
    <x v="3"/>
    <x v="1"/>
    <x v="2"/>
  </r>
  <r>
    <s v="TX500128"/>
    <x v="1"/>
    <x v="1"/>
    <n v="116.3"/>
    <n v="232.6"/>
    <x v="5"/>
    <d v="2025-01-08T00:00:00"/>
    <s v="M"/>
    <x v="2"/>
    <x v="2"/>
    <x v="0"/>
    <x v="8"/>
    <x v="1"/>
    <x v="1"/>
    <x v="1"/>
  </r>
  <r>
    <s v="TX500129"/>
    <x v="6"/>
    <x v="9"/>
    <n v="52.7"/>
    <n v="263.5"/>
    <x v="5"/>
    <d v="2025-01-10T00:00:00"/>
    <s v="M"/>
    <x v="0"/>
    <x v="0"/>
    <x v="0"/>
    <x v="8"/>
    <x v="5"/>
    <x v="1"/>
    <x v="1"/>
  </r>
  <r>
    <s v="TX500130"/>
    <x v="16"/>
    <x v="2"/>
    <n v="34.200000000000003"/>
    <n v="102.60000000000001"/>
    <x v="5"/>
    <d v="2025-01-07T00:00:00"/>
    <s v="M"/>
    <x v="0"/>
    <x v="2"/>
    <x v="0"/>
    <x v="26"/>
    <x v="3"/>
    <x v="1"/>
    <x v="1"/>
  </r>
  <r>
    <s v="TX500131"/>
    <x v="9"/>
    <x v="0"/>
    <n v="23.3"/>
    <n v="23.3"/>
    <x v="5"/>
    <d v="2025-01-15T00:00:00"/>
    <s v="O"/>
    <x v="2"/>
    <x v="2"/>
    <x v="0"/>
    <x v="9"/>
    <x v="8"/>
    <x v="1"/>
    <x v="3"/>
  </r>
  <r>
    <s v="TX500132"/>
    <x v="0"/>
    <x v="18"/>
    <n v="25.9"/>
    <n v="673.4"/>
    <x v="5"/>
    <d v="2025-01-09T00:00:00"/>
    <s v="F"/>
    <x v="4"/>
    <x v="1"/>
    <x v="0"/>
    <x v="9"/>
    <x v="2"/>
    <x v="1"/>
    <x v="2"/>
  </r>
  <r>
    <s v="TX500133"/>
    <x v="6"/>
    <x v="19"/>
    <n v="54.9"/>
    <n v="1592.1"/>
    <x v="5"/>
    <d v="2025-01-07T00:00:00"/>
    <s v="M"/>
    <x v="1"/>
    <x v="2"/>
    <x v="0"/>
    <x v="9"/>
    <x v="3"/>
    <x v="1"/>
    <x v="1"/>
  </r>
  <r>
    <s v="TX500134"/>
    <x v="5"/>
    <x v="2"/>
    <n v="75.8"/>
    <n v="227.39999999999998"/>
    <x v="5"/>
    <d v="2025-01-11T00:00:00"/>
    <s v="O"/>
    <x v="1"/>
    <x v="0"/>
    <x v="0"/>
    <x v="18"/>
    <x v="0"/>
    <x v="1"/>
    <x v="3"/>
  </r>
  <r>
    <s v="TX500135"/>
    <x v="1"/>
    <x v="11"/>
    <n v="44.9"/>
    <n v="404.09999999999997"/>
    <x v="5"/>
    <d v="2025-01-09T00:00:00"/>
    <s v="F"/>
    <x v="2"/>
    <x v="2"/>
    <x v="0"/>
    <x v="2"/>
    <x v="2"/>
    <x v="1"/>
    <x v="2"/>
  </r>
  <r>
    <s v="TX500136"/>
    <x v="11"/>
    <x v="1"/>
    <n v="48.8"/>
    <n v="97.6"/>
    <x v="5"/>
    <d v="2025-01-08T00:00:00"/>
    <s v="F"/>
    <x v="3"/>
    <x v="0"/>
    <x v="0"/>
    <x v="27"/>
    <x v="1"/>
    <x v="1"/>
    <x v="2"/>
  </r>
  <r>
    <s v="TX500137"/>
    <x v="15"/>
    <x v="0"/>
    <n v="20.3"/>
    <n v="20.3"/>
    <x v="5"/>
    <d v="2025-01-07T00:00:00"/>
    <s v="F"/>
    <x v="0"/>
    <x v="2"/>
    <x v="0"/>
    <x v="22"/>
    <x v="3"/>
    <x v="1"/>
    <x v="2"/>
  </r>
  <r>
    <s v="TX500138"/>
    <x v="5"/>
    <x v="3"/>
    <n v="36.4"/>
    <n v="254.79999999999998"/>
    <x v="5"/>
    <d v="2025-01-09T00:00:00"/>
    <s v="F"/>
    <x v="0"/>
    <x v="1"/>
    <x v="0"/>
    <x v="3"/>
    <x v="2"/>
    <x v="1"/>
    <x v="2"/>
  </r>
  <r>
    <s v="TX500139"/>
    <x v="0"/>
    <x v="0"/>
    <n v="19"/>
    <n v="19"/>
    <x v="5"/>
    <d v="2025-01-11T00:00:00"/>
    <s v="F"/>
    <x v="1"/>
    <x v="2"/>
    <x v="0"/>
    <x v="3"/>
    <x v="0"/>
    <x v="1"/>
    <x v="2"/>
  </r>
  <r>
    <s v="TX500140"/>
    <x v="8"/>
    <x v="0"/>
    <n v="17.8"/>
    <n v="17.8"/>
    <x v="5"/>
    <d v="2025-01-06T00:00:00"/>
    <s v="M"/>
    <x v="0"/>
    <x v="0"/>
    <x v="0"/>
    <x v="3"/>
    <x v="7"/>
    <x v="1"/>
    <x v="1"/>
  </r>
  <r>
    <s v="TX500141"/>
    <x v="2"/>
    <x v="13"/>
    <n v="139.6"/>
    <n v="837.59999999999991"/>
    <x v="5"/>
    <d v="2025-01-09T00:00:00"/>
    <s v="M"/>
    <x v="0"/>
    <x v="0"/>
    <x v="0"/>
    <x v="3"/>
    <x v="2"/>
    <x v="1"/>
    <x v="1"/>
  </r>
  <r>
    <s v="TX500142"/>
    <x v="9"/>
    <x v="0"/>
    <n v="31.7"/>
    <n v="31.7"/>
    <x v="5"/>
    <d v="2025-01-06T00:00:00"/>
    <m/>
    <x v="0"/>
    <x v="0"/>
    <x v="0"/>
    <x v="3"/>
    <x v="7"/>
    <x v="1"/>
    <x v="0"/>
  </r>
  <r>
    <s v="TX500143"/>
    <x v="8"/>
    <x v="8"/>
    <n v="26.3"/>
    <n v="210.4"/>
    <x v="5"/>
    <d v="2025-01-09T00:00:00"/>
    <s v="F"/>
    <x v="4"/>
    <x v="4"/>
    <x v="0"/>
    <x v="3"/>
    <x v="2"/>
    <x v="1"/>
    <x v="2"/>
  </r>
  <r>
    <s v="TX500144"/>
    <x v="4"/>
    <x v="1"/>
    <n v="47.8"/>
    <n v="95.6"/>
    <x v="5"/>
    <d v="2025-01-07T00:00:00"/>
    <m/>
    <x v="0"/>
    <x v="0"/>
    <x v="0"/>
    <x v="3"/>
    <x v="3"/>
    <x v="1"/>
    <x v="0"/>
  </r>
  <r>
    <s v="TX500145"/>
    <x v="9"/>
    <x v="2"/>
    <n v="69.400000000000006"/>
    <n v="208.20000000000002"/>
    <x v="5"/>
    <d v="2025-01-10T00:00:00"/>
    <s v="F"/>
    <x v="0"/>
    <x v="0"/>
    <x v="0"/>
    <x v="3"/>
    <x v="5"/>
    <x v="1"/>
    <x v="2"/>
  </r>
  <r>
    <s v="TX500146"/>
    <x v="18"/>
    <x v="4"/>
    <n v="25.8"/>
    <n v="309.60000000000002"/>
    <x v="5"/>
    <d v="2025-01-07T00:00:00"/>
    <s v="M"/>
    <x v="4"/>
    <x v="4"/>
    <x v="0"/>
    <x v="3"/>
    <x v="3"/>
    <x v="1"/>
    <x v="1"/>
  </r>
  <r>
    <s v="TX500147"/>
    <x v="0"/>
    <x v="12"/>
    <n v="26.4"/>
    <n v="105.6"/>
    <x v="5"/>
    <d v="2025-01-07T00:00:00"/>
    <s v="M"/>
    <x v="1"/>
    <x v="2"/>
    <x v="0"/>
    <x v="3"/>
    <x v="3"/>
    <x v="1"/>
    <x v="1"/>
  </r>
  <r>
    <s v="TX500148"/>
    <x v="8"/>
    <x v="12"/>
    <n v="15.7"/>
    <n v="62.8"/>
    <x v="5"/>
    <d v="2025-01-07T00:00:00"/>
    <s v="M"/>
    <x v="2"/>
    <x v="0"/>
    <x v="0"/>
    <x v="3"/>
    <x v="3"/>
    <x v="1"/>
    <x v="1"/>
  </r>
  <r>
    <s v="TX500149"/>
    <x v="8"/>
    <x v="0"/>
    <n v="39.700000000000003"/>
    <n v="39.700000000000003"/>
    <x v="5"/>
    <d v="2025-01-10T00:00:00"/>
    <s v="M"/>
    <x v="0"/>
    <x v="0"/>
    <x v="0"/>
    <x v="3"/>
    <x v="5"/>
    <x v="1"/>
    <x v="1"/>
  </r>
  <r>
    <s v="TX500150"/>
    <x v="10"/>
    <x v="12"/>
    <n v="31.1"/>
    <n v="124.4"/>
    <x v="5"/>
    <d v="2025-01-08T00:00:00"/>
    <s v="F"/>
    <x v="2"/>
    <x v="1"/>
    <x v="0"/>
    <x v="3"/>
    <x v="1"/>
    <x v="1"/>
    <x v="2"/>
  </r>
  <r>
    <s v="TX500151"/>
    <x v="13"/>
    <x v="20"/>
    <n v="23.4"/>
    <n v="351"/>
    <x v="5"/>
    <d v="2025-01-15T00:00:00"/>
    <s v="M"/>
    <x v="0"/>
    <x v="0"/>
    <x v="0"/>
    <x v="3"/>
    <x v="8"/>
    <x v="1"/>
    <x v="1"/>
  </r>
  <r>
    <s v="TX500152"/>
    <x v="1"/>
    <x v="12"/>
    <n v="57.1"/>
    <n v="228.4"/>
    <x v="6"/>
    <d v="2025-01-08T00:00:00"/>
    <s v="M"/>
    <x v="2"/>
    <x v="0"/>
    <x v="0"/>
    <x v="25"/>
    <x v="3"/>
    <x v="1"/>
    <x v="1"/>
  </r>
  <r>
    <s v="TX500153"/>
    <x v="2"/>
    <x v="9"/>
    <n v="89.9"/>
    <n v="449.5"/>
    <x v="6"/>
    <d v="2025-01-07T00:00:00"/>
    <s v="F"/>
    <x v="0"/>
    <x v="3"/>
    <x v="0"/>
    <x v="23"/>
    <x v="7"/>
    <x v="1"/>
    <x v="2"/>
  </r>
  <r>
    <s v="TX500154"/>
    <x v="10"/>
    <x v="3"/>
    <n v="48.1"/>
    <n v="336.7"/>
    <x v="6"/>
    <d v="2025-01-09T00:00:00"/>
    <s v="F"/>
    <x v="1"/>
    <x v="2"/>
    <x v="0"/>
    <x v="6"/>
    <x v="1"/>
    <x v="1"/>
    <x v="2"/>
  </r>
  <r>
    <s v="TX500155"/>
    <x v="8"/>
    <x v="1"/>
    <n v="29.3"/>
    <n v="58.6"/>
    <x v="6"/>
    <d v="2025-01-07T00:00:00"/>
    <s v="F"/>
    <x v="1"/>
    <x v="1"/>
    <x v="0"/>
    <x v="6"/>
    <x v="7"/>
    <x v="1"/>
    <x v="2"/>
  </r>
  <r>
    <s v="TX500156"/>
    <x v="8"/>
    <x v="12"/>
    <n v="28.8"/>
    <n v="115.2"/>
    <x v="6"/>
    <d v="2025-01-08T00:00:00"/>
    <s v="F"/>
    <x v="0"/>
    <x v="4"/>
    <x v="0"/>
    <x v="6"/>
    <x v="3"/>
    <x v="1"/>
    <x v="2"/>
  </r>
  <r>
    <s v="TX500157"/>
    <x v="10"/>
    <x v="9"/>
    <n v="40.5"/>
    <n v="202.5"/>
    <x v="6"/>
    <d v="2025-01-11T00:00:00"/>
    <s v="F"/>
    <x v="3"/>
    <x v="0"/>
    <x v="0"/>
    <x v="6"/>
    <x v="5"/>
    <x v="1"/>
    <x v="2"/>
  </r>
  <r>
    <s v="TX500158"/>
    <x v="18"/>
    <x v="21"/>
    <n v="65.099999999999994"/>
    <n v="911.39999999999986"/>
    <x v="6"/>
    <d v="2025-01-08T00:00:00"/>
    <s v="F"/>
    <x v="4"/>
    <x v="0"/>
    <x v="0"/>
    <x v="7"/>
    <x v="3"/>
    <x v="1"/>
    <x v="2"/>
  </r>
  <r>
    <s v="TX500159"/>
    <x v="8"/>
    <x v="12"/>
    <n v="40.299999999999997"/>
    <n v="161.19999999999999"/>
    <x v="6"/>
    <d v="2025-01-12T00:00:00"/>
    <s v="F"/>
    <x v="2"/>
    <x v="0"/>
    <x v="0"/>
    <x v="7"/>
    <x v="0"/>
    <x v="1"/>
    <x v="2"/>
  </r>
  <r>
    <s v="TX500160"/>
    <x v="6"/>
    <x v="9"/>
    <n v="51.8"/>
    <n v="259"/>
    <x v="6"/>
    <d v="2025-01-08T00:00:00"/>
    <s v="M"/>
    <x v="2"/>
    <x v="2"/>
    <x v="0"/>
    <x v="8"/>
    <x v="3"/>
    <x v="1"/>
    <x v="1"/>
  </r>
  <r>
    <s v="TX500161"/>
    <x v="6"/>
    <x v="2"/>
    <n v="61.3"/>
    <n v="183.89999999999998"/>
    <x v="6"/>
    <d v="2025-01-08T00:00:00"/>
    <s v="F"/>
    <x v="3"/>
    <x v="0"/>
    <x v="0"/>
    <x v="8"/>
    <x v="3"/>
    <x v="1"/>
    <x v="2"/>
  </r>
  <r>
    <s v="TX500162"/>
    <x v="2"/>
    <x v="12"/>
    <n v="122.5"/>
    <n v="490"/>
    <x v="6"/>
    <d v="2025-01-08T00:00:00"/>
    <s v="M"/>
    <x v="0"/>
    <x v="0"/>
    <x v="0"/>
    <x v="8"/>
    <x v="3"/>
    <x v="1"/>
    <x v="1"/>
  </r>
  <r>
    <s v="TX500163"/>
    <x v="0"/>
    <x v="11"/>
    <n v="12.5"/>
    <n v="112.5"/>
    <x v="6"/>
    <d v="2025-01-08T00:00:00"/>
    <m/>
    <x v="1"/>
    <x v="2"/>
    <x v="0"/>
    <x v="8"/>
    <x v="3"/>
    <x v="1"/>
    <x v="0"/>
  </r>
  <r>
    <s v="TX500164"/>
    <x v="15"/>
    <x v="8"/>
    <n v="37.5"/>
    <n v="300"/>
    <x v="6"/>
    <d v="2025-01-08T00:00:00"/>
    <s v="F"/>
    <x v="0"/>
    <x v="0"/>
    <x v="0"/>
    <x v="9"/>
    <x v="3"/>
    <x v="1"/>
    <x v="2"/>
  </r>
  <r>
    <s v="TX500165"/>
    <x v="6"/>
    <x v="2"/>
    <n v="40"/>
    <n v="120"/>
    <x v="6"/>
    <d v="2025-01-10T00:00:00"/>
    <s v="M"/>
    <x v="0"/>
    <x v="4"/>
    <x v="0"/>
    <x v="11"/>
    <x v="2"/>
    <x v="1"/>
    <x v="1"/>
  </r>
  <r>
    <s v="TX500166"/>
    <x v="17"/>
    <x v="8"/>
    <n v="38.5"/>
    <n v="308"/>
    <x v="6"/>
    <d v="2025-01-12T00:00:00"/>
    <s v="F"/>
    <x v="2"/>
    <x v="1"/>
    <x v="0"/>
    <x v="11"/>
    <x v="0"/>
    <x v="1"/>
    <x v="2"/>
  </r>
  <r>
    <s v="TX500167"/>
    <x v="2"/>
    <x v="1"/>
    <n v="86.4"/>
    <n v="172.8"/>
    <x v="6"/>
    <d v="2025-01-09T00:00:00"/>
    <s v="F"/>
    <x v="0"/>
    <x v="0"/>
    <x v="0"/>
    <x v="18"/>
    <x v="1"/>
    <x v="1"/>
    <x v="2"/>
  </r>
  <r>
    <s v="TX500168"/>
    <x v="10"/>
    <x v="0"/>
    <n v="50.7"/>
    <n v="50.7"/>
    <x v="6"/>
    <d v="2025-01-11T00:00:00"/>
    <s v="F"/>
    <x v="1"/>
    <x v="0"/>
    <x v="0"/>
    <x v="18"/>
    <x v="5"/>
    <x v="1"/>
    <x v="2"/>
  </r>
  <r>
    <s v="TX500169"/>
    <x v="10"/>
    <x v="1"/>
    <n v="61"/>
    <n v="122"/>
    <x v="6"/>
    <d v="2025-01-18T00:00:00"/>
    <s v="F"/>
    <x v="4"/>
    <x v="1"/>
    <x v="0"/>
    <x v="18"/>
    <x v="11"/>
    <x v="1"/>
    <x v="2"/>
  </r>
  <r>
    <s v="TX500170"/>
    <x v="4"/>
    <x v="1"/>
    <n v="19.899999999999999"/>
    <n v="39.799999999999997"/>
    <x v="6"/>
    <d v="2025-01-10T00:00:00"/>
    <s v="F"/>
    <x v="1"/>
    <x v="0"/>
    <x v="0"/>
    <x v="28"/>
    <x v="2"/>
    <x v="1"/>
    <x v="2"/>
  </r>
  <r>
    <s v="TX500171"/>
    <x v="5"/>
    <x v="0"/>
    <n v="78.3"/>
    <n v="78.3"/>
    <x v="6"/>
    <d v="2025-01-07T00:00:00"/>
    <s v="F"/>
    <x v="0"/>
    <x v="2"/>
    <x v="0"/>
    <x v="1"/>
    <x v="7"/>
    <x v="1"/>
    <x v="2"/>
  </r>
  <r>
    <s v="TX500172"/>
    <x v="0"/>
    <x v="10"/>
    <n v="10.4"/>
    <n v="197.6"/>
    <x v="6"/>
    <d v="2025-01-09T00:00:00"/>
    <s v="M"/>
    <x v="0"/>
    <x v="2"/>
    <x v="0"/>
    <x v="2"/>
    <x v="1"/>
    <x v="1"/>
    <x v="1"/>
  </r>
  <r>
    <s v="TX500173"/>
    <x v="10"/>
    <x v="0"/>
    <n v="36.1"/>
    <n v="36.1"/>
    <x v="6"/>
    <d v="2025-01-10T00:00:00"/>
    <s v="M"/>
    <x v="3"/>
    <x v="2"/>
    <x v="0"/>
    <x v="3"/>
    <x v="2"/>
    <x v="1"/>
    <x v="1"/>
  </r>
  <r>
    <s v="TX500174"/>
    <x v="14"/>
    <x v="1"/>
    <n v="17.3"/>
    <n v="34.6"/>
    <x v="6"/>
    <d v="2025-01-09T00:00:00"/>
    <s v="F"/>
    <x v="1"/>
    <x v="2"/>
    <x v="0"/>
    <x v="3"/>
    <x v="1"/>
    <x v="1"/>
    <x v="2"/>
  </r>
  <r>
    <s v="TX500175"/>
    <x v="10"/>
    <x v="1"/>
    <n v="30.5"/>
    <n v="61"/>
    <x v="6"/>
    <d v="2025-01-08T00:00:00"/>
    <s v="F"/>
    <x v="1"/>
    <x v="2"/>
    <x v="0"/>
    <x v="3"/>
    <x v="3"/>
    <x v="1"/>
    <x v="2"/>
  </r>
  <r>
    <s v="TX500176"/>
    <x v="18"/>
    <x v="22"/>
    <n v="70.099999999999994"/>
    <n v="4346.2"/>
    <x v="6"/>
    <d v="2025-01-07T00:00:00"/>
    <s v="F"/>
    <x v="2"/>
    <x v="0"/>
    <x v="0"/>
    <x v="3"/>
    <x v="7"/>
    <x v="1"/>
    <x v="2"/>
  </r>
  <r>
    <s v="TX500177"/>
    <x v="3"/>
    <x v="0"/>
    <n v="76.099999999999994"/>
    <n v="76.099999999999994"/>
    <x v="6"/>
    <d v="2025-01-07T00:00:00"/>
    <s v="F"/>
    <x v="2"/>
    <x v="1"/>
    <x v="0"/>
    <x v="3"/>
    <x v="7"/>
    <x v="1"/>
    <x v="2"/>
  </r>
  <r>
    <s v="TX500178"/>
    <x v="15"/>
    <x v="15"/>
    <n v="34.200000000000003"/>
    <n v="444.6"/>
    <x v="6"/>
    <d v="2025-01-08T00:00:00"/>
    <s v="M"/>
    <x v="0"/>
    <x v="0"/>
    <x v="0"/>
    <x v="3"/>
    <x v="3"/>
    <x v="1"/>
    <x v="1"/>
  </r>
  <r>
    <s v="TX500179"/>
    <x v="8"/>
    <x v="9"/>
    <n v="30.3"/>
    <n v="151.5"/>
    <x v="6"/>
    <d v="2025-01-12T00:00:00"/>
    <s v="F"/>
    <x v="4"/>
    <x v="0"/>
    <x v="0"/>
    <x v="3"/>
    <x v="0"/>
    <x v="1"/>
    <x v="2"/>
  </r>
  <r>
    <s v="TX500180"/>
    <x v="6"/>
    <x v="9"/>
    <n v="52.5"/>
    <n v="262.5"/>
    <x v="6"/>
    <d v="2025-01-11T00:00:00"/>
    <m/>
    <x v="3"/>
    <x v="0"/>
    <x v="0"/>
    <x v="3"/>
    <x v="5"/>
    <x v="1"/>
    <x v="0"/>
  </r>
  <r>
    <s v="TX500181"/>
    <x v="9"/>
    <x v="5"/>
    <n v="28.7"/>
    <n v="315.7"/>
    <x v="6"/>
    <d v="2025-01-08T00:00:00"/>
    <s v="F"/>
    <x v="2"/>
    <x v="0"/>
    <x v="0"/>
    <x v="3"/>
    <x v="3"/>
    <x v="1"/>
    <x v="2"/>
  </r>
  <r>
    <s v="TX500182"/>
    <x v="7"/>
    <x v="3"/>
    <n v="52"/>
    <n v="364"/>
    <x v="6"/>
    <d v="2025-01-08T00:00:00"/>
    <s v="M"/>
    <x v="1"/>
    <x v="4"/>
    <x v="0"/>
    <x v="3"/>
    <x v="3"/>
    <x v="1"/>
    <x v="1"/>
  </r>
  <r>
    <s v="TX500183"/>
    <x v="0"/>
    <x v="0"/>
    <n v="13.3"/>
    <n v="13.3"/>
    <x v="7"/>
    <d v="2025-01-12T00:00:00"/>
    <s v="F"/>
    <x v="2"/>
    <x v="1"/>
    <x v="0"/>
    <x v="3"/>
    <x v="5"/>
    <x v="1"/>
    <x v="2"/>
  </r>
  <r>
    <s v="TX500184"/>
    <x v="0"/>
    <x v="2"/>
    <n v="15.7"/>
    <n v="47.099999999999994"/>
    <x v="7"/>
    <d v="2025-01-09T00:00:00"/>
    <s v="F"/>
    <x v="1"/>
    <x v="0"/>
    <x v="0"/>
    <x v="29"/>
    <x v="3"/>
    <x v="1"/>
    <x v="2"/>
  </r>
  <r>
    <s v="TX500185"/>
    <x v="8"/>
    <x v="1"/>
    <n v="25.6"/>
    <n v="51.2"/>
    <x v="7"/>
    <d v="2025-01-09T00:00:00"/>
    <s v="M"/>
    <x v="0"/>
    <x v="2"/>
    <x v="0"/>
    <x v="23"/>
    <x v="3"/>
    <x v="1"/>
    <x v="1"/>
  </r>
  <r>
    <s v="TX500186"/>
    <x v="8"/>
    <x v="0"/>
    <n v="43.4"/>
    <n v="43.4"/>
    <x v="7"/>
    <d v="2025-01-13T00:00:00"/>
    <s v="M"/>
    <x v="0"/>
    <x v="0"/>
    <x v="0"/>
    <x v="6"/>
    <x v="0"/>
    <x v="1"/>
    <x v="1"/>
  </r>
  <r>
    <s v="TX500187"/>
    <x v="11"/>
    <x v="11"/>
    <n v="33.4"/>
    <n v="300.59999999999997"/>
    <x v="7"/>
    <d v="2025-01-08T00:00:00"/>
    <s v="F"/>
    <x v="0"/>
    <x v="0"/>
    <x v="0"/>
    <x v="8"/>
    <x v="7"/>
    <x v="1"/>
    <x v="2"/>
  </r>
  <r>
    <s v="TX500188"/>
    <x v="8"/>
    <x v="10"/>
    <n v="55"/>
    <n v="1045"/>
    <x v="7"/>
    <d v="2025-01-09T00:00:00"/>
    <s v="F"/>
    <x v="1"/>
    <x v="2"/>
    <x v="0"/>
    <x v="8"/>
    <x v="3"/>
    <x v="1"/>
    <x v="2"/>
  </r>
  <r>
    <s v="TX500189"/>
    <x v="8"/>
    <x v="2"/>
    <n v="23.6"/>
    <n v="70.800000000000011"/>
    <x v="7"/>
    <d v="2025-01-09T00:00:00"/>
    <s v="M"/>
    <x v="0"/>
    <x v="2"/>
    <x v="0"/>
    <x v="8"/>
    <x v="3"/>
    <x v="1"/>
    <x v="1"/>
  </r>
  <r>
    <s v="TX500190"/>
    <x v="12"/>
    <x v="11"/>
    <n v="104"/>
    <n v="936"/>
    <x v="7"/>
    <d v="2025-01-10T00:00:00"/>
    <s v="F"/>
    <x v="2"/>
    <x v="2"/>
    <x v="0"/>
    <x v="17"/>
    <x v="1"/>
    <x v="1"/>
    <x v="2"/>
  </r>
  <r>
    <s v="TX500191"/>
    <x v="6"/>
    <x v="1"/>
    <n v="51.8"/>
    <n v="103.6"/>
    <x v="7"/>
    <d v="2025-01-12T00:00:00"/>
    <m/>
    <x v="0"/>
    <x v="2"/>
    <x v="0"/>
    <x v="10"/>
    <x v="5"/>
    <x v="1"/>
    <x v="0"/>
  </r>
  <r>
    <s v="TX500192"/>
    <x v="10"/>
    <x v="9"/>
    <n v="34.5"/>
    <n v="172.5"/>
    <x v="7"/>
    <d v="2025-01-10T00:00:00"/>
    <m/>
    <x v="2"/>
    <x v="2"/>
    <x v="0"/>
    <x v="11"/>
    <x v="1"/>
    <x v="1"/>
    <x v="0"/>
  </r>
  <r>
    <s v="TX500193"/>
    <x v="6"/>
    <x v="1"/>
    <n v="51.8"/>
    <n v="103.6"/>
    <x v="7"/>
    <d v="2025-01-10T00:00:00"/>
    <s v="M"/>
    <x v="1"/>
    <x v="2"/>
    <x v="0"/>
    <x v="30"/>
    <x v="1"/>
    <x v="1"/>
    <x v="1"/>
  </r>
  <r>
    <s v="TX500194"/>
    <x v="18"/>
    <x v="23"/>
    <n v="131.5"/>
    <n v="5654.5"/>
    <x v="7"/>
    <d v="2025-01-09T00:00:00"/>
    <s v="F"/>
    <x v="0"/>
    <x v="2"/>
    <x v="0"/>
    <x v="18"/>
    <x v="3"/>
    <x v="1"/>
    <x v="2"/>
  </r>
  <r>
    <s v="TX500195"/>
    <x v="8"/>
    <x v="3"/>
    <n v="47.8"/>
    <n v="334.59999999999997"/>
    <x v="7"/>
    <d v="2025-01-08T00:00:00"/>
    <s v="F"/>
    <x v="0"/>
    <x v="0"/>
    <x v="0"/>
    <x v="19"/>
    <x v="7"/>
    <x v="1"/>
    <x v="2"/>
  </r>
  <r>
    <s v="TX500196"/>
    <x v="0"/>
    <x v="1"/>
    <n v="10.199999999999999"/>
    <n v="20.399999999999999"/>
    <x v="7"/>
    <d v="2025-01-10T00:00:00"/>
    <s v="F"/>
    <x v="0"/>
    <x v="0"/>
    <x v="0"/>
    <x v="19"/>
    <x v="1"/>
    <x v="1"/>
    <x v="2"/>
  </r>
  <r>
    <s v="TX500197"/>
    <x v="8"/>
    <x v="8"/>
    <n v="41"/>
    <n v="328"/>
    <x v="7"/>
    <d v="2025-01-08T00:00:00"/>
    <s v="F"/>
    <x v="1"/>
    <x v="2"/>
    <x v="0"/>
    <x v="19"/>
    <x v="7"/>
    <x v="1"/>
    <x v="2"/>
  </r>
  <r>
    <s v="TX500198"/>
    <x v="10"/>
    <x v="3"/>
    <n v="50.8"/>
    <n v="355.59999999999997"/>
    <x v="7"/>
    <d v="2025-01-11T00:00:00"/>
    <s v="F"/>
    <x v="1"/>
    <x v="0"/>
    <x v="0"/>
    <x v="21"/>
    <x v="2"/>
    <x v="1"/>
    <x v="2"/>
  </r>
  <r>
    <s v="TX500199"/>
    <x v="18"/>
    <x v="2"/>
    <n v="39.6"/>
    <n v="118.80000000000001"/>
    <x v="7"/>
    <d v="2025-01-09T00:00:00"/>
    <s v="M"/>
    <x v="2"/>
    <x v="2"/>
    <x v="0"/>
    <x v="1"/>
    <x v="3"/>
    <x v="1"/>
    <x v="1"/>
  </r>
  <r>
    <s v="TX500200"/>
    <x v="5"/>
    <x v="1"/>
    <n v="69.5"/>
    <n v="139"/>
    <x v="7"/>
    <d v="2025-01-10T00:00:00"/>
    <s v="M"/>
    <x v="0"/>
    <x v="2"/>
    <x v="0"/>
    <x v="2"/>
    <x v="1"/>
    <x v="1"/>
    <x v="1"/>
  </r>
  <r>
    <s v="TX500201"/>
    <x v="8"/>
    <x v="8"/>
    <n v="32.6"/>
    <n v="260.8"/>
    <x v="7"/>
    <d v="2025-01-11T00:00:00"/>
    <s v="M"/>
    <x v="1"/>
    <x v="0"/>
    <x v="0"/>
    <x v="3"/>
    <x v="2"/>
    <x v="1"/>
    <x v="1"/>
  </r>
  <r>
    <s v="TX500202"/>
    <x v="7"/>
    <x v="1"/>
    <n v="49.1"/>
    <n v="98.2"/>
    <x v="7"/>
    <d v="2025-01-16T00:00:00"/>
    <s v="M"/>
    <x v="3"/>
    <x v="2"/>
    <x v="0"/>
    <x v="3"/>
    <x v="9"/>
    <x v="1"/>
    <x v="1"/>
  </r>
  <r>
    <s v="TX500203"/>
    <x v="6"/>
    <x v="1"/>
    <n v="49.4"/>
    <n v="98.8"/>
    <x v="8"/>
    <d v="2025-01-10T00:00:00"/>
    <s v="F"/>
    <x v="2"/>
    <x v="0"/>
    <x v="0"/>
    <x v="3"/>
    <x v="3"/>
    <x v="1"/>
    <x v="2"/>
  </r>
  <r>
    <s v="TX500204"/>
    <x v="7"/>
    <x v="3"/>
    <n v="65.099999999999994"/>
    <n v="455.69999999999993"/>
    <x v="8"/>
    <d v="2025-01-12T00:00:00"/>
    <s v="F"/>
    <x v="2"/>
    <x v="2"/>
    <x v="0"/>
    <x v="3"/>
    <x v="2"/>
    <x v="1"/>
    <x v="2"/>
  </r>
  <r>
    <s v="TX500205"/>
    <x v="3"/>
    <x v="1"/>
    <n v="52.1"/>
    <n v="104.2"/>
    <x v="8"/>
    <d v="2025-01-13T00:00:00"/>
    <s v="F"/>
    <x v="2"/>
    <x v="0"/>
    <x v="0"/>
    <x v="3"/>
    <x v="5"/>
    <x v="1"/>
    <x v="2"/>
  </r>
  <r>
    <s v="TX500206"/>
    <x v="2"/>
    <x v="12"/>
    <n v="129.19999999999999"/>
    <n v="516.79999999999995"/>
    <x v="8"/>
    <d v="2025-01-10T00:00:00"/>
    <s v="F"/>
    <x v="1"/>
    <x v="0"/>
    <x v="0"/>
    <x v="3"/>
    <x v="3"/>
    <x v="1"/>
    <x v="2"/>
  </r>
  <r>
    <s v="TX500207"/>
    <x v="1"/>
    <x v="10"/>
    <n v="81.8"/>
    <n v="1554.2"/>
    <x v="8"/>
    <d v="2025-01-09T00:00:00"/>
    <s v="F"/>
    <x v="1"/>
    <x v="1"/>
    <x v="0"/>
    <x v="3"/>
    <x v="7"/>
    <x v="1"/>
    <x v="2"/>
  </r>
  <r>
    <s v="TX500208"/>
    <x v="17"/>
    <x v="0"/>
    <n v="24.9"/>
    <n v="24.9"/>
    <x v="8"/>
    <d v="2025-01-13T00:00:00"/>
    <s v="F"/>
    <x v="1"/>
    <x v="0"/>
    <x v="0"/>
    <x v="3"/>
    <x v="5"/>
    <x v="1"/>
    <x v="2"/>
  </r>
  <r>
    <s v="TX500209"/>
    <x v="0"/>
    <x v="2"/>
    <n v="49.4"/>
    <n v="148.19999999999999"/>
    <x v="8"/>
    <d v="2025-01-12T00:00:00"/>
    <s v="F"/>
    <x v="4"/>
    <x v="4"/>
    <x v="0"/>
    <x v="3"/>
    <x v="2"/>
    <x v="1"/>
    <x v="2"/>
  </r>
  <r>
    <s v="TX500210"/>
    <x v="8"/>
    <x v="1"/>
    <n v="22.7"/>
    <n v="45.4"/>
    <x v="8"/>
    <d v="2025-01-10T00:00:00"/>
    <s v="M"/>
    <x v="3"/>
    <x v="2"/>
    <x v="0"/>
    <x v="3"/>
    <x v="3"/>
    <x v="1"/>
    <x v="1"/>
  </r>
  <r>
    <s v="TX500211"/>
    <x v="1"/>
    <x v="0"/>
    <n v="77.3"/>
    <n v="77.3"/>
    <x v="8"/>
    <d v="2025-01-09T00:00:00"/>
    <s v="F"/>
    <x v="0"/>
    <x v="2"/>
    <x v="0"/>
    <x v="6"/>
    <x v="7"/>
    <x v="1"/>
    <x v="2"/>
  </r>
  <r>
    <s v="TX500212"/>
    <x v="1"/>
    <x v="9"/>
    <n v="109.1"/>
    <n v="545.5"/>
    <x v="8"/>
    <d v="2025-01-12T00:00:00"/>
    <s v="F"/>
    <x v="0"/>
    <x v="0"/>
    <x v="0"/>
    <x v="6"/>
    <x v="2"/>
    <x v="1"/>
    <x v="2"/>
  </r>
  <r>
    <s v="TX500213"/>
    <x v="2"/>
    <x v="12"/>
    <n v="53.9"/>
    <n v="215.6"/>
    <x v="8"/>
    <d v="2025-01-10T00:00:00"/>
    <s v="M"/>
    <x v="0"/>
    <x v="1"/>
    <x v="0"/>
    <x v="8"/>
    <x v="3"/>
    <x v="1"/>
    <x v="1"/>
  </r>
  <r>
    <s v="TX500214"/>
    <x v="9"/>
    <x v="18"/>
    <n v="21.2"/>
    <n v="551.19999999999993"/>
    <x v="8"/>
    <d v="2025-01-09T00:00:00"/>
    <s v="F"/>
    <x v="0"/>
    <x v="0"/>
    <x v="0"/>
    <x v="9"/>
    <x v="7"/>
    <x v="1"/>
    <x v="2"/>
  </r>
  <r>
    <s v="TX500215"/>
    <x v="16"/>
    <x v="12"/>
    <n v="69"/>
    <n v="276"/>
    <x v="8"/>
    <d v="2025-01-11T00:00:00"/>
    <s v="F"/>
    <x v="1"/>
    <x v="1"/>
    <x v="0"/>
    <x v="18"/>
    <x v="1"/>
    <x v="1"/>
    <x v="2"/>
  </r>
  <r>
    <s v="TX500216"/>
    <x v="6"/>
    <x v="2"/>
    <n v="46.2"/>
    <n v="138.60000000000002"/>
    <x v="8"/>
    <d v="2025-01-11T00:00:00"/>
    <s v="F"/>
    <x v="0"/>
    <x v="2"/>
    <x v="0"/>
    <x v="31"/>
    <x v="1"/>
    <x v="1"/>
    <x v="2"/>
  </r>
  <r>
    <s v="TX500217"/>
    <x v="1"/>
    <x v="9"/>
    <n v="97.4"/>
    <n v="487"/>
    <x v="8"/>
    <d v="2025-01-13T00:00:00"/>
    <s v="F"/>
    <x v="4"/>
    <x v="2"/>
    <x v="0"/>
    <x v="21"/>
    <x v="5"/>
    <x v="1"/>
    <x v="2"/>
  </r>
  <r>
    <s v="TX500218"/>
    <x v="8"/>
    <x v="9"/>
    <n v="21"/>
    <n v="105"/>
    <x v="8"/>
    <d v="2025-01-10T00:00:00"/>
    <s v="M"/>
    <x v="0"/>
    <x v="1"/>
    <x v="0"/>
    <x v="21"/>
    <x v="3"/>
    <x v="1"/>
    <x v="1"/>
  </r>
  <r>
    <s v="TX500219"/>
    <x v="5"/>
    <x v="1"/>
    <n v="32.700000000000003"/>
    <n v="65.400000000000006"/>
    <x v="9"/>
    <d v="2025-01-13T00:00:00"/>
    <s v="F"/>
    <x v="1"/>
    <x v="0"/>
    <x v="0"/>
    <x v="2"/>
    <x v="2"/>
    <x v="1"/>
    <x v="2"/>
  </r>
  <r>
    <s v="TX500220"/>
    <x v="6"/>
    <x v="12"/>
    <n v="48"/>
    <n v="192"/>
    <x v="9"/>
    <d v="2025-01-11T00:00:00"/>
    <s v="M"/>
    <x v="3"/>
    <x v="0"/>
    <x v="0"/>
    <x v="3"/>
    <x v="3"/>
    <x v="1"/>
    <x v="1"/>
  </r>
  <r>
    <s v="TX500221"/>
    <x v="6"/>
    <x v="2"/>
    <n v="68.2"/>
    <n v="204.60000000000002"/>
    <x v="9"/>
    <d v="2025-01-14T00:00:00"/>
    <m/>
    <x v="0"/>
    <x v="2"/>
    <x v="0"/>
    <x v="3"/>
    <x v="5"/>
    <x v="1"/>
    <x v="0"/>
  </r>
  <r>
    <s v="TX500222"/>
    <x v="5"/>
    <x v="0"/>
    <n v="45.4"/>
    <n v="45.4"/>
    <x v="9"/>
    <d v="2025-01-12T00:00:00"/>
    <s v="M"/>
    <x v="1"/>
    <x v="0"/>
    <x v="0"/>
    <x v="3"/>
    <x v="1"/>
    <x v="1"/>
    <x v="1"/>
  </r>
  <r>
    <s v="TX500223"/>
    <x v="12"/>
    <x v="1"/>
    <n v="53.9"/>
    <n v="107.8"/>
    <x v="9"/>
    <d v="2025-01-11T00:00:00"/>
    <s v="F"/>
    <x v="2"/>
    <x v="0"/>
    <x v="0"/>
    <x v="3"/>
    <x v="3"/>
    <x v="1"/>
    <x v="2"/>
  </r>
  <r>
    <s v="TX500224"/>
    <x v="2"/>
    <x v="12"/>
    <n v="62.1"/>
    <n v="248.4"/>
    <x v="9"/>
    <d v="2025-01-14T00:00:00"/>
    <s v="F"/>
    <x v="0"/>
    <x v="0"/>
    <x v="0"/>
    <x v="4"/>
    <x v="5"/>
    <x v="1"/>
    <x v="2"/>
  </r>
  <r>
    <s v="TX500225"/>
    <x v="13"/>
    <x v="3"/>
    <n v="33.1"/>
    <n v="231.70000000000002"/>
    <x v="9"/>
    <d v="2025-01-15T00:00:00"/>
    <s v="M"/>
    <x v="1"/>
    <x v="0"/>
    <x v="0"/>
    <x v="6"/>
    <x v="0"/>
    <x v="1"/>
    <x v="1"/>
  </r>
  <r>
    <s v="TX500226"/>
    <x v="18"/>
    <x v="9"/>
    <n v="35.200000000000003"/>
    <n v="176"/>
    <x v="9"/>
    <d v="2025-01-10T00:00:00"/>
    <s v="F"/>
    <x v="1"/>
    <x v="0"/>
    <x v="0"/>
    <x v="6"/>
    <x v="7"/>
    <x v="1"/>
    <x v="2"/>
  </r>
  <r>
    <s v="TX500227"/>
    <x v="9"/>
    <x v="2"/>
    <n v="32.1"/>
    <n v="96.300000000000011"/>
    <x v="9"/>
    <d v="2025-01-15T00:00:00"/>
    <s v="M"/>
    <x v="3"/>
    <x v="0"/>
    <x v="0"/>
    <x v="8"/>
    <x v="0"/>
    <x v="1"/>
    <x v="1"/>
  </r>
  <r>
    <s v="TX500228"/>
    <x v="11"/>
    <x v="0"/>
    <n v="38.1"/>
    <n v="38.1"/>
    <x v="9"/>
    <d v="2025-01-15T00:00:00"/>
    <s v="F"/>
    <x v="0"/>
    <x v="2"/>
    <x v="0"/>
    <x v="8"/>
    <x v="0"/>
    <x v="1"/>
    <x v="2"/>
  </r>
  <r>
    <s v="TX500229"/>
    <x v="8"/>
    <x v="0"/>
    <n v="65.2"/>
    <n v="65.2"/>
    <x v="9"/>
    <d v="2025-01-15T00:00:00"/>
    <s v="F"/>
    <x v="3"/>
    <x v="1"/>
    <x v="0"/>
    <x v="8"/>
    <x v="0"/>
    <x v="1"/>
    <x v="2"/>
  </r>
  <r>
    <s v="TX500230"/>
    <x v="10"/>
    <x v="3"/>
    <n v="55.2"/>
    <n v="386.40000000000003"/>
    <x v="9"/>
    <d v="2025-01-11T00:00:00"/>
    <s v="M"/>
    <x v="2"/>
    <x v="0"/>
    <x v="0"/>
    <x v="11"/>
    <x v="3"/>
    <x v="1"/>
    <x v="1"/>
  </r>
  <r>
    <s v="TX500231"/>
    <x v="6"/>
    <x v="0"/>
    <n v="62"/>
    <n v="62"/>
    <x v="9"/>
    <d v="2025-01-14T00:00:00"/>
    <s v="F"/>
    <x v="0"/>
    <x v="0"/>
    <x v="0"/>
    <x v="11"/>
    <x v="5"/>
    <x v="1"/>
    <x v="2"/>
  </r>
  <r>
    <s v="TX500232"/>
    <x v="7"/>
    <x v="2"/>
    <n v="45.9"/>
    <n v="137.69999999999999"/>
    <x v="9"/>
    <d v="2025-01-11T00:00:00"/>
    <s v="F"/>
    <x v="2"/>
    <x v="0"/>
    <x v="0"/>
    <x v="32"/>
    <x v="3"/>
    <x v="1"/>
    <x v="2"/>
  </r>
  <r>
    <s v="TX500233"/>
    <x v="18"/>
    <x v="2"/>
    <n v="58.3"/>
    <n v="174.89999999999998"/>
    <x v="9"/>
    <d v="2025-01-10T00:00:00"/>
    <s v="M"/>
    <x v="1"/>
    <x v="1"/>
    <x v="0"/>
    <x v="18"/>
    <x v="7"/>
    <x v="1"/>
    <x v="1"/>
  </r>
  <r>
    <s v="TX500234"/>
    <x v="8"/>
    <x v="1"/>
    <n v="22.3"/>
    <n v="44.6"/>
    <x v="9"/>
    <d v="2025-01-13T00:00:00"/>
    <s v="F"/>
    <x v="0"/>
    <x v="2"/>
    <x v="0"/>
    <x v="20"/>
    <x v="2"/>
    <x v="1"/>
    <x v="2"/>
  </r>
  <r>
    <s v="TX500235"/>
    <x v="19"/>
    <x v="9"/>
    <n v="24"/>
    <n v="120"/>
    <x v="9"/>
    <d v="2025-01-11T00:00:00"/>
    <s v="M"/>
    <x v="4"/>
    <x v="0"/>
    <x v="0"/>
    <x v="1"/>
    <x v="3"/>
    <x v="1"/>
    <x v="1"/>
  </r>
  <r>
    <s v="TX500236"/>
    <x v="0"/>
    <x v="7"/>
    <n v="21.3"/>
    <n v="213"/>
    <x v="9"/>
    <d v="2025-01-10T00:00:00"/>
    <s v="F"/>
    <x v="1"/>
    <x v="2"/>
    <x v="0"/>
    <x v="22"/>
    <x v="7"/>
    <x v="1"/>
    <x v="2"/>
  </r>
  <r>
    <s v="TX500237"/>
    <x v="6"/>
    <x v="24"/>
    <n v="57.8"/>
    <n v="2369.7999999999997"/>
    <x v="9"/>
    <d v="2025-01-12T00:00:00"/>
    <s v="F"/>
    <x v="0"/>
    <x v="2"/>
    <x v="0"/>
    <x v="3"/>
    <x v="1"/>
    <x v="1"/>
    <x v="2"/>
  </r>
  <r>
    <s v="TX500238"/>
    <x v="10"/>
    <x v="2"/>
    <n v="67.599999999999994"/>
    <n v="202.79999999999998"/>
    <x v="9"/>
    <d v="2025-01-11T00:00:00"/>
    <s v="F"/>
    <x v="0"/>
    <x v="0"/>
    <x v="0"/>
    <x v="3"/>
    <x v="3"/>
    <x v="1"/>
    <x v="2"/>
  </r>
  <r>
    <s v="TX500239"/>
    <x v="6"/>
    <x v="13"/>
    <n v="66.7"/>
    <n v="400.20000000000005"/>
    <x v="9"/>
    <d v="2025-01-14T00:00:00"/>
    <s v="M"/>
    <x v="4"/>
    <x v="1"/>
    <x v="0"/>
    <x v="3"/>
    <x v="5"/>
    <x v="1"/>
    <x v="1"/>
  </r>
  <r>
    <s v="TX500240"/>
    <x v="1"/>
    <x v="12"/>
    <n v="53.1"/>
    <n v="212.4"/>
    <x v="9"/>
    <d v="2025-01-12T00:00:00"/>
    <s v="F"/>
    <x v="1"/>
    <x v="0"/>
    <x v="0"/>
    <x v="3"/>
    <x v="1"/>
    <x v="1"/>
    <x v="2"/>
  </r>
  <r>
    <s v="TX500241"/>
    <x v="12"/>
    <x v="2"/>
    <n v="57.4"/>
    <n v="172.2"/>
    <x v="9"/>
    <d v="2025-01-13T00:00:00"/>
    <s v="F"/>
    <x v="0"/>
    <x v="2"/>
    <x v="0"/>
    <x v="29"/>
    <x v="2"/>
    <x v="1"/>
    <x v="2"/>
  </r>
  <r>
    <s v="TX500242"/>
    <x v="2"/>
    <x v="9"/>
    <n v="58.1"/>
    <n v="290.5"/>
    <x v="9"/>
    <d v="2025-01-10T00:00:00"/>
    <s v="M"/>
    <x v="2"/>
    <x v="2"/>
    <x v="0"/>
    <x v="6"/>
    <x v="7"/>
    <x v="1"/>
    <x v="1"/>
  </r>
  <r>
    <s v="TX500243"/>
    <x v="5"/>
    <x v="2"/>
    <n v="31.8"/>
    <n v="95.4"/>
    <x v="10"/>
    <d v="2025-01-13T00:00:00"/>
    <s v="M"/>
    <x v="3"/>
    <x v="0"/>
    <x v="0"/>
    <x v="6"/>
    <x v="1"/>
    <x v="1"/>
    <x v="1"/>
  </r>
  <r>
    <s v="TX500244"/>
    <x v="4"/>
    <x v="2"/>
    <n v="31.5"/>
    <n v="94.5"/>
    <x v="10"/>
    <d v="2025-01-14T00:00:00"/>
    <s v="M"/>
    <x v="0"/>
    <x v="1"/>
    <x v="0"/>
    <x v="8"/>
    <x v="2"/>
    <x v="1"/>
    <x v="1"/>
  </r>
  <r>
    <s v="TX500245"/>
    <x v="6"/>
    <x v="3"/>
    <n v="55.9"/>
    <n v="391.3"/>
    <x v="10"/>
    <d v="2025-01-15T00:00:00"/>
    <s v="F"/>
    <x v="1"/>
    <x v="2"/>
    <x v="0"/>
    <x v="8"/>
    <x v="5"/>
    <x v="1"/>
    <x v="2"/>
  </r>
  <r>
    <s v="TX500246"/>
    <x v="8"/>
    <x v="1"/>
    <n v="36.4"/>
    <n v="72.8"/>
    <x v="10"/>
    <d v="2025-01-12T00:00:00"/>
    <s v="M"/>
    <x v="1"/>
    <x v="1"/>
    <x v="0"/>
    <x v="9"/>
    <x v="3"/>
    <x v="1"/>
    <x v="1"/>
  </r>
  <r>
    <s v="TX500247"/>
    <x v="1"/>
    <x v="9"/>
    <n v="47.3"/>
    <n v="236.5"/>
    <x v="10"/>
    <d v="2025-01-14T00:00:00"/>
    <s v="M"/>
    <x v="2"/>
    <x v="0"/>
    <x v="0"/>
    <x v="10"/>
    <x v="2"/>
    <x v="1"/>
    <x v="1"/>
  </r>
  <r>
    <s v="TX500248"/>
    <x v="6"/>
    <x v="2"/>
    <n v="82.5"/>
    <n v="247.5"/>
    <x v="10"/>
    <d v="2025-01-12T00:00:00"/>
    <s v="M"/>
    <x v="0"/>
    <x v="0"/>
    <x v="0"/>
    <x v="11"/>
    <x v="3"/>
    <x v="1"/>
    <x v="1"/>
  </r>
  <r>
    <s v="TX500249"/>
    <x v="0"/>
    <x v="0"/>
    <n v="14.3"/>
    <n v="14.3"/>
    <x v="10"/>
    <d v="2025-01-12T00:00:00"/>
    <s v="F"/>
    <x v="0"/>
    <x v="0"/>
    <x v="0"/>
    <x v="21"/>
    <x v="3"/>
    <x v="1"/>
    <x v="2"/>
  </r>
  <r>
    <s v="TX500250"/>
    <x v="2"/>
    <x v="13"/>
    <n v="57.6"/>
    <n v="345.6"/>
    <x v="10"/>
    <d v="2025-01-25T00:00:00"/>
    <s v="F"/>
    <x v="0"/>
    <x v="0"/>
    <x v="0"/>
    <x v="21"/>
    <x v="12"/>
    <x v="1"/>
    <x v="2"/>
  </r>
  <r>
    <s v="TX500251"/>
    <x v="2"/>
    <x v="2"/>
    <n v="142.4"/>
    <n v="427.20000000000005"/>
    <x v="10"/>
    <d v="2025-01-13T00:00:00"/>
    <s v="M"/>
    <x v="4"/>
    <x v="1"/>
    <x v="0"/>
    <x v="21"/>
    <x v="1"/>
    <x v="1"/>
    <x v="1"/>
  </r>
  <r>
    <s v="TX500252"/>
    <x v="12"/>
    <x v="0"/>
    <n v="30.2"/>
    <n v="30.2"/>
    <x v="10"/>
    <d v="2025-01-15T00:00:00"/>
    <s v="M"/>
    <x v="1"/>
    <x v="2"/>
    <x v="0"/>
    <x v="2"/>
    <x v="5"/>
    <x v="1"/>
    <x v="1"/>
  </r>
  <r>
    <s v="TX500253"/>
    <x v="18"/>
    <x v="2"/>
    <n v="65.3"/>
    <n v="195.89999999999998"/>
    <x v="10"/>
    <d v="2025-01-12T00:00:00"/>
    <s v="O"/>
    <x v="1"/>
    <x v="0"/>
    <x v="0"/>
    <x v="33"/>
    <x v="3"/>
    <x v="1"/>
    <x v="3"/>
  </r>
  <r>
    <s v="TX500254"/>
    <x v="0"/>
    <x v="1"/>
    <n v="33.4"/>
    <n v="66.8"/>
    <x v="10"/>
    <d v="2025-01-12T00:00:00"/>
    <s v="M"/>
    <x v="1"/>
    <x v="1"/>
    <x v="0"/>
    <x v="22"/>
    <x v="3"/>
    <x v="1"/>
    <x v="1"/>
  </r>
  <r>
    <s v="TX500255"/>
    <x v="7"/>
    <x v="1"/>
    <n v="45.1"/>
    <n v="90.2"/>
    <x v="10"/>
    <d v="2025-01-19T00:00:00"/>
    <s v="M"/>
    <x v="0"/>
    <x v="0"/>
    <x v="0"/>
    <x v="34"/>
    <x v="9"/>
    <x v="1"/>
    <x v="1"/>
  </r>
  <r>
    <s v="TX500256"/>
    <x v="2"/>
    <x v="3"/>
    <n v="61.7"/>
    <n v="431.90000000000003"/>
    <x v="10"/>
    <d v="2025-01-13T00:00:00"/>
    <s v="F"/>
    <x v="4"/>
    <x v="0"/>
    <x v="0"/>
    <x v="3"/>
    <x v="1"/>
    <x v="1"/>
    <x v="2"/>
  </r>
  <r>
    <s v="TX500257"/>
    <x v="9"/>
    <x v="2"/>
    <n v="45.1"/>
    <n v="135.30000000000001"/>
    <x v="11"/>
    <d v="2025-01-13T00:00:00"/>
    <s v="M"/>
    <x v="4"/>
    <x v="1"/>
    <x v="0"/>
    <x v="3"/>
    <x v="3"/>
    <x v="2"/>
    <x v="1"/>
  </r>
  <r>
    <s v="TX500258"/>
    <x v="15"/>
    <x v="9"/>
    <n v="22.7"/>
    <n v="113.5"/>
    <x v="11"/>
    <d v="2025-01-17T00:00:00"/>
    <s v="M"/>
    <x v="0"/>
    <x v="2"/>
    <x v="0"/>
    <x v="35"/>
    <x v="0"/>
    <x v="2"/>
    <x v="1"/>
  </r>
  <r>
    <s v="TX500259"/>
    <x v="8"/>
    <x v="0"/>
    <n v="17.600000000000001"/>
    <n v="17.600000000000001"/>
    <x v="11"/>
    <d v="2025-01-13T00:00:00"/>
    <s v="F"/>
    <x v="0"/>
    <x v="2"/>
    <x v="0"/>
    <x v="23"/>
    <x v="3"/>
    <x v="2"/>
    <x v="2"/>
  </r>
  <r>
    <s v="TX500260"/>
    <x v="14"/>
    <x v="1"/>
    <n v="11.3"/>
    <n v="22.6"/>
    <x v="11"/>
    <d v="2025-01-15T00:00:00"/>
    <s v="F"/>
    <x v="3"/>
    <x v="2"/>
    <x v="0"/>
    <x v="23"/>
    <x v="2"/>
    <x v="2"/>
    <x v="2"/>
  </r>
  <r>
    <s v="TX500261"/>
    <x v="6"/>
    <x v="2"/>
    <n v="53.4"/>
    <n v="160.19999999999999"/>
    <x v="11"/>
    <d v="2025-01-15T00:00:00"/>
    <s v="M"/>
    <x v="3"/>
    <x v="2"/>
    <x v="0"/>
    <x v="36"/>
    <x v="2"/>
    <x v="2"/>
    <x v="1"/>
  </r>
  <r>
    <s v="TX500262"/>
    <x v="6"/>
    <x v="5"/>
    <n v="51.1"/>
    <n v="562.1"/>
    <x v="11"/>
    <d v="2025-01-14T00:00:00"/>
    <s v="F"/>
    <x v="2"/>
    <x v="2"/>
    <x v="0"/>
    <x v="8"/>
    <x v="1"/>
    <x v="2"/>
    <x v="2"/>
  </r>
  <r>
    <s v="TX500263"/>
    <x v="8"/>
    <x v="1"/>
    <n v="27.5"/>
    <n v="55"/>
    <x v="11"/>
    <d v="2025-01-13T00:00:00"/>
    <s v="M"/>
    <x v="4"/>
    <x v="1"/>
    <x v="0"/>
    <x v="8"/>
    <x v="3"/>
    <x v="2"/>
    <x v="1"/>
  </r>
  <r>
    <s v="TX500264"/>
    <x v="9"/>
    <x v="0"/>
    <n v="33.5"/>
    <n v="33.5"/>
    <x v="11"/>
    <d v="2025-01-14T00:00:00"/>
    <s v="F"/>
    <x v="0"/>
    <x v="4"/>
    <x v="0"/>
    <x v="8"/>
    <x v="1"/>
    <x v="2"/>
    <x v="2"/>
  </r>
  <r>
    <s v="TX500265"/>
    <x v="4"/>
    <x v="0"/>
    <n v="59.5"/>
    <n v="59.5"/>
    <x v="11"/>
    <d v="2025-01-12T00:00:00"/>
    <s v="M"/>
    <x v="0"/>
    <x v="2"/>
    <x v="0"/>
    <x v="18"/>
    <x v="7"/>
    <x v="2"/>
    <x v="1"/>
  </r>
  <r>
    <s v="TX500266"/>
    <x v="17"/>
    <x v="12"/>
    <n v="23.5"/>
    <n v="94"/>
    <x v="11"/>
    <d v="2025-01-13T00:00:00"/>
    <s v="F"/>
    <x v="3"/>
    <x v="3"/>
    <x v="0"/>
    <x v="19"/>
    <x v="3"/>
    <x v="2"/>
    <x v="2"/>
  </r>
  <r>
    <s v="TX500267"/>
    <x v="6"/>
    <x v="0"/>
    <n v="49.7"/>
    <n v="49.7"/>
    <x v="11"/>
    <d v="2025-01-13T00:00:00"/>
    <m/>
    <x v="1"/>
    <x v="2"/>
    <x v="0"/>
    <x v="20"/>
    <x v="3"/>
    <x v="2"/>
    <x v="0"/>
  </r>
  <r>
    <s v="TX500268"/>
    <x v="6"/>
    <x v="12"/>
    <n v="44.2"/>
    <n v="176.8"/>
    <x v="11"/>
    <d v="2025-01-15T00:00:00"/>
    <s v="F"/>
    <x v="0"/>
    <x v="2"/>
    <x v="0"/>
    <x v="21"/>
    <x v="2"/>
    <x v="2"/>
    <x v="2"/>
  </r>
  <r>
    <s v="TX500269"/>
    <x v="8"/>
    <x v="0"/>
    <n v="22.1"/>
    <n v="22.1"/>
    <x v="11"/>
    <d v="2025-01-16T00:00:00"/>
    <s v="F"/>
    <x v="1"/>
    <x v="1"/>
    <x v="0"/>
    <x v="33"/>
    <x v="5"/>
    <x v="2"/>
    <x v="2"/>
  </r>
  <r>
    <s v="TX500270"/>
    <x v="6"/>
    <x v="2"/>
    <n v="90.9"/>
    <n v="272.70000000000005"/>
    <x v="11"/>
    <d v="2025-01-13T00:00:00"/>
    <s v="F"/>
    <x v="2"/>
    <x v="4"/>
    <x v="0"/>
    <x v="3"/>
    <x v="3"/>
    <x v="2"/>
    <x v="2"/>
  </r>
  <r>
    <s v="TX500271"/>
    <x v="8"/>
    <x v="2"/>
    <n v="44.5"/>
    <n v="133.5"/>
    <x v="11"/>
    <d v="2025-01-13T00:00:00"/>
    <s v="F"/>
    <x v="1"/>
    <x v="0"/>
    <x v="0"/>
    <x v="3"/>
    <x v="3"/>
    <x v="2"/>
    <x v="2"/>
  </r>
  <r>
    <s v="TX500272"/>
    <x v="9"/>
    <x v="13"/>
    <n v="32.299999999999997"/>
    <n v="193.79999999999998"/>
    <x v="11"/>
    <d v="2025-01-16T00:00:00"/>
    <s v="F"/>
    <x v="0"/>
    <x v="0"/>
    <x v="0"/>
    <x v="3"/>
    <x v="5"/>
    <x v="2"/>
    <x v="2"/>
  </r>
  <r>
    <s v="TX500273"/>
    <x v="17"/>
    <x v="2"/>
    <n v="87.5"/>
    <n v="262.5"/>
    <x v="11"/>
    <d v="2025-01-13T00:00:00"/>
    <s v="F"/>
    <x v="1"/>
    <x v="1"/>
    <x v="0"/>
    <x v="3"/>
    <x v="3"/>
    <x v="2"/>
    <x v="2"/>
  </r>
  <r>
    <s v="TX500274"/>
    <x v="16"/>
    <x v="9"/>
    <n v="48.7"/>
    <n v="243.5"/>
    <x v="11"/>
    <d v="2025-01-13T00:00:00"/>
    <s v="M"/>
    <x v="2"/>
    <x v="0"/>
    <x v="0"/>
    <x v="3"/>
    <x v="3"/>
    <x v="2"/>
    <x v="1"/>
  </r>
  <r>
    <s v="TX500275"/>
    <x v="0"/>
    <x v="9"/>
    <n v="22.5"/>
    <n v="112.5"/>
    <x v="11"/>
    <d v="2025-01-13T00:00:00"/>
    <s v="M"/>
    <x v="0"/>
    <x v="0"/>
    <x v="0"/>
    <x v="3"/>
    <x v="3"/>
    <x v="2"/>
    <x v="1"/>
  </r>
  <r>
    <s v="TX500276"/>
    <x v="1"/>
    <x v="8"/>
    <n v="65.900000000000006"/>
    <n v="527.20000000000005"/>
    <x v="11"/>
    <d v="2025-01-15T00:00:00"/>
    <s v="F"/>
    <x v="1"/>
    <x v="2"/>
    <x v="0"/>
    <x v="3"/>
    <x v="2"/>
    <x v="2"/>
    <x v="2"/>
  </r>
  <r>
    <s v="TX500277"/>
    <x v="6"/>
    <x v="9"/>
    <n v="41.9"/>
    <n v="209.5"/>
    <x v="11"/>
    <d v="2025-01-19T00:00:00"/>
    <m/>
    <x v="0"/>
    <x v="0"/>
    <x v="0"/>
    <x v="3"/>
    <x v="6"/>
    <x v="2"/>
    <x v="0"/>
  </r>
  <r>
    <s v="TX500278"/>
    <x v="1"/>
    <x v="9"/>
    <n v="67.5"/>
    <n v="337.5"/>
    <x v="11"/>
    <d v="2025-01-13T00:00:00"/>
    <s v="F"/>
    <x v="0"/>
    <x v="2"/>
    <x v="0"/>
    <x v="3"/>
    <x v="3"/>
    <x v="2"/>
    <x v="2"/>
  </r>
  <r>
    <s v="TX500279"/>
    <x v="9"/>
    <x v="0"/>
    <n v="60.4"/>
    <n v="60.4"/>
    <x v="12"/>
    <d v="2025-01-15T00:00:00"/>
    <s v="F"/>
    <x v="1"/>
    <x v="1"/>
    <x v="0"/>
    <x v="3"/>
    <x v="1"/>
    <x v="2"/>
    <x v="2"/>
  </r>
  <r>
    <s v="TX500280"/>
    <x v="1"/>
    <x v="3"/>
    <n v="30.4"/>
    <n v="212.79999999999998"/>
    <x v="12"/>
    <d v="2025-01-16T00:00:00"/>
    <s v="F"/>
    <x v="4"/>
    <x v="0"/>
    <x v="0"/>
    <x v="3"/>
    <x v="2"/>
    <x v="2"/>
    <x v="2"/>
  </r>
  <r>
    <s v="TX500281"/>
    <x v="14"/>
    <x v="1"/>
    <n v="24.5"/>
    <n v="49"/>
    <x v="12"/>
    <d v="2025-01-14T00:00:00"/>
    <s v="M"/>
    <x v="3"/>
    <x v="2"/>
    <x v="0"/>
    <x v="3"/>
    <x v="3"/>
    <x v="2"/>
    <x v="1"/>
  </r>
  <r>
    <s v="TX500282"/>
    <x v="2"/>
    <x v="2"/>
    <n v="105.9"/>
    <n v="317.70000000000005"/>
    <x v="12"/>
    <d v="2025-01-18T00:00:00"/>
    <s v="M"/>
    <x v="0"/>
    <x v="0"/>
    <x v="0"/>
    <x v="37"/>
    <x v="0"/>
    <x v="2"/>
    <x v="1"/>
  </r>
  <r>
    <s v="TX500283"/>
    <x v="10"/>
    <x v="25"/>
    <n v="25.9"/>
    <n v="621.59999999999991"/>
    <x v="12"/>
    <d v="2025-01-14T00:00:00"/>
    <s v="F"/>
    <x v="4"/>
    <x v="0"/>
    <x v="0"/>
    <x v="23"/>
    <x v="3"/>
    <x v="2"/>
    <x v="2"/>
  </r>
  <r>
    <s v="TX500284"/>
    <x v="6"/>
    <x v="2"/>
    <n v="66.8"/>
    <n v="200.39999999999998"/>
    <x v="12"/>
    <d v="2025-01-13T00:00:00"/>
    <s v="M"/>
    <x v="0"/>
    <x v="0"/>
    <x v="0"/>
    <x v="23"/>
    <x v="7"/>
    <x v="2"/>
    <x v="1"/>
  </r>
  <r>
    <s v="TX500285"/>
    <x v="6"/>
    <x v="2"/>
    <n v="112.3"/>
    <n v="336.9"/>
    <x v="12"/>
    <d v="2025-01-14T00:00:00"/>
    <s v="M"/>
    <x v="2"/>
    <x v="4"/>
    <x v="0"/>
    <x v="6"/>
    <x v="3"/>
    <x v="2"/>
    <x v="1"/>
  </r>
  <r>
    <s v="TX500286"/>
    <x v="1"/>
    <x v="13"/>
    <n v="94.1"/>
    <n v="564.59999999999991"/>
    <x v="12"/>
    <d v="2025-01-14T00:00:00"/>
    <s v="F"/>
    <x v="0"/>
    <x v="4"/>
    <x v="0"/>
    <x v="6"/>
    <x v="3"/>
    <x v="2"/>
    <x v="2"/>
  </r>
  <r>
    <s v="TX500287"/>
    <x v="5"/>
    <x v="0"/>
    <n v="40.700000000000003"/>
    <n v="40.700000000000003"/>
    <x v="12"/>
    <d v="2025-01-16T00:00:00"/>
    <s v="F"/>
    <x v="2"/>
    <x v="0"/>
    <x v="0"/>
    <x v="6"/>
    <x v="2"/>
    <x v="2"/>
    <x v="2"/>
  </r>
  <r>
    <s v="TX500288"/>
    <x v="3"/>
    <x v="1"/>
    <n v="71.400000000000006"/>
    <n v="142.80000000000001"/>
    <x v="12"/>
    <d v="2025-01-14T00:00:00"/>
    <s v="M"/>
    <x v="0"/>
    <x v="0"/>
    <x v="0"/>
    <x v="7"/>
    <x v="3"/>
    <x v="2"/>
    <x v="1"/>
  </r>
  <r>
    <s v="TX500289"/>
    <x v="0"/>
    <x v="16"/>
    <n v="15.6"/>
    <n v="280.8"/>
    <x v="12"/>
    <d v="2025-01-14T00:00:00"/>
    <s v="M"/>
    <x v="1"/>
    <x v="3"/>
    <x v="0"/>
    <x v="8"/>
    <x v="3"/>
    <x v="2"/>
    <x v="1"/>
  </r>
  <r>
    <s v="TX500290"/>
    <x v="10"/>
    <x v="12"/>
    <n v="37.799999999999997"/>
    <n v="151.19999999999999"/>
    <x v="12"/>
    <d v="2025-01-14T00:00:00"/>
    <s v="M"/>
    <x v="2"/>
    <x v="2"/>
    <x v="0"/>
    <x v="8"/>
    <x v="3"/>
    <x v="2"/>
    <x v="1"/>
  </r>
  <r>
    <s v="TX500291"/>
    <x v="4"/>
    <x v="2"/>
    <n v="28.1"/>
    <n v="84.300000000000011"/>
    <x v="12"/>
    <d v="2025-01-17T00:00:00"/>
    <s v="M"/>
    <x v="0"/>
    <x v="0"/>
    <x v="0"/>
    <x v="8"/>
    <x v="5"/>
    <x v="2"/>
    <x v="1"/>
  </r>
  <r>
    <s v="TX500292"/>
    <x v="7"/>
    <x v="13"/>
    <n v="51.4"/>
    <n v="308.39999999999998"/>
    <x v="12"/>
    <d v="2025-01-17T00:00:00"/>
    <s v="M"/>
    <x v="0"/>
    <x v="0"/>
    <x v="0"/>
    <x v="8"/>
    <x v="5"/>
    <x v="2"/>
    <x v="1"/>
  </r>
  <r>
    <s v="TX500293"/>
    <x v="7"/>
    <x v="1"/>
    <n v="97.7"/>
    <n v="195.4"/>
    <x v="12"/>
    <d v="2025-01-15T00:00:00"/>
    <s v="F"/>
    <x v="4"/>
    <x v="2"/>
    <x v="0"/>
    <x v="17"/>
    <x v="1"/>
    <x v="2"/>
    <x v="2"/>
  </r>
  <r>
    <s v="TX500294"/>
    <x v="1"/>
    <x v="12"/>
    <n v="63.8"/>
    <n v="255.2"/>
    <x v="12"/>
    <d v="2025-01-14T00:00:00"/>
    <s v="M"/>
    <x v="2"/>
    <x v="0"/>
    <x v="0"/>
    <x v="38"/>
    <x v="3"/>
    <x v="2"/>
    <x v="1"/>
  </r>
  <r>
    <s v="TX500295"/>
    <x v="13"/>
    <x v="1"/>
    <n v="20.100000000000001"/>
    <n v="40.200000000000003"/>
    <x v="12"/>
    <d v="2025-01-15T00:00:00"/>
    <s v="M"/>
    <x v="0"/>
    <x v="2"/>
    <x v="0"/>
    <x v="20"/>
    <x v="1"/>
    <x v="2"/>
    <x v="1"/>
  </r>
  <r>
    <s v="TX500296"/>
    <x v="11"/>
    <x v="2"/>
    <n v="50.4"/>
    <n v="151.19999999999999"/>
    <x v="12"/>
    <d v="2025-01-16T00:00:00"/>
    <s v="F"/>
    <x v="3"/>
    <x v="0"/>
    <x v="0"/>
    <x v="13"/>
    <x v="2"/>
    <x v="2"/>
    <x v="2"/>
  </r>
  <r>
    <s v="TX500297"/>
    <x v="0"/>
    <x v="0"/>
    <n v="16.2"/>
    <n v="16.2"/>
    <x v="12"/>
    <d v="2025-01-26T00:00:00"/>
    <s v="F"/>
    <x v="1"/>
    <x v="0"/>
    <x v="0"/>
    <x v="1"/>
    <x v="10"/>
    <x v="2"/>
    <x v="2"/>
  </r>
  <r>
    <s v="TX500298"/>
    <x v="6"/>
    <x v="3"/>
    <n v="80.900000000000006"/>
    <n v="566.30000000000007"/>
    <x v="12"/>
    <d v="2025-01-15T00:00:00"/>
    <s v="M"/>
    <x v="4"/>
    <x v="4"/>
    <x v="0"/>
    <x v="2"/>
    <x v="1"/>
    <x v="2"/>
    <x v="1"/>
  </r>
  <r>
    <s v="TX500299"/>
    <x v="9"/>
    <x v="13"/>
    <n v="95.2"/>
    <n v="571.20000000000005"/>
    <x v="12"/>
    <d v="2025-01-15T00:00:00"/>
    <s v="F"/>
    <x v="0"/>
    <x v="2"/>
    <x v="0"/>
    <x v="2"/>
    <x v="1"/>
    <x v="2"/>
    <x v="2"/>
  </r>
  <r>
    <s v="TX500300"/>
    <x v="5"/>
    <x v="8"/>
    <n v="70.400000000000006"/>
    <n v="563.20000000000005"/>
    <x v="12"/>
    <d v="2025-01-14T00:00:00"/>
    <s v="M"/>
    <x v="1"/>
    <x v="1"/>
    <x v="0"/>
    <x v="3"/>
    <x v="3"/>
    <x v="2"/>
    <x v="1"/>
  </r>
  <r>
    <s v="TX500301"/>
    <x v="0"/>
    <x v="9"/>
    <n v="10.7"/>
    <n v="53.5"/>
    <x v="12"/>
    <d v="2025-01-17T00:00:00"/>
    <s v="F"/>
    <x v="2"/>
    <x v="0"/>
    <x v="0"/>
    <x v="3"/>
    <x v="5"/>
    <x v="2"/>
    <x v="2"/>
  </r>
  <r>
    <s v="TX500302"/>
    <x v="8"/>
    <x v="9"/>
    <n v="19.600000000000001"/>
    <n v="98"/>
    <x v="12"/>
    <d v="2025-01-15T00:00:00"/>
    <s v="F"/>
    <x v="0"/>
    <x v="3"/>
    <x v="0"/>
    <x v="3"/>
    <x v="1"/>
    <x v="2"/>
    <x v="2"/>
  </r>
  <r>
    <s v="TX500303"/>
    <x v="8"/>
    <x v="5"/>
    <n v="34.700000000000003"/>
    <n v="381.70000000000005"/>
    <x v="12"/>
    <d v="2025-01-15T00:00:00"/>
    <s v="F"/>
    <x v="0"/>
    <x v="2"/>
    <x v="0"/>
    <x v="3"/>
    <x v="1"/>
    <x v="2"/>
    <x v="2"/>
  </r>
  <r>
    <s v="TX500304"/>
    <x v="10"/>
    <x v="11"/>
    <n v="34.1"/>
    <n v="306.90000000000003"/>
    <x v="12"/>
    <d v="2025-01-14T00:00:00"/>
    <s v="F"/>
    <x v="4"/>
    <x v="1"/>
    <x v="0"/>
    <x v="3"/>
    <x v="3"/>
    <x v="2"/>
    <x v="2"/>
  </r>
  <r>
    <s v="TX500305"/>
    <x v="0"/>
    <x v="26"/>
    <n v="29.3"/>
    <n v="1435.7"/>
    <x v="12"/>
    <d v="2025-01-13T00:00:00"/>
    <s v="M"/>
    <x v="0"/>
    <x v="1"/>
    <x v="0"/>
    <x v="3"/>
    <x v="7"/>
    <x v="2"/>
    <x v="1"/>
  </r>
  <r>
    <s v="TX500306"/>
    <x v="1"/>
    <x v="0"/>
    <n v="55.2"/>
    <n v="55.2"/>
    <x v="12"/>
    <d v="2025-01-14T00:00:00"/>
    <s v="F"/>
    <x v="0"/>
    <x v="1"/>
    <x v="0"/>
    <x v="3"/>
    <x v="3"/>
    <x v="2"/>
    <x v="2"/>
  </r>
  <r>
    <s v="TX500307"/>
    <x v="18"/>
    <x v="2"/>
    <n v="26"/>
    <n v="78"/>
    <x v="12"/>
    <d v="2025-01-16T00:00:00"/>
    <s v="F"/>
    <x v="0"/>
    <x v="2"/>
    <x v="0"/>
    <x v="3"/>
    <x v="2"/>
    <x v="2"/>
    <x v="2"/>
  </r>
  <r>
    <s v="TX500308"/>
    <x v="14"/>
    <x v="1"/>
    <n v="14.2"/>
    <n v="28.4"/>
    <x v="12"/>
    <d v="2025-01-18T00:00:00"/>
    <s v="F"/>
    <x v="3"/>
    <x v="0"/>
    <x v="0"/>
    <x v="39"/>
    <x v="0"/>
    <x v="2"/>
    <x v="2"/>
  </r>
  <r>
    <s v="TX500309"/>
    <x v="8"/>
    <x v="11"/>
    <n v="22.7"/>
    <n v="204.29999999999998"/>
    <x v="13"/>
    <d v="2025-01-15T00:00:00"/>
    <s v="M"/>
    <x v="1"/>
    <x v="0"/>
    <x v="0"/>
    <x v="6"/>
    <x v="3"/>
    <x v="2"/>
    <x v="1"/>
  </r>
  <r>
    <s v="TX500310"/>
    <x v="0"/>
    <x v="20"/>
    <n v="19.8"/>
    <n v="297"/>
    <x v="13"/>
    <d v="2025-01-14T00:00:00"/>
    <s v="F"/>
    <x v="0"/>
    <x v="2"/>
    <x v="0"/>
    <x v="6"/>
    <x v="7"/>
    <x v="2"/>
    <x v="2"/>
  </r>
  <r>
    <s v="TX500311"/>
    <x v="0"/>
    <x v="2"/>
    <n v="31.7"/>
    <n v="95.1"/>
    <x v="13"/>
    <d v="2025-01-15T00:00:00"/>
    <s v="M"/>
    <x v="2"/>
    <x v="0"/>
    <x v="0"/>
    <x v="6"/>
    <x v="3"/>
    <x v="2"/>
    <x v="1"/>
  </r>
  <r>
    <s v="TX500312"/>
    <x v="8"/>
    <x v="12"/>
    <n v="30.4"/>
    <n v="121.6"/>
    <x v="13"/>
    <d v="2025-01-18T00:00:00"/>
    <s v="M"/>
    <x v="0"/>
    <x v="0"/>
    <x v="0"/>
    <x v="6"/>
    <x v="5"/>
    <x v="2"/>
    <x v="1"/>
  </r>
  <r>
    <s v="TX500313"/>
    <x v="0"/>
    <x v="12"/>
    <n v="25.6"/>
    <n v="102.4"/>
    <x v="13"/>
    <d v="2025-01-15T00:00:00"/>
    <s v="M"/>
    <x v="3"/>
    <x v="0"/>
    <x v="0"/>
    <x v="8"/>
    <x v="3"/>
    <x v="2"/>
    <x v="1"/>
  </r>
  <r>
    <s v="TX500314"/>
    <x v="5"/>
    <x v="1"/>
    <n v="34.9"/>
    <n v="69.8"/>
    <x v="13"/>
    <d v="2025-01-15T00:00:00"/>
    <s v="F"/>
    <x v="2"/>
    <x v="0"/>
    <x v="0"/>
    <x v="9"/>
    <x v="3"/>
    <x v="2"/>
    <x v="2"/>
  </r>
  <r>
    <s v="TX500315"/>
    <x v="7"/>
    <x v="13"/>
    <n v="42.7"/>
    <n v="256.20000000000005"/>
    <x v="13"/>
    <d v="2025-01-17T00:00:00"/>
    <s v="M"/>
    <x v="2"/>
    <x v="1"/>
    <x v="0"/>
    <x v="11"/>
    <x v="2"/>
    <x v="2"/>
    <x v="1"/>
  </r>
  <r>
    <s v="TX500316"/>
    <x v="8"/>
    <x v="0"/>
    <n v="23.9"/>
    <n v="23.9"/>
    <x v="13"/>
    <d v="2025-01-16T00:00:00"/>
    <s v="F"/>
    <x v="3"/>
    <x v="0"/>
    <x v="0"/>
    <x v="11"/>
    <x v="1"/>
    <x v="2"/>
    <x v="2"/>
  </r>
  <r>
    <s v="TX500317"/>
    <x v="6"/>
    <x v="0"/>
    <n v="124.3"/>
    <n v="124.3"/>
    <x v="13"/>
    <d v="2025-01-15T00:00:00"/>
    <m/>
    <x v="2"/>
    <x v="1"/>
    <x v="0"/>
    <x v="21"/>
    <x v="3"/>
    <x v="2"/>
    <x v="0"/>
  </r>
  <r>
    <s v="TX500318"/>
    <x v="8"/>
    <x v="13"/>
    <n v="35.9"/>
    <n v="215.39999999999998"/>
    <x v="13"/>
    <d v="2025-01-15T00:00:00"/>
    <s v="F"/>
    <x v="0"/>
    <x v="1"/>
    <x v="0"/>
    <x v="1"/>
    <x v="3"/>
    <x v="2"/>
    <x v="2"/>
  </r>
  <r>
    <s v="TX500319"/>
    <x v="2"/>
    <x v="1"/>
    <n v="69.099999999999994"/>
    <n v="138.19999999999999"/>
    <x v="13"/>
    <d v="2025-01-17T00:00:00"/>
    <s v="F"/>
    <x v="0"/>
    <x v="2"/>
    <x v="0"/>
    <x v="22"/>
    <x v="2"/>
    <x v="2"/>
    <x v="2"/>
  </r>
  <r>
    <s v="TX500320"/>
    <x v="7"/>
    <x v="0"/>
    <n v="58.4"/>
    <n v="58.4"/>
    <x v="13"/>
    <d v="2025-01-18T00:00:00"/>
    <s v="M"/>
    <x v="0"/>
    <x v="0"/>
    <x v="0"/>
    <x v="22"/>
    <x v="5"/>
    <x v="2"/>
    <x v="1"/>
  </r>
  <r>
    <s v="TX500321"/>
    <x v="5"/>
    <x v="0"/>
    <n v="65.2"/>
    <n v="65.2"/>
    <x v="13"/>
    <d v="2025-01-16T00:00:00"/>
    <s v="O"/>
    <x v="4"/>
    <x v="4"/>
    <x v="0"/>
    <x v="3"/>
    <x v="1"/>
    <x v="2"/>
    <x v="3"/>
  </r>
  <r>
    <s v="TX500322"/>
    <x v="8"/>
    <x v="14"/>
    <n v="32.700000000000003"/>
    <n v="555.90000000000009"/>
    <x v="13"/>
    <d v="2025-01-21T00:00:00"/>
    <m/>
    <x v="4"/>
    <x v="0"/>
    <x v="0"/>
    <x v="3"/>
    <x v="6"/>
    <x v="2"/>
    <x v="0"/>
  </r>
  <r>
    <s v="TX500323"/>
    <x v="10"/>
    <x v="3"/>
    <n v="24.4"/>
    <n v="170.79999999999998"/>
    <x v="13"/>
    <d v="2025-01-15T00:00:00"/>
    <s v="F"/>
    <x v="0"/>
    <x v="0"/>
    <x v="0"/>
    <x v="3"/>
    <x v="3"/>
    <x v="2"/>
    <x v="2"/>
  </r>
  <r>
    <s v="TX500324"/>
    <x v="14"/>
    <x v="1"/>
    <n v="50.4"/>
    <n v="100.8"/>
    <x v="13"/>
    <d v="2025-01-20T00:00:00"/>
    <s v="M"/>
    <x v="0"/>
    <x v="1"/>
    <x v="0"/>
    <x v="3"/>
    <x v="4"/>
    <x v="2"/>
    <x v="1"/>
  </r>
  <r>
    <s v="TX500325"/>
    <x v="1"/>
    <x v="1"/>
    <n v="100"/>
    <n v="200"/>
    <x v="13"/>
    <d v="2025-01-15T00:00:00"/>
    <s v="F"/>
    <x v="0"/>
    <x v="0"/>
    <x v="0"/>
    <x v="3"/>
    <x v="3"/>
    <x v="2"/>
    <x v="2"/>
  </r>
  <r>
    <s v="TX500326"/>
    <x v="10"/>
    <x v="2"/>
    <n v="43"/>
    <n v="129"/>
    <x v="14"/>
    <d v="2025-01-15T00:00:00"/>
    <s v="F"/>
    <x v="2"/>
    <x v="1"/>
    <x v="0"/>
    <x v="3"/>
    <x v="7"/>
    <x v="2"/>
    <x v="2"/>
  </r>
  <r>
    <s v="TX500327"/>
    <x v="1"/>
    <x v="9"/>
    <n v="64.400000000000006"/>
    <n v="322"/>
    <x v="14"/>
    <d v="2025-01-17T00:00:00"/>
    <s v="M"/>
    <x v="2"/>
    <x v="1"/>
    <x v="0"/>
    <x v="3"/>
    <x v="1"/>
    <x v="2"/>
    <x v="1"/>
  </r>
  <r>
    <s v="TX500328"/>
    <x v="18"/>
    <x v="1"/>
    <n v="57.4"/>
    <n v="114.8"/>
    <x v="14"/>
    <d v="2025-01-16T00:00:00"/>
    <s v="M"/>
    <x v="2"/>
    <x v="1"/>
    <x v="0"/>
    <x v="3"/>
    <x v="3"/>
    <x v="2"/>
    <x v="1"/>
  </r>
  <r>
    <s v="TX500329"/>
    <x v="2"/>
    <x v="2"/>
    <n v="55.1"/>
    <n v="165.3"/>
    <x v="14"/>
    <d v="2025-01-18T00:00:00"/>
    <s v="F"/>
    <x v="1"/>
    <x v="0"/>
    <x v="0"/>
    <x v="3"/>
    <x v="2"/>
    <x v="2"/>
    <x v="2"/>
  </r>
  <r>
    <s v="TX500330"/>
    <x v="7"/>
    <x v="12"/>
    <n v="45.4"/>
    <n v="181.6"/>
    <x v="14"/>
    <d v="2025-01-16T00:00:00"/>
    <s v="F"/>
    <x v="1"/>
    <x v="0"/>
    <x v="0"/>
    <x v="3"/>
    <x v="3"/>
    <x v="2"/>
    <x v="2"/>
  </r>
  <r>
    <s v="TX500331"/>
    <x v="3"/>
    <x v="2"/>
    <n v="93.3"/>
    <n v="279.89999999999998"/>
    <x v="14"/>
    <d v="2025-01-16T00:00:00"/>
    <s v="F"/>
    <x v="0"/>
    <x v="0"/>
    <x v="0"/>
    <x v="40"/>
    <x v="3"/>
    <x v="2"/>
    <x v="2"/>
  </r>
  <r>
    <s v="TX500332"/>
    <x v="2"/>
    <x v="10"/>
    <n v="158.19999999999999"/>
    <n v="3005.7999999999997"/>
    <x v="14"/>
    <d v="2025-01-16T00:00:00"/>
    <s v="F"/>
    <x v="1"/>
    <x v="2"/>
    <x v="0"/>
    <x v="16"/>
    <x v="3"/>
    <x v="2"/>
    <x v="2"/>
  </r>
  <r>
    <s v="TX500333"/>
    <x v="2"/>
    <x v="1"/>
    <n v="74.900000000000006"/>
    <n v="149.80000000000001"/>
    <x v="14"/>
    <d v="2025-01-17T00:00:00"/>
    <s v="M"/>
    <x v="3"/>
    <x v="0"/>
    <x v="0"/>
    <x v="6"/>
    <x v="1"/>
    <x v="2"/>
    <x v="1"/>
  </r>
  <r>
    <s v="TX500334"/>
    <x v="8"/>
    <x v="3"/>
    <n v="26"/>
    <n v="182"/>
    <x v="14"/>
    <d v="2025-01-18T00:00:00"/>
    <s v="F"/>
    <x v="1"/>
    <x v="0"/>
    <x v="0"/>
    <x v="8"/>
    <x v="2"/>
    <x v="2"/>
    <x v="2"/>
  </r>
  <r>
    <s v="TX500335"/>
    <x v="9"/>
    <x v="13"/>
    <n v="37.5"/>
    <n v="225"/>
    <x v="14"/>
    <d v="2025-01-16T00:00:00"/>
    <s v="F"/>
    <x v="0"/>
    <x v="1"/>
    <x v="0"/>
    <x v="8"/>
    <x v="3"/>
    <x v="2"/>
    <x v="2"/>
  </r>
  <r>
    <s v="TX500336"/>
    <x v="6"/>
    <x v="1"/>
    <n v="75.8"/>
    <n v="151.6"/>
    <x v="14"/>
    <d v="2025-01-21T00:00:00"/>
    <s v="M"/>
    <x v="0"/>
    <x v="0"/>
    <x v="0"/>
    <x v="8"/>
    <x v="4"/>
    <x v="2"/>
    <x v="1"/>
  </r>
  <r>
    <s v="TX500337"/>
    <x v="7"/>
    <x v="0"/>
    <n v="48.5"/>
    <n v="48.5"/>
    <x v="14"/>
    <d v="2025-01-27T00:00:00"/>
    <m/>
    <x v="4"/>
    <x v="2"/>
    <x v="0"/>
    <x v="8"/>
    <x v="13"/>
    <x v="2"/>
    <x v="0"/>
  </r>
  <r>
    <s v="TX500338"/>
    <x v="6"/>
    <x v="2"/>
    <n v="98.9"/>
    <n v="296.70000000000005"/>
    <x v="14"/>
    <d v="2025-01-17T00:00:00"/>
    <s v="F"/>
    <x v="4"/>
    <x v="1"/>
    <x v="0"/>
    <x v="8"/>
    <x v="1"/>
    <x v="2"/>
    <x v="2"/>
  </r>
  <r>
    <s v="TX500339"/>
    <x v="1"/>
    <x v="4"/>
    <n v="50.9"/>
    <n v="610.79999999999995"/>
    <x v="14"/>
    <d v="2025-01-15T00:00:00"/>
    <s v="M"/>
    <x v="4"/>
    <x v="0"/>
    <x v="0"/>
    <x v="8"/>
    <x v="7"/>
    <x v="2"/>
    <x v="1"/>
  </r>
  <r>
    <s v="TX500340"/>
    <x v="12"/>
    <x v="13"/>
    <n v="84.7"/>
    <n v="508.20000000000005"/>
    <x v="14"/>
    <d v="2025-01-15T00:00:00"/>
    <s v="F"/>
    <x v="2"/>
    <x v="0"/>
    <x v="0"/>
    <x v="8"/>
    <x v="7"/>
    <x v="2"/>
    <x v="2"/>
  </r>
  <r>
    <s v="TX500341"/>
    <x v="8"/>
    <x v="0"/>
    <n v="20.7"/>
    <n v="20.7"/>
    <x v="14"/>
    <d v="2025-01-17T00:00:00"/>
    <s v="F"/>
    <x v="3"/>
    <x v="2"/>
    <x v="0"/>
    <x v="8"/>
    <x v="1"/>
    <x v="2"/>
    <x v="2"/>
  </r>
  <r>
    <s v="TX500342"/>
    <x v="12"/>
    <x v="11"/>
    <n v="57.8"/>
    <n v="520.19999999999993"/>
    <x v="14"/>
    <d v="2025-01-26T00:00:00"/>
    <s v="M"/>
    <x v="0"/>
    <x v="4"/>
    <x v="0"/>
    <x v="17"/>
    <x v="11"/>
    <x v="2"/>
    <x v="1"/>
  </r>
  <r>
    <s v="TX500343"/>
    <x v="2"/>
    <x v="1"/>
    <n v="106.9"/>
    <n v="213.8"/>
    <x v="14"/>
    <d v="2025-01-17T00:00:00"/>
    <s v="F"/>
    <x v="0"/>
    <x v="2"/>
    <x v="0"/>
    <x v="41"/>
    <x v="1"/>
    <x v="2"/>
    <x v="2"/>
  </r>
  <r>
    <s v="TX500344"/>
    <x v="3"/>
    <x v="9"/>
    <n v="45.2"/>
    <n v="226"/>
    <x v="14"/>
    <d v="2025-01-19T00:00:00"/>
    <s v="F"/>
    <x v="1"/>
    <x v="0"/>
    <x v="0"/>
    <x v="21"/>
    <x v="5"/>
    <x v="2"/>
    <x v="2"/>
  </r>
  <r>
    <s v="TX500345"/>
    <x v="8"/>
    <x v="15"/>
    <n v="34.6"/>
    <n v="449.8"/>
    <x v="14"/>
    <d v="2025-01-15T00:00:00"/>
    <s v="F"/>
    <x v="1"/>
    <x v="1"/>
    <x v="0"/>
    <x v="21"/>
    <x v="7"/>
    <x v="2"/>
    <x v="2"/>
  </r>
  <r>
    <s v="TX500346"/>
    <x v="15"/>
    <x v="0"/>
    <n v="43.8"/>
    <n v="43.8"/>
    <x v="14"/>
    <d v="2025-01-17T00:00:00"/>
    <m/>
    <x v="0"/>
    <x v="2"/>
    <x v="0"/>
    <x v="21"/>
    <x v="1"/>
    <x v="2"/>
    <x v="0"/>
  </r>
  <r>
    <s v="TX500347"/>
    <x v="15"/>
    <x v="0"/>
    <n v="20.399999999999999"/>
    <n v="20.399999999999999"/>
    <x v="14"/>
    <d v="2025-01-17T00:00:00"/>
    <s v="M"/>
    <x v="4"/>
    <x v="1"/>
    <x v="0"/>
    <x v="21"/>
    <x v="1"/>
    <x v="2"/>
    <x v="1"/>
  </r>
  <r>
    <s v="TX500348"/>
    <x v="1"/>
    <x v="0"/>
    <n v="36.700000000000003"/>
    <n v="36.700000000000003"/>
    <x v="14"/>
    <d v="2025-01-16T00:00:00"/>
    <s v="M"/>
    <x v="0"/>
    <x v="1"/>
    <x v="0"/>
    <x v="1"/>
    <x v="3"/>
    <x v="2"/>
    <x v="1"/>
  </r>
  <r>
    <s v="TX500349"/>
    <x v="8"/>
    <x v="2"/>
    <n v="27.2"/>
    <n v="81.599999999999994"/>
    <x v="14"/>
    <d v="2025-01-19T00:00:00"/>
    <s v="M"/>
    <x v="0"/>
    <x v="2"/>
    <x v="0"/>
    <x v="1"/>
    <x v="5"/>
    <x v="2"/>
    <x v="1"/>
  </r>
  <r>
    <s v="TX500350"/>
    <x v="6"/>
    <x v="0"/>
    <n v="58.2"/>
    <n v="58.2"/>
    <x v="14"/>
    <d v="2025-01-16T00:00:00"/>
    <s v="F"/>
    <x v="0"/>
    <x v="2"/>
    <x v="0"/>
    <x v="42"/>
    <x v="3"/>
    <x v="2"/>
    <x v="2"/>
  </r>
  <r>
    <s v="TX500351"/>
    <x v="8"/>
    <x v="2"/>
    <n v="25.6"/>
    <n v="76.800000000000011"/>
    <x v="14"/>
    <d v="2025-01-16T00:00:00"/>
    <s v="M"/>
    <x v="4"/>
    <x v="4"/>
    <x v="0"/>
    <x v="2"/>
    <x v="3"/>
    <x v="2"/>
    <x v="1"/>
  </r>
  <r>
    <s v="TX500352"/>
    <x v="10"/>
    <x v="0"/>
    <n v="21.2"/>
    <n v="21.2"/>
    <x v="14"/>
    <d v="2025-01-15T00:00:00"/>
    <s v="F"/>
    <x v="1"/>
    <x v="2"/>
    <x v="0"/>
    <x v="3"/>
    <x v="7"/>
    <x v="2"/>
    <x v="2"/>
  </r>
  <r>
    <s v="TX500353"/>
    <x v="6"/>
    <x v="1"/>
    <n v="48.2"/>
    <n v="96.4"/>
    <x v="14"/>
    <d v="2025-01-23T00:00:00"/>
    <s v="F"/>
    <x v="0"/>
    <x v="2"/>
    <x v="0"/>
    <x v="3"/>
    <x v="9"/>
    <x v="2"/>
    <x v="2"/>
  </r>
  <r>
    <s v="TX500354"/>
    <x v="1"/>
    <x v="12"/>
    <n v="83.4"/>
    <n v="333.6"/>
    <x v="15"/>
    <d v="2025-01-17T00:00:00"/>
    <s v="M"/>
    <x v="0"/>
    <x v="0"/>
    <x v="0"/>
    <x v="3"/>
    <x v="3"/>
    <x v="2"/>
    <x v="1"/>
  </r>
  <r>
    <s v="TX500355"/>
    <x v="9"/>
    <x v="2"/>
    <n v="45.3"/>
    <n v="135.89999999999998"/>
    <x v="15"/>
    <d v="2025-01-22T00:00:00"/>
    <s v="M"/>
    <x v="2"/>
    <x v="1"/>
    <x v="0"/>
    <x v="3"/>
    <x v="4"/>
    <x v="2"/>
    <x v="1"/>
  </r>
  <r>
    <s v="TX500356"/>
    <x v="17"/>
    <x v="0"/>
    <n v="42"/>
    <n v="42"/>
    <x v="15"/>
    <d v="2025-01-17T00:00:00"/>
    <m/>
    <x v="0"/>
    <x v="0"/>
    <x v="0"/>
    <x v="3"/>
    <x v="3"/>
    <x v="2"/>
    <x v="0"/>
  </r>
  <r>
    <s v="TX500357"/>
    <x v="0"/>
    <x v="11"/>
    <n v="21.8"/>
    <n v="196.20000000000002"/>
    <x v="15"/>
    <d v="2025-01-18T00:00:00"/>
    <s v="F"/>
    <x v="1"/>
    <x v="0"/>
    <x v="0"/>
    <x v="3"/>
    <x v="1"/>
    <x v="2"/>
    <x v="2"/>
  </r>
  <r>
    <s v="TX500358"/>
    <x v="8"/>
    <x v="16"/>
    <n v="21.4"/>
    <n v="385.2"/>
    <x v="15"/>
    <d v="2025-01-19T00:00:00"/>
    <s v="F"/>
    <x v="1"/>
    <x v="2"/>
    <x v="0"/>
    <x v="3"/>
    <x v="2"/>
    <x v="2"/>
    <x v="2"/>
  </r>
  <r>
    <s v="TX500359"/>
    <x v="10"/>
    <x v="2"/>
    <n v="45"/>
    <n v="135"/>
    <x v="15"/>
    <d v="2025-01-16T00:00:00"/>
    <s v="F"/>
    <x v="1"/>
    <x v="2"/>
    <x v="0"/>
    <x v="3"/>
    <x v="7"/>
    <x v="2"/>
    <x v="2"/>
  </r>
  <r>
    <s v="TX500360"/>
    <x v="14"/>
    <x v="0"/>
    <n v="39.6"/>
    <n v="39.6"/>
    <x v="15"/>
    <d v="2025-01-17T00:00:00"/>
    <s v="M"/>
    <x v="0"/>
    <x v="2"/>
    <x v="0"/>
    <x v="3"/>
    <x v="3"/>
    <x v="2"/>
    <x v="1"/>
  </r>
  <r>
    <s v="TX500361"/>
    <x v="12"/>
    <x v="2"/>
    <n v="79.8"/>
    <n v="239.39999999999998"/>
    <x v="15"/>
    <d v="2025-01-22T00:00:00"/>
    <s v="F"/>
    <x v="1"/>
    <x v="4"/>
    <x v="0"/>
    <x v="3"/>
    <x v="4"/>
    <x v="2"/>
    <x v="2"/>
  </r>
  <r>
    <s v="TX500362"/>
    <x v="1"/>
    <x v="12"/>
    <n v="63.6"/>
    <n v="254.4"/>
    <x v="15"/>
    <d v="2025-01-17T00:00:00"/>
    <s v="O"/>
    <x v="0"/>
    <x v="2"/>
    <x v="0"/>
    <x v="24"/>
    <x v="3"/>
    <x v="2"/>
    <x v="3"/>
  </r>
  <r>
    <s v="TX500363"/>
    <x v="7"/>
    <x v="7"/>
    <n v="92.7"/>
    <n v="927"/>
    <x v="15"/>
    <d v="2025-01-20T00:00:00"/>
    <s v="M"/>
    <x v="1"/>
    <x v="2"/>
    <x v="0"/>
    <x v="6"/>
    <x v="5"/>
    <x v="2"/>
    <x v="1"/>
  </r>
  <r>
    <s v="TX500364"/>
    <x v="1"/>
    <x v="12"/>
    <n v="48.4"/>
    <n v="193.6"/>
    <x v="15"/>
    <d v="2025-01-18T00:00:00"/>
    <s v="F"/>
    <x v="1"/>
    <x v="2"/>
    <x v="0"/>
    <x v="6"/>
    <x v="1"/>
    <x v="2"/>
    <x v="2"/>
  </r>
  <r>
    <s v="TX500365"/>
    <x v="9"/>
    <x v="8"/>
    <n v="36"/>
    <n v="288"/>
    <x v="15"/>
    <d v="2025-01-19T00:00:00"/>
    <s v="M"/>
    <x v="2"/>
    <x v="2"/>
    <x v="0"/>
    <x v="8"/>
    <x v="2"/>
    <x v="2"/>
    <x v="1"/>
  </r>
  <r>
    <s v="TX500366"/>
    <x v="8"/>
    <x v="4"/>
    <n v="27"/>
    <n v="324"/>
    <x v="15"/>
    <d v="2025-01-18T00:00:00"/>
    <s v="F"/>
    <x v="2"/>
    <x v="1"/>
    <x v="0"/>
    <x v="8"/>
    <x v="1"/>
    <x v="2"/>
    <x v="2"/>
  </r>
  <r>
    <s v="TX500367"/>
    <x v="2"/>
    <x v="8"/>
    <n v="53.9"/>
    <n v="431.2"/>
    <x v="15"/>
    <d v="2025-01-17T00:00:00"/>
    <m/>
    <x v="0"/>
    <x v="0"/>
    <x v="0"/>
    <x v="8"/>
    <x v="3"/>
    <x v="2"/>
    <x v="0"/>
  </r>
  <r>
    <s v="TX500368"/>
    <x v="3"/>
    <x v="11"/>
    <n v="48.4"/>
    <n v="435.59999999999997"/>
    <x v="15"/>
    <d v="2025-01-17T00:00:00"/>
    <s v="F"/>
    <x v="1"/>
    <x v="0"/>
    <x v="0"/>
    <x v="9"/>
    <x v="3"/>
    <x v="2"/>
    <x v="2"/>
  </r>
  <r>
    <s v="TX500369"/>
    <x v="17"/>
    <x v="1"/>
    <n v="49.9"/>
    <n v="99.8"/>
    <x v="15"/>
    <d v="2025-01-21T00:00:00"/>
    <s v="M"/>
    <x v="4"/>
    <x v="4"/>
    <x v="0"/>
    <x v="10"/>
    <x v="0"/>
    <x v="2"/>
    <x v="1"/>
  </r>
  <r>
    <s v="TX500370"/>
    <x v="1"/>
    <x v="2"/>
    <n v="51.7"/>
    <n v="155.10000000000002"/>
    <x v="15"/>
    <d v="2025-01-17T00:00:00"/>
    <s v="F"/>
    <x v="0"/>
    <x v="2"/>
    <x v="0"/>
    <x v="11"/>
    <x v="3"/>
    <x v="2"/>
    <x v="2"/>
  </r>
  <r>
    <s v="TX500371"/>
    <x v="8"/>
    <x v="2"/>
    <n v="41.8"/>
    <n v="125.39999999999999"/>
    <x v="15"/>
    <d v="2025-01-18T00:00:00"/>
    <s v="F"/>
    <x v="2"/>
    <x v="0"/>
    <x v="0"/>
    <x v="18"/>
    <x v="1"/>
    <x v="2"/>
    <x v="2"/>
  </r>
  <r>
    <s v="TX500372"/>
    <x v="4"/>
    <x v="12"/>
    <n v="36.200000000000003"/>
    <n v="144.80000000000001"/>
    <x v="16"/>
    <d v="2025-01-18T00:00:00"/>
    <s v="M"/>
    <x v="2"/>
    <x v="2"/>
    <x v="0"/>
    <x v="21"/>
    <x v="3"/>
    <x v="2"/>
    <x v="1"/>
  </r>
  <r>
    <s v="TX500373"/>
    <x v="2"/>
    <x v="0"/>
    <n v="150.9"/>
    <n v="150.9"/>
    <x v="16"/>
    <d v="2025-01-27T00:00:00"/>
    <s v="M"/>
    <x v="0"/>
    <x v="0"/>
    <x v="0"/>
    <x v="1"/>
    <x v="14"/>
    <x v="2"/>
    <x v="1"/>
  </r>
  <r>
    <s v="TX500374"/>
    <x v="18"/>
    <x v="12"/>
    <n v="77.599999999999994"/>
    <n v="310.39999999999998"/>
    <x v="16"/>
    <d v="2025-01-18T00:00:00"/>
    <m/>
    <x v="2"/>
    <x v="0"/>
    <x v="0"/>
    <x v="3"/>
    <x v="3"/>
    <x v="2"/>
    <x v="0"/>
  </r>
  <r>
    <s v="TX500375"/>
    <x v="13"/>
    <x v="9"/>
    <n v="65.5"/>
    <n v="327.5"/>
    <x v="16"/>
    <d v="2025-01-17T00:00:00"/>
    <s v="M"/>
    <x v="1"/>
    <x v="0"/>
    <x v="0"/>
    <x v="3"/>
    <x v="7"/>
    <x v="2"/>
    <x v="1"/>
  </r>
  <r>
    <s v="TX500376"/>
    <x v="6"/>
    <x v="2"/>
    <n v="90.1"/>
    <n v="270.29999999999995"/>
    <x v="16"/>
    <d v="2025-01-19T00:00:00"/>
    <s v="F"/>
    <x v="0"/>
    <x v="0"/>
    <x v="0"/>
    <x v="3"/>
    <x v="1"/>
    <x v="2"/>
    <x v="2"/>
  </r>
  <r>
    <s v="TX500377"/>
    <x v="1"/>
    <x v="1"/>
    <n v="108.3"/>
    <n v="216.6"/>
    <x v="16"/>
    <d v="2025-01-20T00:00:00"/>
    <s v="O"/>
    <x v="4"/>
    <x v="0"/>
    <x v="0"/>
    <x v="3"/>
    <x v="2"/>
    <x v="2"/>
    <x v="3"/>
  </r>
  <r>
    <s v="TX500378"/>
    <x v="5"/>
    <x v="2"/>
    <n v="59.9"/>
    <n v="179.7"/>
    <x v="16"/>
    <d v="2025-01-21T00:00:00"/>
    <s v="F"/>
    <x v="0"/>
    <x v="0"/>
    <x v="0"/>
    <x v="3"/>
    <x v="5"/>
    <x v="2"/>
    <x v="2"/>
  </r>
  <r>
    <s v="TX500379"/>
    <x v="2"/>
    <x v="14"/>
    <n v="139"/>
    <n v="2363"/>
    <x v="16"/>
    <d v="2025-01-19T00:00:00"/>
    <s v="F"/>
    <x v="1"/>
    <x v="4"/>
    <x v="0"/>
    <x v="3"/>
    <x v="1"/>
    <x v="2"/>
    <x v="2"/>
  </r>
  <r>
    <s v="TX500380"/>
    <x v="6"/>
    <x v="2"/>
    <n v="87.3"/>
    <n v="261.89999999999998"/>
    <x v="16"/>
    <d v="2025-01-18T00:00:00"/>
    <s v="F"/>
    <x v="0"/>
    <x v="0"/>
    <x v="0"/>
    <x v="3"/>
    <x v="3"/>
    <x v="2"/>
    <x v="2"/>
  </r>
  <r>
    <s v="TX500381"/>
    <x v="11"/>
    <x v="12"/>
    <n v="42.3"/>
    <n v="169.2"/>
    <x v="16"/>
    <d v="2025-01-17T00:00:00"/>
    <s v="M"/>
    <x v="0"/>
    <x v="0"/>
    <x v="0"/>
    <x v="3"/>
    <x v="7"/>
    <x v="2"/>
    <x v="1"/>
  </r>
  <r>
    <s v="TX500382"/>
    <x v="14"/>
    <x v="8"/>
    <n v="103.6"/>
    <n v="828.8"/>
    <x v="16"/>
    <d v="2025-01-18T00:00:00"/>
    <s v="O"/>
    <x v="0"/>
    <x v="1"/>
    <x v="0"/>
    <x v="3"/>
    <x v="3"/>
    <x v="2"/>
    <x v="3"/>
  </r>
  <r>
    <s v="TX500383"/>
    <x v="6"/>
    <x v="1"/>
    <n v="90.9"/>
    <n v="181.8"/>
    <x v="16"/>
    <d v="2025-01-18T00:00:00"/>
    <s v="M"/>
    <x v="1"/>
    <x v="0"/>
    <x v="0"/>
    <x v="6"/>
    <x v="3"/>
    <x v="2"/>
    <x v="1"/>
  </r>
  <r>
    <s v="TX500384"/>
    <x v="9"/>
    <x v="27"/>
    <n v="100.9"/>
    <n v="1614.4"/>
    <x v="16"/>
    <d v="2025-01-18T00:00:00"/>
    <s v="F"/>
    <x v="1"/>
    <x v="0"/>
    <x v="0"/>
    <x v="6"/>
    <x v="3"/>
    <x v="2"/>
    <x v="2"/>
  </r>
  <r>
    <s v="TX500385"/>
    <x v="4"/>
    <x v="9"/>
    <n v="36"/>
    <n v="180"/>
    <x v="16"/>
    <d v="2025-01-19T00:00:00"/>
    <s v="F"/>
    <x v="1"/>
    <x v="0"/>
    <x v="0"/>
    <x v="7"/>
    <x v="1"/>
    <x v="2"/>
    <x v="2"/>
  </r>
  <r>
    <s v="TX500386"/>
    <x v="6"/>
    <x v="13"/>
    <n v="83.3"/>
    <n v="499.79999999999995"/>
    <x v="16"/>
    <d v="2025-01-20T00:00:00"/>
    <m/>
    <x v="2"/>
    <x v="0"/>
    <x v="0"/>
    <x v="7"/>
    <x v="2"/>
    <x v="2"/>
    <x v="0"/>
  </r>
  <r>
    <s v="TX500387"/>
    <x v="2"/>
    <x v="14"/>
    <n v="60.3"/>
    <n v="1025.0999999999999"/>
    <x v="16"/>
    <d v="2025-01-18T00:00:00"/>
    <s v="M"/>
    <x v="2"/>
    <x v="1"/>
    <x v="0"/>
    <x v="7"/>
    <x v="3"/>
    <x v="2"/>
    <x v="1"/>
  </r>
  <r>
    <s v="TX500388"/>
    <x v="2"/>
    <x v="13"/>
    <n v="120.3"/>
    <n v="721.8"/>
    <x v="16"/>
    <d v="2025-01-18T00:00:00"/>
    <s v="M"/>
    <x v="2"/>
    <x v="0"/>
    <x v="0"/>
    <x v="8"/>
    <x v="3"/>
    <x v="2"/>
    <x v="1"/>
  </r>
  <r>
    <s v="TX500389"/>
    <x v="4"/>
    <x v="7"/>
    <n v="34"/>
    <n v="340"/>
    <x v="16"/>
    <d v="2025-01-21T00:00:00"/>
    <s v="F"/>
    <x v="2"/>
    <x v="0"/>
    <x v="0"/>
    <x v="8"/>
    <x v="5"/>
    <x v="2"/>
    <x v="2"/>
  </r>
  <r>
    <s v="TX500390"/>
    <x v="10"/>
    <x v="9"/>
    <n v="42.6"/>
    <n v="213"/>
    <x v="16"/>
    <d v="2025-01-20T00:00:00"/>
    <s v="M"/>
    <x v="1"/>
    <x v="0"/>
    <x v="0"/>
    <x v="8"/>
    <x v="2"/>
    <x v="2"/>
    <x v="1"/>
  </r>
  <r>
    <s v="TX500391"/>
    <x v="5"/>
    <x v="28"/>
    <n v="47.4"/>
    <n v="948"/>
    <x v="16"/>
    <d v="2025-01-17T00:00:00"/>
    <s v="F"/>
    <x v="2"/>
    <x v="1"/>
    <x v="0"/>
    <x v="17"/>
    <x v="7"/>
    <x v="2"/>
    <x v="2"/>
  </r>
  <r>
    <s v="TX500392"/>
    <x v="2"/>
    <x v="0"/>
    <n v="74"/>
    <n v="74"/>
    <x v="17"/>
    <d v="2025-01-19T00:00:00"/>
    <s v="M"/>
    <x v="1"/>
    <x v="0"/>
    <x v="0"/>
    <x v="11"/>
    <x v="3"/>
    <x v="2"/>
    <x v="1"/>
  </r>
  <r>
    <s v="TX500393"/>
    <x v="2"/>
    <x v="9"/>
    <n v="60.4"/>
    <n v="302"/>
    <x v="17"/>
    <d v="2025-01-21T00:00:00"/>
    <s v="F"/>
    <x v="1"/>
    <x v="4"/>
    <x v="0"/>
    <x v="18"/>
    <x v="2"/>
    <x v="2"/>
    <x v="2"/>
  </r>
  <r>
    <s v="TX500394"/>
    <x v="12"/>
    <x v="1"/>
    <n v="69.3"/>
    <n v="138.6"/>
    <x v="17"/>
    <d v="2025-01-21T00:00:00"/>
    <s v="M"/>
    <x v="1"/>
    <x v="1"/>
    <x v="0"/>
    <x v="13"/>
    <x v="2"/>
    <x v="2"/>
    <x v="1"/>
  </r>
  <r>
    <s v="TX500395"/>
    <x v="5"/>
    <x v="9"/>
    <n v="81"/>
    <n v="405"/>
    <x v="17"/>
    <d v="2025-01-24T00:00:00"/>
    <s v="M"/>
    <x v="3"/>
    <x v="0"/>
    <x v="0"/>
    <x v="21"/>
    <x v="4"/>
    <x v="2"/>
    <x v="1"/>
  </r>
  <r>
    <s v="TX500396"/>
    <x v="15"/>
    <x v="2"/>
    <n v="41.5"/>
    <n v="124.5"/>
    <x v="17"/>
    <d v="2025-01-20T00:00:00"/>
    <s v="O"/>
    <x v="1"/>
    <x v="0"/>
    <x v="0"/>
    <x v="21"/>
    <x v="1"/>
    <x v="2"/>
    <x v="3"/>
  </r>
  <r>
    <s v="TX500397"/>
    <x v="18"/>
    <x v="1"/>
    <n v="69.7"/>
    <n v="139.4"/>
    <x v="17"/>
    <d v="2025-01-23T00:00:00"/>
    <s v="M"/>
    <x v="1"/>
    <x v="0"/>
    <x v="0"/>
    <x v="21"/>
    <x v="0"/>
    <x v="2"/>
    <x v="1"/>
  </r>
  <r>
    <s v="TX500398"/>
    <x v="2"/>
    <x v="9"/>
    <n v="83.6"/>
    <n v="418"/>
    <x v="17"/>
    <d v="2025-01-18T00:00:00"/>
    <s v="F"/>
    <x v="4"/>
    <x v="0"/>
    <x v="0"/>
    <x v="1"/>
    <x v="7"/>
    <x v="2"/>
    <x v="2"/>
  </r>
  <r>
    <s v="TX500399"/>
    <x v="8"/>
    <x v="3"/>
    <n v="21.5"/>
    <n v="150.5"/>
    <x v="17"/>
    <d v="2025-01-20T00:00:00"/>
    <s v="M"/>
    <x v="1"/>
    <x v="4"/>
    <x v="0"/>
    <x v="34"/>
    <x v="1"/>
    <x v="2"/>
    <x v="1"/>
  </r>
  <r>
    <s v="TX500400"/>
    <x v="8"/>
    <x v="8"/>
    <n v="28.6"/>
    <n v="228.8"/>
    <x v="17"/>
    <d v="2025-01-19T00:00:00"/>
    <s v="M"/>
    <x v="0"/>
    <x v="0"/>
    <x v="0"/>
    <x v="3"/>
    <x v="3"/>
    <x v="2"/>
    <x v="1"/>
  </r>
  <r>
    <s v="TX500401"/>
    <x v="8"/>
    <x v="13"/>
    <n v="18.8"/>
    <n v="112.80000000000001"/>
    <x v="17"/>
    <d v="2025-01-21T00:00:00"/>
    <s v="M"/>
    <x v="3"/>
    <x v="2"/>
    <x v="0"/>
    <x v="3"/>
    <x v="2"/>
    <x v="2"/>
    <x v="1"/>
  </r>
  <r>
    <s v="TX500402"/>
    <x v="10"/>
    <x v="12"/>
    <n v="35.1"/>
    <n v="140.4"/>
    <x v="17"/>
    <d v="2025-01-18T00:00:00"/>
    <s v="F"/>
    <x v="1"/>
    <x v="1"/>
    <x v="0"/>
    <x v="3"/>
    <x v="7"/>
    <x v="2"/>
    <x v="2"/>
  </r>
  <r>
    <s v="TX500403"/>
    <x v="0"/>
    <x v="1"/>
    <n v="12.7"/>
    <n v="25.4"/>
    <x v="17"/>
    <d v="2025-01-20T00:00:00"/>
    <s v="F"/>
    <x v="1"/>
    <x v="2"/>
    <x v="0"/>
    <x v="3"/>
    <x v="1"/>
    <x v="2"/>
    <x v="2"/>
  </r>
  <r>
    <s v="TX500404"/>
    <x v="8"/>
    <x v="9"/>
    <n v="27.4"/>
    <n v="137"/>
    <x v="17"/>
    <d v="2025-01-20T00:00:00"/>
    <s v="O"/>
    <x v="0"/>
    <x v="0"/>
    <x v="0"/>
    <x v="3"/>
    <x v="1"/>
    <x v="2"/>
    <x v="3"/>
  </r>
  <r>
    <s v="TX500405"/>
    <x v="10"/>
    <x v="1"/>
    <n v="61.3"/>
    <n v="122.6"/>
    <x v="17"/>
    <d v="2025-01-19T00:00:00"/>
    <s v="F"/>
    <x v="1"/>
    <x v="0"/>
    <x v="0"/>
    <x v="6"/>
    <x v="3"/>
    <x v="2"/>
    <x v="2"/>
  </r>
  <r>
    <s v="TX500406"/>
    <x v="8"/>
    <x v="1"/>
    <n v="64.7"/>
    <n v="129.4"/>
    <x v="17"/>
    <d v="2025-01-20T00:00:00"/>
    <s v="F"/>
    <x v="3"/>
    <x v="2"/>
    <x v="0"/>
    <x v="6"/>
    <x v="1"/>
    <x v="2"/>
    <x v="2"/>
  </r>
  <r>
    <s v="TX500407"/>
    <x v="7"/>
    <x v="12"/>
    <n v="91.4"/>
    <n v="365.6"/>
    <x v="17"/>
    <d v="2025-01-20T00:00:00"/>
    <s v="F"/>
    <x v="0"/>
    <x v="0"/>
    <x v="0"/>
    <x v="8"/>
    <x v="1"/>
    <x v="2"/>
    <x v="2"/>
  </r>
  <r>
    <s v="TX500408"/>
    <x v="0"/>
    <x v="1"/>
    <n v="33.1"/>
    <n v="66.2"/>
    <x v="18"/>
    <d v="2025-01-20T00:00:00"/>
    <s v="M"/>
    <x v="0"/>
    <x v="2"/>
    <x v="0"/>
    <x v="8"/>
    <x v="3"/>
    <x v="3"/>
    <x v="1"/>
  </r>
  <r>
    <s v="TX500409"/>
    <x v="3"/>
    <x v="1"/>
    <n v="105.6"/>
    <n v="211.2"/>
    <x v="18"/>
    <d v="2025-01-20T00:00:00"/>
    <s v="M"/>
    <x v="2"/>
    <x v="1"/>
    <x v="0"/>
    <x v="8"/>
    <x v="3"/>
    <x v="3"/>
    <x v="1"/>
  </r>
  <r>
    <s v="TX500410"/>
    <x v="10"/>
    <x v="2"/>
    <n v="46.4"/>
    <n v="139.19999999999999"/>
    <x v="18"/>
    <d v="2025-01-20T00:00:00"/>
    <s v="M"/>
    <x v="2"/>
    <x v="0"/>
    <x v="0"/>
    <x v="9"/>
    <x v="3"/>
    <x v="3"/>
    <x v="1"/>
  </r>
  <r>
    <s v="TX500411"/>
    <x v="9"/>
    <x v="21"/>
    <n v="35.299999999999997"/>
    <n v="494.19999999999993"/>
    <x v="18"/>
    <d v="2025-01-22T00:00:00"/>
    <s v="F"/>
    <x v="4"/>
    <x v="1"/>
    <x v="0"/>
    <x v="11"/>
    <x v="2"/>
    <x v="3"/>
    <x v="2"/>
  </r>
  <r>
    <s v="TX500412"/>
    <x v="0"/>
    <x v="1"/>
    <n v="16.100000000000001"/>
    <n v="32.200000000000003"/>
    <x v="18"/>
    <d v="2025-01-21T00:00:00"/>
    <s v="M"/>
    <x v="3"/>
    <x v="2"/>
    <x v="0"/>
    <x v="32"/>
    <x v="1"/>
    <x v="3"/>
    <x v="1"/>
  </r>
  <r>
    <s v="TX500413"/>
    <x v="4"/>
    <x v="1"/>
    <n v="27.9"/>
    <n v="55.8"/>
    <x v="18"/>
    <d v="2025-01-22T00:00:00"/>
    <s v="M"/>
    <x v="0"/>
    <x v="0"/>
    <x v="0"/>
    <x v="13"/>
    <x v="2"/>
    <x v="3"/>
    <x v="1"/>
  </r>
  <r>
    <s v="TX500414"/>
    <x v="8"/>
    <x v="0"/>
    <n v="47.1"/>
    <n v="47.1"/>
    <x v="18"/>
    <d v="2025-01-27T00:00:00"/>
    <s v="F"/>
    <x v="1"/>
    <x v="0"/>
    <x v="0"/>
    <x v="2"/>
    <x v="9"/>
    <x v="3"/>
    <x v="2"/>
  </r>
  <r>
    <s v="TX500415"/>
    <x v="6"/>
    <x v="1"/>
    <n v="85"/>
    <n v="170"/>
    <x v="18"/>
    <d v="2025-01-22T00:00:00"/>
    <m/>
    <x v="2"/>
    <x v="2"/>
    <x v="0"/>
    <x v="22"/>
    <x v="2"/>
    <x v="3"/>
    <x v="0"/>
  </r>
  <r>
    <s v="TX500416"/>
    <x v="18"/>
    <x v="1"/>
    <n v="89"/>
    <n v="178"/>
    <x v="18"/>
    <d v="2025-01-21T00:00:00"/>
    <s v="F"/>
    <x v="0"/>
    <x v="0"/>
    <x v="0"/>
    <x v="3"/>
    <x v="1"/>
    <x v="3"/>
    <x v="2"/>
  </r>
  <r>
    <s v="TX500417"/>
    <x v="16"/>
    <x v="2"/>
    <n v="36.6"/>
    <n v="109.80000000000001"/>
    <x v="18"/>
    <d v="2025-01-20T00:00:00"/>
    <s v="O"/>
    <x v="3"/>
    <x v="2"/>
    <x v="0"/>
    <x v="3"/>
    <x v="3"/>
    <x v="3"/>
    <x v="3"/>
  </r>
  <r>
    <s v="TX500418"/>
    <x v="6"/>
    <x v="3"/>
    <n v="43.5"/>
    <n v="304.5"/>
    <x v="18"/>
    <d v="2025-01-20T00:00:00"/>
    <s v="M"/>
    <x v="1"/>
    <x v="2"/>
    <x v="0"/>
    <x v="3"/>
    <x v="3"/>
    <x v="3"/>
    <x v="1"/>
  </r>
  <r>
    <s v="TX500419"/>
    <x v="9"/>
    <x v="10"/>
    <n v="30.5"/>
    <n v="579.5"/>
    <x v="18"/>
    <d v="2025-01-19T00:00:00"/>
    <s v="F"/>
    <x v="3"/>
    <x v="0"/>
    <x v="0"/>
    <x v="3"/>
    <x v="7"/>
    <x v="3"/>
    <x v="2"/>
  </r>
  <r>
    <s v="TX500420"/>
    <x v="1"/>
    <x v="1"/>
    <n v="107.7"/>
    <n v="215.4"/>
    <x v="18"/>
    <d v="2025-01-23T00:00:00"/>
    <s v="M"/>
    <x v="3"/>
    <x v="4"/>
    <x v="0"/>
    <x v="3"/>
    <x v="5"/>
    <x v="3"/>
    <x v="1"/>
  </r>
  <r>
    <s v="TX500421"/>
    <x v="17"/>
    <x v="18"/>
    <n v="57.1"/>
    <n v="1484.6000000000001"/>
    <x v="18"/>
    <d v="2025-01-20T00:00:00"/>
    <s v="M"/>
    <x v="1"/>
    <x v="0"/>
    <x v="0"/>
    <x v="3"/>
    <x v="3"/>
    <x v="3"/>
    <x v="1"/>
  </r>
  <r>
    <s v="TX500422"/>
    <x v="2"/>
    <x v="7"/>
    <n v="111.7"/>
    <n v="1117"/>
    <x v="18"/>
    <d v="2025-01-20T00:00:00"/>
    <s v="F"/>
    <x v="4"/>
    <x v="2"/>
    <x v="0"/>
    <x v="3"/>
    <x v="3"/>
    <x v="3"/>
    <x v="2"/>
  </r>
  <r>
    <s v="TX500423"/>
    <x v="18"/>
    <x v="3"/>
    <n v="44.3"/>
    <n v="310.09999999999997"/>
    <x v="18"/>
    <d v="2025-01-22T00:00:00"/>
    <s v="M"/>
    <x v="3"/>
    <x v="2"/>
    <x v="0"/>
    <x v="3"/>
    <x v="2"/>
    <x v="3"/>
    <x v="1"/>
  </r>
  <r>
    <s v="TX500424"/>
    <x v="2"/>
    <x v="8"/>
    <n v="95.8"/>
    <n v="766.4"/>
    <x v="18"/>
    <d v="2025-01-25T00:00:00"/>
    <s v="O"/>
    <x v="0"/>
    <x v="0"/>
    <x v="0"/>
    <x v="3"/>
    <x v="4"/>
    <x v="3"/>
    <x v="3"/>
  </r>
  <r>
    <s v="TX500425"/>
    <x v="10"/>
    <x v="3"/>
    <n v="22.6"/>
    <n v="158.20000000000002"/>
    <x v="18"/>
    <d v="2025-01-22T00:00:00"/>
    <s v="F"/>
    <x v="3"/>
    <x v="1"/>
    <x v="0"/>
    <x v="3"/>
    <x v="2"/>
    <x v="3"/>
    <x v="2"/>
  </r>
  <r>
    <s v="TX500426"/>
    <x v="8"/>
    <x v="8"/>
    <n v="25.6"/>
    <n v="204.8"/>
    <x v="18"/>
    <d v="2025-01-21T00:00:00"/>
    <s v="F"/>
    <x v="4"/>
    <x v="0"/>
    <x v="0"/>
    <x v="3"/>
    <x v="1"/>
    <x v="3"/>
    <x v="2"/>
  </r>
  <r>
    <s v="TX500427"/>
    <x v="6"/>
    <x v="27"/>
    <n v="54.3"/>
    <n v="868.8"/>
    <x v="18"/>
    <d v="2025-01-22T00:00:00"/>
    <s v="F"/>
    <x v="4"/>
    <x v="0"/>
    <x v="0"/>
    <x v="3"/>
    <x v="2"/>
    <x v="3"/>
    <x v="2"/>
  </r>
  <r>
    <s v="TX500428"/>
    <x v="18"/>
    <x v="15"/>
    <n v="51.3"/>
    <n v="666.9"/>
    <x v="18"/>
    <d v="2025-01-21T00:00:00"/>
    <s v="M"/>
    <x v="0"/>
    <x v="2"/>
    <x v="0"/>
    <x v="3"/>
    <x v="1"/>
    <x v="3"/>
    <x v="1"/>
  </r>
  <r>
    <s v="TX500429"/>
    <x v="0"/>
    <x v="8"/>
    <n v="25.6"/>
    <n v="204.8"/>
    <x v="18"/>
    <d v="2025-01-20T00:00:00"/>
    <s v="F"/>
    <x v="1"/>
    <x v="1"/>
    <x v="0"/>
    <x v="3"/>
    <x v="3"/>
    <x v="3"/>
    <x v="2"/>
  </r>
  <r>
    <s v="TX500430"/>
    <x v="0"/>
    <x v="1"/>
    <n v="15.6"/>
    <n v="31.2"/>
    <x v="18"/>
    <d v="2025-01-20T00:00:00"/>
    <s v="F"/>
    <x v="2"/>
    <x v="2"/>
    <x v="0"/>
    <x v="3"/>
    <x v="3"/>
    <x v="3"/>
    <x v="2"/>
  </r>
  <r>
    <s v="TX500431"/>
    <x v="8"/>
    <x v="2"/>
    <n v="30.3"/>
    <n v="90.9"/>
    <x v="18"/>
    <d v="2025-01-23T00:00:00"/>
    <s v="F"/>
    <x v="0"/>
    <x v="1"/>
    <x v="0"/>
    <x v="3"/>
    <x v="5"/>
    <x v="3"/>
    <x v="2"/>
  </r>
  <r>
    <s v="TX500432"/>
    <x v="12"/>
    <x v="1"/>
    <n v="30.3"/>
    <n v="60.6"/>
    <x v="18"/>
    <d v="2025-01-24T00:00:00"/>
    <s v="F"/>
    <x v="0"/>
    <x v="2"/>
    <x v="0"/>
    <x v="37"/>
    <x v="0"/>
    <x v="3"/>
    <x v="2"/>
  </r>
  <r>
    <s v="TX500433"/>
    <x v="10"/>
    <x v="2"/>
    <n v="53"/>
    <n v="159"/>
    <x v="18"/>
    <d v="2025-01-26T00:00:00"/>
    <s v="F"/>
    <x v="2"/>
    <x v="0"/>
    <x v="0"/>
    <x v="24"/>
    <x v="6"/>
    <x v="3"/>
    <x v="2"/>
  </r>
  <r>
    <s v="TX500434"/>
    <x v="5"/>
    <x v="16"/>
    <n v="59.9"/>
    <n v="1078.2"/>
    <x v="18"/>
    <d v="2025-01-22T00:00:00"/>
    <s v="M"/>
    <x v="2"/>
    <x v="4"/>
    <x v="0"/>
    <x v="25"/>
    <x v="2"/>
    <x v="3"/>
    <x v="1"/>
  </r>
  <r>
    <s v="TX500435"/>
    <x v="9"/>
    <x v="1"/>
    <n v="45.7"/>
    <n v="91.4"/>
    <x v="18"/>
    <d v="2025-01-20T00:00:00"/>
    <s v="F"/>
    <x v="1"/>
    <x v="2"/>
    <x v="0"/>
    <x v="6"/>
    <x v="3"/>
    <x v="3"/>
    <x v="2"/>
  </r>
  <r>
    <s v="TX500436"/>
    <x v="8"/>
    <x v="12"/>
    <n v="46.1"/>
    <n v="184.4"/>
    <x v="18"/>
    <d v="2025-01-20T00:00:00"/>
    <s v="M"/>
    <x v="0"/>
    <x v="0"/>
    <x v="0"/>
    <x v="6"/>
    <x v="3"/>
    <x v="3"/>
    <x v="1"/>
  </r>
  <r>
    <s v="TX500437"/>
    <x v="8"/>
    <x v="2"/>
    <n v="17.5"/>
    <n v="52.5"/>
    <x v="18"/>
    <d v="2025-01-20T00:00:00"/>
    <s v="F"/>
    <x v="0"/>
    <x v="2"/>
    <x v="0"/>
    <x v="8"/>
    <x v="3"/>
    <x v="3"/>
    <x v="2"/>
  </r>
  <r>
    <s v="TX500438"/>
    <x v="10"/>
    <x v="2"/>
    <n v="36.5"/>
    <n v="109.5"/>
    <x v="18"/>
    <d v="2025-01-30T00:00:00"/>
    <s v="M"/>
    <x v="2"/>
    <x v="0"/>
    <x v="0"/>
    <x v="8"/>
    <x v="11"/>
    <x v="3"/>
    <x v="1"/>
  </r>
  <r>
    <s v="TX500439"/>
    <x v="8"/>
    <x v="1"/>
    <n v="47.5"/>
    <n v="95"/>
    <x v="19"/>
    <d v="2025-01-22T00:00:00"/>
    <s v="F"/>
    <x v="1"/>
    <x v="0"/>
    <x v="0"/>
    <x v="8"/>
    <x v="1"/>
    <x v="3"/>
    <x v="2"/>
  </r>
  <r>
    <s v="TX500440"/>
    <x v="6"/>
    <x v="9"/>
    <n v="45.6"/>
    <n v="228"/>
    <x v="19"/>
    <d v="2025-01-22T00:00:00"/>
    <s v="F"/>
    <x v="0"/>
    <x v="2"/>
    <x v="0"/>
    <x v="8"/>
    <x v="1"/>
    <x v="3"/>
    <x v="2"/>
  </r>
  <r>
    <s v="TX500441"/>
    <x v="9"/>
    <x v="1"/>
    <n v="50.5"/>
    <n v="101"/>
    <x v="19"/>
    <d v="2025-01-22T00:00:00"/>
    <s v="M"/>
    <x v="0"/>
    <x v="1"/>
    <x v="0"/>
    <x v="17"/>
    <x v="1"/>
    <x v="3"/>
    <x v="1"/>
  </r>
  <r>
    <s v="TX500442"/>
    <x v="2"/>
    <x v="7"/>
    <n v="99.8"/>
    <n v="998"/>
    <x v="19"/>
    <d v="2025-01-23T00:00:00"/>
    <s v="F"/>
    <x v="2"/>
    <x v="1"/>
    <x v="0"/>
    <x v="17"/>
    <x v="2"/>
    <x v="3"/>
    <x v="2"/>
  </r>
  <r>
    <s v="TX500443"/>
    <x v="8"/>
    <x v="20"/>
    <n v="19.2"/>
    <n v="288"/>
    <x v="19"/>
    <d v="2025-01-22T00:00:00"/>
    <s v="O"/>
    <x v="4"/>
    <x v="1"/>
    <x v="0"/>
    <x v="26"/>
    <x v="1"/>
    <x v="3"/>
    <x v="3"/>
  </r>
  <r>
    <s v="TX500444"/>
    <x v="17"/>
    <x v="2"/>
    <n v="22.6"/>
    <n v="67.800000000000011"/>
    <x v="19"/>
    <d v="2025-01-21T00:00:00"/>
    <s v="M"/>
    <x v="1"/>
    <x v="0"/>
    <x v="0"/>
    <x v="11"/>
    <x v="3"/>
    <x v="3"/>
    <x v="1"/>
  </r>
  <r>
    <s v="TX500445"/>
    <x v="1"/>
    <x v="20"/>
    <n v="126.9"/>
    <n v="1903.5"/>
    <x v="19"/>
    <d v="2025-01-22T00:00:00"/>
    <s v="F"/>
    <x v="0"/>
    <x v="2"/>
    <x v="0"/>
    <x v="11"/>
    <x v="1"/>
    <x v="3"/>
    <x v="2"/>
  </r>
  <r>
    <s v="TX500446"/>
    <x v="2"/>
    <x v="1"/>
    <n v="100.3"/>
    <n v="200.6"/>
    <x v="19"/>
    <d v="2025-01-21T00:00:00"/>
    <s v="F"/>
    <x v="0"/>
    <x v="1"/>
    <x v="0"/>
    <x v="11"/>
    <x v="3"/>
    <x v="3"/>
    <x v="2"/>
  </r>
  <r>
    <s v="TX500447"/>
    <x v="4"/>
    <x v="16"/>
    <n v="24.6"/>
    <n v="442.8"/>
    <x v="19"/>
    <d v="2025-01-21T00:00:00"/>
    <s v="F"/>
    <x v="4"/>
    <x v="0"/>
    <x v="0"/>
    <x v="13"/>
    <x v="3"/>
    <x v="3"/>
    <x v="2"/>
  </r>
  <r>
    <s v="TX500448"/>
    <x v="6"/>
    <x v="1"/>
    <n v="47.3"/>
    <n v="94.6"/>
    <x v="19"/>
    <d v="2025-01-21T00:00:00"/>
    <s v="M"/>
    <x v="1"/>
    <x v="2"/>
    <x v="0"/>
    <x v="13"/>
    <x v="3"/>
    <x v="3"/>
    <x v="1"/>
  </r>
  <r>
    <s v="TX500449"/>
    <x v="6"/>
    <x v="3"/>
    <n v="40.799999999999997"/>
    <n v="285.59999999999997"/>
    <x v="19"/>
    <d v="2025-01-23T00:00:00"/>
    <s v="F"/>
    <x v="2"/>
    <x v="2"/>
    <x v="0"/>
    <x v="21"/>
    <x v="2"/>
    <x v="3"/>
    <x v="2"/>
  </r>
  <r>
    <s v="TX500450"/>
    <x v="8"/>
    <x v="8"/>
    <n v="49.2"/>
    <n v="393.6"/>
    <x v="19"/>
    <d v="2025-01-22T00:00:00"/>
    <s v="F"/>
    <x v="0"/>
    <x v="0"/>
    <x v="0"/>
    <x v="1"/>
    <x v="1"/>
    <x v="3"/>
    <x v="2"/>
  </r>
  <r>
    <s v="TX500451"/>
    <x v="8"/>
    <x v="0"/>
    <n v="28.5"/>
    <n v="28.5"/>
    <x v="19"/>
    <d v="2025-01-22T00:00:00"/>
    <m/>
    <x v="2"/>
    <x v="1"/>
    <x v="0"/>
    <x v="3"/>
    <x v="1"/>
    <x v="3"/>
    <x v="0"/>
  </r>
  <r>
    <s v="TX500452"/>
    <x v="18"/>
    <x v="1"/>
    <n v="36.799999999999997"/>
    <n v="73.599999999999994"/>
    <x v="19"/>
    <d v="2025-01-26T00:00:00"/>
    <s v="F"/>
    <x v="0"/>
    <x v="2"/>
    <x v="0"/>
    <x v="3"/>
    <x v="4"/>
    <x v="3"/>
    <x v="2"/>
  </r>
  <r>
    <s v="TX500453"/>
    <x v="7"/>
    <x v="2"/>
    <n v="33.5"/>
    <n v="100.5"/>
    <x v="19"/>
    <d v="2025-01-21T00:00:00"/>
    <s v="F"/>
    <x v="0"/>
    <x v="1"/>
    <x v="0"/>
    <x v="3"/>
    <x v="3"/>
    <x v="3"/>
    <x v="2"/>
  </r>
  <r>
    <s v="TX500454"/>
    <x v="6"/>
    <x v="13"/>
    <n v="62.5"/>
    <n v="375"/>
    <x v="19"/>
    <d v="2025-01-22T00:00:00"/>
    <s v="F"/>
    <x v="0"/>
    <x v="0"/>
    <x v="0"/>
    <x v="3"/>
    <x v="1"/>
    <x v="3"/>
    <x v="2"/>
  </r>
  <r>
    <s v="TX500455"/>
    <x v="8"/>
    <x v="29"/>
    <n v="47.9"/>
    <n v="1916"/>
    <x v="19"/>
    <d v="2025-01-21T00:00:00"/>
    <s v="F"/>
    <x v="3"/>
    <x v="0"/>
    <x v="0"/>
    <x v="3"/>
    <x v="3"/>
    <x v="3"/>
    <x v="2"/>
  </r>
  <r>
    <s v="TX500456"/>
    <x v="6"/>
    <x v="13"/>
    <n v="92.9"/>
    <n v="557.40000000000009"/>
    <x v="19"/>
    <d v="2025-01-31T00:00:00"/>
    <s v="F"/>
    <x v="0"/>
    <x v="4"/>
    <x v="0"/>
    <x v="3"/>
    <x v="11"/>
    <x v="3"/>
    <x v="2"/>
  </r>
  <r>
    <s v="TX500457"/>
    <x v="12"/>
    <x v="2"/>
    <n v="44.1"/>
    <n v="132.30000000000001"/>
    <x v="19"/>
    <d v="2025-01-20T00:00:00"/>
    <s v="F"/>
    <x v="1"/>
    <x v="1"/>
    <x v="0"/>
    <x v="43"/>
    <x v="7"/>
    <x v="3"/>
    <x v="2"/>
  </r>
  <r>
    <s v="TX500458"/>
    <x v="0"/>
    <x v="0"/>
    <n v="11.4"/>
    <n v="11.4"/>
    <x v="20"/>
    <d v="2025-01-23T00:00:00"/>
    <s v="F"/>
    <x v="2"/>
    <x v="0"/>
    <x v="0"/>
    <x v="5"/>
    <x v="1"/>
    <x v="3"/>
    <x v="2"/>
  </r>
  <r>
    <s v="TX500459"/>
    <x v="6"/>
    <x v="0"/>
    <n v="83.7"/>
    <n v="83.7"/>
    <x v="20"/>
    <d v="2025-01-23T00:00:00"/>
    <s v="F"/>
    <x v="0"/>
    <x v="2"/>
    <x v="0"/>
    <x v="6"/>
    <x v="1"/>
    <x v="3"/>
    <x v="2"/>
  </r>
  <r>
    <s v="TX500460"/>
    <x v="10"/>
    <x v="1"/>
    <n v="23.2"/>
    <n v="46.4"/>
    <x v="20"/>
    <d v="2025-01-22T00:00:00"/>
    <s v="M"/>
    <x v="2"/>
    <x v="0"/>
    <x v="0"/>
    <x v="8"/>
    <x v="3"/>
    <x v="3"/>
    <x v="1"/>
  </r>
  <r>
    <s v="TX500461"/>
    <x v="2"/>
    <x v="0"/>
    <n v="162.1"/>
    <n v="162.1"/>
    <x v="20"/>
    <d v="2025-01-24T00:00:00"/>
    <s v="F"/>
    <x v="0"/>
    <x v="2"/>
    <x v="0"/>
    <x v="9"/>
    <x v="2"/>
    <x v="3"/>
    <x v="2"/>
  </r>
  <r>
    <s v="TX500462"/>
    <x v="6"/>
    <x v="12"/>
    <n v="49.2"/>
    <n v="196.8"/>
    <x v="20"/>
    <d v="2025-01-25T00:00:00"/>
    <s v="M"/>
    <x v="1"/>
    <x v="0"/>
    <x v="0"/>
    <x v="9"/>
    <x v="5"/>
    <x v="3"/>
    <x v="1"/>
  </r>
  <r>
    <s v="TX500463"/>
    <x v="1"/>
    <x v="1"/>
    <n v="61"/>
    <n v="122"/>
    <x v="20"/>
    <d v="2025-01-22T00:00:00"/>
    <s v="M"/>
    <x v="3"/>
    <x v="0"/>
    <x v="0"/>
    <x v="10"/>
    <x v="3"/>
    <x v="3"/>
    <x v="1"/>
  </r>
  <r>
    <s v="TX500464"/>
    <x v="2"/>
    <x v="7"/>
    <n v="53.1"/>
    <n v="531"/>
    <x v="20"/>
    <d v="2025-01-23T00:00:00"/>
    <s v="M"/>
    <x v="0"/>
    <x v="0"/>
    <x v="0"/>
    <x v="11"/>
    <x v="1"/>
    <x v="3"/>
    <x v="1"/>
  </r>
  <r>
    <s v="TX500465"/>
    <x v="4"/>
    <x v="1"/>
    <n v="22.4"/>
    <n v="44.8"/>
    <x v="20"/>
    <d v="2025-01-23T00:00:00"/>
    <m/>
    <x v="1"/>
    <x v="2"/>
    <x v="0"/>
    <x v="13"/>
    <x v="1"/>
    <x v="3"/>
    <x v="0"/>
  </r>
  <r>
    <s v="TX500466"/>
    <x v="1"/>
    <x v="9"/>
    <n v="75.3"/>
    <n v="376.5"/>
    <x v="20"/>
    <d v="2025-01-22T00:00:00"/>
    <s v="M"/>
    <x v="0"/>
    <x v="0"/>
    <x v="0"/>
    <x v="21"/>
    <x v="3"/>
    <x v="3"/>
    <x v="1"/>
  </r>
  <r>
    <s v="TX500467"/>
    <x v="6"/>
    <x v="0"/>
    <n v="48.5"/>
    <n v="48.5"/>
    <x v="20"/>
    <d v="2025-01-22T00:00:00"/>
    <s v="F"/>
    <x v="0"/>
    <x v="1"/>
    <x v="0"/>
    <x v="21"/>
    <x v="3"/>
    <x v="3"/>
    <x v="2"/>
  </r>
  <r>
    <s v="TX500468"/>
    <x v="6"/>
    <x v="0"/>
    <n v="42.6"/>
    <n v="42.6"/>
    <x v="20"/>
    <d v="2025-01-25T00:00:00"/>
    <s v="F"/>
    <x v="3"/>
    <x v="0"/>
    <x v="0"/>
    <x v="1"/>
    <x v="5"/>
    <x v="3"/>
    <x v="2"/>
  </r>
  <r>
    <s v="TX500469"/>
    <x v="5"/>
    <x v="9"/>
    <n v="49"/>
    <n v="245"/>
    <x v="20"/>
    <d v="2025-01-22T00:00:00"/>
    <s v="M"/>
    <x v="0"/>
    <x v="0"/>
    <x v="0"/>
    <x v="22"/>
    <x v="3"/>
    <x v="3"/>
    <x v="1"/>
  </r>
  <r>
    <s v="TX500470"/>
    <x v="8"/>
    <x v="2"/>
    <n v="31.3"/>
    <n v="93.9"/>
    <x v="20"/>
    <d v="2025-01-22T00:00:00"/>
    <s v="M"/>
    <x v="2"/>
    <x v="1"/>
    <x v="0"/>
    <x v="3"/>
    <x v="3"/>
    <x v="3"/>
    <x v="1"/>
  </r>
  <r>
    <s v="TX500471"/>
    <x v="2"/>
    <x v="1"/>
    <n v="85.4"/>
    <n v="170.8"/>
    <x v="20"/>
    <d v="2025-01-22T00:00:00"/>
    <s v="F"/>
    <x v="2"/>
    <x v="0"/>
    <x v="0"/>
    <x v="3"/>
    <x v="3"/>
    <x v="3"/>
    <x v="2"/>
  </r>
  <r>
    <s v="TX500472"/>
    <x v="8"/>
    <x v="12"/>
    <n v="40"/>
    <n v="160"/>
    <x v="20"/>
    <d v="2025-01-22T00:00:00"/>
    <s v="O"/>
    <x v="0"/>
    <x v="2"/>
    <x v="0"/>
    <x v="3"/>
    <x v="3"/>
    <x v="3"/>
    <x v="3"/>
  </r>
  <r>
    <s v="TX500473"/>
    <x v="5"/>
    <x v="1"/>
    <n v="38.5"/>
    <n v="77"/>
    <x v="20"/>
    <d v="2025-01-24T00:00:00"/>
    <s v="M"/>
    <x v="1"/>
    <x v="2"/>
    <x v="0"/>
    <x v="3"/>
    <x v="2"/>
    <x v="3"/>
    <x v="1"/>
  </r>
  <r>
    <s v="TX500474"/>
    <x v="2"/>
    <x v="1"/>
    <n v="57.8"/>
    <n v="115.6"/>
    <x v="20"/>
    <d v="2025-01-22T00:00:00"/>
    <m/>
    <x v="0"/>
    <x v="0"/>
    <x v="0"/>
    <x v="3"/>
    <x v="3"/>
    <x v="3"/>
    <x v="0"/>
  </r>
  <r>
    <s v="TX500475"/>
    <x v="8"/>
    <x v="0"/>
    <n v="19.2"/>
    <n v="19.2"/>
    <x v="20"/>
    <d v="2025-01-22T00:00:00"/>
    <s v="F"/>
    <x v="0"/>
    <x v="4"/>
    <x v="0"/>
    <x v="3"/>
    <x v="3"/>
    <x v="3"/>
    <x v="2"/>
  </r>
  <r>
    <s v="TX500476"/>
    <x v="6"/>
    <x v="13"/>
    <n v="114.8"/>
    <n v="688.8"/>
    <x v="20"/>
    <d v="2025-01-24T00:00:00"/>
    <s v="M"/>
    <x v="1"/>
    <x v="1"/>
    <x v="0"/>
    <x v="3"/>
    <x v="2"/>
    <x v="3"/>
    <x v="1"/>
  </r>
  <r>
    <s v="TX500477"/>
    <x v="10"/>
    <x v="3"/>
    <n v="48.4"/>
    <n v="338.8"/>
    <x v="20"/>
    <d v="2025-01-24T00:00:00"/>
    <s v="F"/>
    <x v="3"/>
    <x v="1"/>
    <x v="0"/>
    <x v="3"/>
    <x v="2"/>
    <x v="3"/>
    <x v="2"/>
  </r>
  <r>
    <s v="TX500478"/>
    <x v="9"/>
    <x v="9"/>
    <n v="73.2"/>
    <n v="366"/>
    <x v="20"/>
    <d v="2025-01-22T00:00:00"/>
    <s v="F"/>
    <x v="1"/>
    <x v="4"/>
    <x v="0"/>
    <x v="3"/>
    <x v="3"/>
    <x v="3"/>
    <x v="2"/>
  </r>
  <r>
    <s v="TX500479"/>
    <x v="15"/>
    <x v="1"/>
    <n v="48.6"/>
    <n v="97.2"/>
    <x v="20"/>
    <d v="2025-01-25T00:00:00"/>
    <s v="F"/>
    <x v="3"/>
    <x v="0"/>
    <x v="0"/>
    <x v="3"/>
    <x v="5"/>
    <x v="3"/>
    <x v="2"/>
  </r>
  <r>
    <s v="TX500480"/>
    <x v="0"/>
    <x v="13"/>
    <n v="48.7"/>
    <n v="292.20000000000005"/>
    <x v="20"/>
    <d v="2025-01-22T00:00:00"/>
    <s v="M"/>
    <x v="0"/>
    <x v="0"/>
    <x v="0"/>
    <x v="3"/>
    <x v="3"/>
    <x v="3"/>
    <x v="1"/>
  </r>
  <r>
    <s v="TX500481"/>
    <x v="4"/>
    <x v="1"/>
    <n v="32.200000000000003"/>
    <n v="64.400000000000006"/>
    <x v="20"/>
    <d v="2025-01-24T00:00:00"/>
    <s v="M"/>
    <x v="2"/>
    <x v="2"/>
    <x v="0"/>
    <x v="3"/>
    <x v="2"/>
    <x v="3"/>
    <x v="1"/>
  </r>
  <r>
    <s v="TX500482"/>
    <x v="15"/>
    <x v="8"/>
    <n v="25.8"/>
    <n v="206.4"/>
    <x v="20"/>
    <d v="2025-01-22T00:00:00"/>
    <s v="M"/>
    <x v="0"/>
    <x v="0"/>
    <x v="0"/>
    <x v="37"/>
    <x v="3"/>
    <x v="3"/>
    <x v="1"/>
  </r>
  <r>
    <s v="TX500483"/>
    <x v="6"/>
    <x v="1"/>
    <n v="94.8"/>
    <n v="189.6"/>
    <x v="21"/>
    <d v="2025-01-25T00:00:00"/>
    <s v="F"/>
    <x v="1"/>
    <x v="1"/>
    <x v="0"/>
    <x v="25"/>
    <x v="2"/>
    <x v="3"/>
    <x v="2"/>
  </r>
  <r>
    <s v="TX500484"/>
    <x v="15"/>
    <x v="30"/>
    <n v="56.8"/>
    <n v="1420"/>
    <x v="21"/>
    <d v="2025-01-25T00:00:00"/>
    <s v="M"/>
    <x v="0"/>
    <x v="0"/>
    <x v="0"/>
    <x v="25"/>
    <x v="2"/>
    <x v="3"/>
    <x v="1"/>
  </r>
  <r>
    <s v="TX500485"/>
    <x v="8"/>
    <x v="27"/>
    <n v="18.3"/>
    <n v="292.8"/>
    <x v="21"/>
    <d v="2025-01-29T00:00:00"/>
    <s v="F"/>
    <x v="2"/>
    <x v="2"/>
    <x v="0"/>
    <x v="23"/>
    <x v="6"/>
    <x v="3"/>
    <x v="2"/>
  </r>
  <r>
    <s v="TX500486"/>
    <x v="0"/>
    <x v="2"/>
    <n v="16.8"/>
    <n v="50.400000000000006"/>
    <x v="21"/>
    <d v="2025-01-27T00:00:00"/>
    <s v="F"/>
    <x v="2"/>
    <x v="2"/>
    <x v="0"/>
    <x v="8"/>
    <x v="0"/>
    <x v="3"/>
    <x v="2"/>
  </r>
  <r>
    <s v="TX500487"/>
    <x v="5"/>
    <x v="5"/>
    <n v="35.799999999999997"/>
    <n v="393.79999999999995"/>
    <x v="21"/>
    <d v="2025-01-23T00:00:00"/>
    <s v="M"/>
    <x v="1"/>
    <x v="0"/>
    <x v="0"/>
    <x v="17"/>
    <x v="3"/>
    <x v="3"/>
    <x v="1"/>
  </r>
  <r>
    <s v="TX500488"/>
    <x v="18"/>
    <x v="0"/>
    <n v="64.900000000000006"/>
    <n v="64.900000000000006"/>
    <x v="21"/>
    <d v="2025-01-23T00:00:00"/>
    <s v="M"/>
    <x v="0"/>
    <x v="1"/>
    <x v="0"/>
    <x v="17"/>
    <x v="3"/>
    <x v="3"/>
    <x v="1"/>
  </r>
  <r>
    <s v="TX500489"/>
    <x v="18"/>
    <x v="0"/>
    <n v="28.5"/>
    <n v="28.5"/>
    <x v="21"/>
    <d v="2025-01-24T00:00:00"/>
    <m/>
    <x v="1"/>
    <x v="0"/>
    <x v="0"/>
    <x v="9"/>
    <x v="1"/>
    <x v="3"/>
    <x v="0"/>
  </r>
  <r>
    <s v="TX500490"/>
    <x v="18"/>
    <x v="1"/>
    <n v="103.5"/>
    <n v="207"/>
    <x v="21"/>
    <d v="2025-01-24T00:00:00"/>
    <s v="F"/>
    <x v="1"/>
    <x v="0"/>
    <x v="0"/>
    <x v="10"/>
    <x v="1"/>
    <x v="3"/>
    <x v="2"/>
  </r>
  <r>
    <s v="TX500491"/>
    <x v="4"/>
    <x v="1"/>
    <n v="41.2"/>
    <n v="82.4"/>
    <x v="21"/>
    <d v="2025-01-23T00:00:00"/>
    <s v="F"/>
    <x v="1"/>
    <x v="0"/>
    <x v="0"/>
    <x v="10"/>
    <x v="3"/>
    <x v="3"/>
    <x v="2"/>
  </r>
  <r>
    <s v="TX500492"/>
    <x v="9"/>
    <x v="0"/>
    <n v="37.799999999999997"/>
    <n v="37.799999999999997"/>
    <x v="21"/>
    <d v="2025-01-24T00:00:00"/>
    <s v="F"/>
    <x v="3"/>
    <x v="3"/>
    <x v="0"/>
    <x v="11"/>
    <x v="1"/>
    <x v="3"/>
    <x v="2"/>
  </r>
  <r>
    <s v="TX500493"/>
    <x v="8"/>
    <x v="1"/>
    <n v="42.6"/>
    <n v="85.2"/>
    <x v="21"/>
    <d v="2025-01-24T00:00:00"/>
    <s v="F"/>
    <x v="4"/>
    <x v="0"/>
    <x v="0"/>
    <x v="11"/>
    <x v="1"/>
    <x v="3"/>
    <x v="2"/>
  </r>
  <r>
    <s v="TX500494"/>
    <x v="8"/>
    <x v="7"/>
    <n v="15.2"/>
    <n v="152"/>
    <x v="21"/>
    <d v="2025-01-24T00:00:00"/>
    <s v="F"/>
    <x v="2"/>
    <x v="0"/>
    <x v="0"/>
    <x v="11"/>
    <x v="1"/>
    <x v="3"/>
    <x v="2"/>
  </r>
  <r>
    <s v="TX500495"/>
    <x v="7"/>
    <x v="12"/>
    <n v="83.4"/>
    <n v="333.6"/>
    <x v="21"/>
    <d v="2025-01-23T00:00:00"/>
    <s v="F"/>
    <x v="2"/>
    <x v="1"/>
    <x v="0"/>
    <x v="18"/>
    <x v="3"/>
    <x v="3"/>
    <x v="2"/>
  </r>
  <r>
    <s v="TX500496"/>
    <x v="19"/>
    <x v="1"/>
    <n v="27.7"/>
    <n v="55.4"/>
    <x v="21"/>
    <d v="2025-01-23T00:00:00"/>
    <s v="F"/>
    <x v="0"/>
    <x v="1"/>
    <x v="0"/>
    <x v="13"/>
    <x v="3"/>
    <x v="3"/>
    <x v="2"/>
  </r>
  <r>
    <s v="TX500497"/>
    <x v="10"/>
    <x v="4"/>
    <n v="20.8"/>
    <n v="249.60000000000002"/>
    <x v="21"/>
    <d v="2025-01-23T00:00:00"/>
    <s v="M"/>
    <x v="3"/>
    <x v="0"/>
    <x v="0"/>
    <x v="13"/>
    <x v="3"/>
    <x v="3"/>
    <x v="1"/>
  </r>
  <r>
    <s v="TX500498"/>
    <x v="11"/>
    <x v="1"/>
    <n v="72.7"/>
    <n v="145.4"/>
    <x v="21"/>
    <d v="2025-01-26T00:00:00"/>
    <s v="F"/>
    <x v="4"/>
    <x v="2"/>
    <x v="0"/>
    <x v="44"/>
    <x v="5"/>
    <x v="3"/>
    <x v="2"/>
  </r>
  <r>
    <s v="TX500499"/>
    <x v="10"/>
    <x v="12"/>
    <n v="38.6"/>
    <n v="154.4"/>
    <x v="21"/>
    <d v="2025-01-23T00:00:00"/>
    <s v="M"/>
    <x v="0"/>
    <x v="2"/>
    <x v="0"/>
    <x v="22"/>
    <x v="3"/>
    <x v="3"/>
    <x v="1"/>
  </r>
  <r>
    <s v="TX500500"/>
    <x v="8"/>
    <x v="3"/>
    <n v="33.1"/>
    <n v="231.70000000000002"/>
    <x v="21"/>
    <d v="2025-01-23T00:00:00"/>
    <s v="O"/>
    <x v="4"/>
    <x v="3"/>
    <x v="0"/>
    <x v="3"/>
    <x v="3"/>
    <x v="3"/>
    <x v="3"/>
  </r>
  <r>
    <s v="TX500501"/>
    <x v="10"/>
    <x v="1"/>
    <n v="30.5"/>
    <n v="61"/>
    <x v="21"/>
    <d v="2025-01-22T00:00:00"/>
    <m/>
    <x v="1"/>
    <x v="1"/>
    <x v="0"/>
    <x v="3"/>
    <x v="7"/>
    <x v="3"/>
    <x v="0"/>
  </r>
  <r>
    <s v="TX500502"/>
    <x v="9"/>
    <x v="1"/>
    <n v="69.599999999999994"/>
    <n v="139.19999999999999"/>
    <x v="21"/>
    <d v="2025-01-23T00:00:00"/>
    <s v="M"/>
    <x v="0"/>
    <x v="1"/>
    <x v="0"/>
    <x v="3"/>
    <x v="3"/>
    <x v="3"/>
    <x v="1"/>
  </r>
  <r>
    <s v="TX500503"/>
    <x v="11"/>
    <x v="0"/>
    <n v="42.4"/>
    <n v="42.4"/>
    <x v="21"/>
    <d v="2025-01-26T00:00:00"/>
    <s v="F"/>
    <x v="1"/>
    <x v="0"/>
    <x v="0"/>
    <x v="3"/>
    <x v="5"/>
    <x v="3"/>
    <x v="2"/>
  </r>
  <r>
    <s v="TX500504"/>
    <x v="17"/>
    <x v="0"/>
    <n v="32.200000000000003"/>
    <n v="32.200000000000003"/>
    <x v="21"/>
    <d v="2025-01-25T00:00:00"/>
    <s v="F"/>
    <x v="2"/>
    <x v="1"/>
    <x v="0"/>
    <x v="3"/>
    <x v="2"/>
    <x v="3"/>
    <x v="2"/>
  </r>
  <r>
    <s v="TX500505"/>
    <x v="6"/>
    <x v="1"/>
    <n v="41.5"/>
    <n v="83"/>
    <x v="21"/>
    <d v="2025-01-25T00:00:00"/>
    <s v="F"/>
    <x v="0"/>
    <x v="2"/>
    <x v="0"/>
    <x v="3"/>
    <x v="2"/>
    <x v="3"/>
    <x v="2"/>
  </r>
  <r>
    <s v="TX500506"/>
    <x v="16"/>
    <x v="11"/>
    <n v="58.9"/>
    <n v="530.1"/>
    <x v="21"/>
    <d v="2025-01-26T00:00:00"/>
    <s v="F"/>
    <x v="3"/>
    <x v="0"/>
    <x v="0"/>
    <x v="3"/>
    <x v="5"/>
    <x v="3"/>
    <x v="2"/>
  </r>
  <r>
    <s v="TX500507"/>
    <x v="2"/>
    <x v="0"/>
    <n v="57.1"/>
    <n v="57.1"/>
    <x v="21"/>
    <d v="2025-01-25T00:00:00"/>
    <s v="F"/>
    <x v="1"/>
    <x v="0"/>
    <x v="0"/>
    <x v="3"/>
    <x v="2"/>
    <x v="3"/>
    <x v="2"/>
  </r>
  <r>
    <s v="TX500508"/>
    <x v="6"/>
    <x v="0"/>
    <n v="57.2"/>
    <n v="57.2"/>
    <x v="21"/>
    <d v="2025-01-24T00:00:00"/>
    <s v="M"/>
    <x v="1"/>
    <x v="0"/>
    <x v="0"/>
    <x v="3"/>
    <x v="1"/>
    <x v="3"/>
    <x v="1"/>
  </r>
  <r>
    <s v="TX500509"/>
    <x v="8"/>
    <x v="1"/>
    <n v="35.1"/>
    <n v="70.2"/>
    <x v="21"/>
    <d v="2025-01-23T00:00:00"/>
    <s v="M"/>
    <x v="1"/>
    <x v="0"/>
    <x v="0"/>
    <x v="6"/>
    <x v="3"/>
    <x v="3"/>
    <x v="1"/>
  </r>
  <r>
    <s v="TX500510"/>
    <x v="1"/>
    <x v="0"/>
    <n v="52.1"/>
    <n v="52.1"/>
    <x v="21"/>
    <d v="2025-01-24T00:00:00"/>
    <s v="F"/>
    <x v="4"/>
    <x v="1"/>
    <x v="0"/>
    <x v="8"/>
    <x v="1"/>
    <x v="3"/>
    <x v="2"/>
  </r>
  <r>
    <s v="TX500511"/>
    <x v="13"/>
    <x v="2"/>
    <n v="59.8"/>
    <n v="179.39999999999998"/>
    <x v="21"/>
    <d v="2025-01-24T00:00:00"/>
    <s v="F"/>
    <x v="4"/>
    <x v="1"/>
    <x v="0"/>
    <x v="8"/>
    <x v="1"/>
    <x v="3"/>
    <x v="2"/>
  </r>
  <r>
    <s v="TX500512"/>
    <x v="3"/>
    <x v="12"/>
    <n v="83.3"/>
    <n v="333.2"/>
    <x v="21"/>
    <d v="2025-01-22T00:00:00"/>
    <m/>
    <x v="2"/>
    <x v="0"/>
    <x v="0"/>
    <x v="8"/>
    <x v="7"/>
    <x v="3"/>
    <x v="0"/>
  </r>
  <r>
    <s v="TX500513"/>
    <x v="15"/>
    <x v="4"/>
    <n v="41.3"/>
    <n v="495.59999999999997"/>
    <x v="21"/>
    <d v="2025-01-23T00:00:00"/>
    <s v="F"/>
    <x v="1"/>
    <x v="0"/>
    <x v="0"/>
    <x v="8"/>
    <x v="3"/>
    <x v="3"/>
    <x v="2"/>
  </r>
  <r>
    <s v="TX500514"/>
    <x v="8"/>
    <x v="9"/>
    <n v="16"/>
    <n v="80"/>
    <x v="21"/>
    <d v="2025-01-24T00:00:00"/>
    <s v="M"/>
    <x v="4"/>
    <x v="1"/>
    <x v="0"/>
    <x v="9"/>
    <x v="1"/>
    <x v="3"/>
    <x v="1"/>
  </r>
  <r>
    <s v="TX500515"/>
    <x v="10"/>
    <x v="1"/>
    <n v="20.8"/>
    <n v="41.6"/>
    <x v="22"/>
    <d v="2025-01-25T00:00:00"/>
    <s v="M"/>
    <x v="0"/>
    <x v="2"/>
    <x v="0"/>
    <x v="11"/>
    <x v="1"/>
    <x v="3"/>
    <x v="1"/>
  </r>
  <r>
    <s v="TX500516"/>
    <x v="8"/>
    <x v="31"/>
    <n v="27.1"/>
    <n v="758.80000000000007"/>
    <x v="22"/>
    <d v="2025-01-24T00:00:00"/>
    <m/>
    <x v="3"/>
    <x v="2"/>
    <x v="0"/>
    <x v="11"/>
    <x v="3"/>
    <x v="3"/>
    <x v="0"/>
  </r>
  <r>
    <s v="TX500517"/>
    <x v="10"/>
    <x v="1"/>
    <n v="38.9"/>
    <n v="77.8"/>
    <x v="22"/>
    <d v="2025-01-25T00:00:00"/>
    <s v="F"/>
    <x v="0"/>
    <x v="0"/>
    <x v="0"/>
    <x v="18"/>
    <x v="1"/>
    <x v="3"/>
    <x v="2"/>
  </r>
  <r>
    <s v="TX500518"/>
    <x v="0"/>
    <x v="1"/>
    <n v="10.8"/>
    <n v="21.6"/>
    <x v="22"/>
    <d v="2025-01-26T00:00:00"/>
    <s v="F"/>
    <x v="1"/>
    <x v="2"/>
    <x v="0"/>
    <x v="45"/>
    <x v="2"/>
    <x v="3"/>
    <x v="2"/>
  </r>
  <r>
    <s v="TX500519"/>
    <x v="4"/>
    <x v="15"/>
    <n v="48.4"/>
    <n v="629.19999999999993"/>
    <x v="22"/>
    <d v="2025-01-27T00:00:00"/>
    <s v="F"/>
    <x v="0"/>
    <x v="0"/>
    <x v="0"/>
    <x v="21"/>
    <x v="5"/>
    <x v="3"/>
    <x v="2"/>
  </r>
  <r>
    <s v="TX500520"/>
    <x v="4"/>
    <x v="2"/>
    <n v="29.2"/>
    <n v="87.6"/>
    <x v="22"/>
    <d v="2025-01-26T00:00:00"/>
    <s v="F"/>
    <x v="1"/>
    <x v="1"/>
    <x v="0"/>
    <x v="2"/>
    <x v="2"/>
    <x v="3"/>
    <x v="2"/>
  </r>
  <r>
    <s v="TX500521"/>
    <x v="4"/>
    <x v="1"/>
    <n v="25.1"/>
    <n v="50.2"/>
    <x v="22"/>
    <d v="2025-01-24T00:00:00"/>
    <s v="M"/>
    <x v="0"/>
    <x v="1"/>
    <x v="0"/>
    <x v="2"/>
    <x v="3"/>
    <x v="3"/>
    <x v="1"/>
  </r>
  <r>
    <s v="TX500522"/>
    <x v="7"/>
    <x v="2"/>
    <n v="65.599999999999994"/>
    <n v="196.79999999999998"/>
    <x v="22"/>
    <d v="2025-01-23T00:00:00"/>
    <s v="F"/>
    <x v="2"/>
    <x v="1"/>
    <x v="0"/>
    <x v="3"/>
    <x v="7"/>
    <x v="3"/>
    <x v="2"/>
  </r>
  <r>
    <s v="TX500523"/>
    <x v="2"/>
    <x v="1"/>
    <n v="57.3"/>
    <n v="114.6"/>
    <x v="22"/>
    <d v="2025-01-23T00:00:00"/>
    <m/>
    <x v="0"/>
    <x v="0"/>
    <x v="0"/>
    <x v="3"/>
    <x v="7"/>
    <x v="3"/>
    <x v="0"/>
  </r>
  <r>
    <s v="TX500524"/>
    <x v="9"/>
    <x v="12"/>
    <n v="22.4"/>
    <n v="89.6"/>
    <x v="22"/>
    <d v="2025-01-24T00:00:00"/>
    <s v="F"/>
    <x v="2"/>
    <x v="2"/>
    <x v="0"/>
    <x v="3"/>
    <x v="3"/>
    <x v="3"/>
    <x v="2"/>
  </r>
  <r>
    <s v="TX500525"/>
    <x v="12"/>
    <x v="11"/>
    <n v="45.7"/>
    <n v="411.3"/>
    <x v="22"/>
    <d v="2025-01-24T00:00:00"/>
    <s v="F"/>
    <x v="0"/>
    <x v="0"/>
    <x v="0"/>
    <x v="3"/>
    <x v="3"/>
    <x v="3"/>
    <x v="2"/>
  </r>
  <r>
    <s v="TX500526"/>
    <x v="8"/>
    <x v="1"/>
    <n v="29.3"/>
    <n v="58.6"/>
    <x v="22"/>
    <d v="2025-01-24T00:00:00"/>
    <s v="M"/>
    <x v="1"/>
    <x v="0"/>
    <x v="0"/>
    <x v="3"/>
    <x v="3"/>
    <x v="3"/>
    <x v="1"/>
  </r>
  <r>
    <s v="TX500527"/>
    <x v="18"/>
    <x v="32"/>
    <n v="74"/>
    <n v="1628"/>
    <x v="22"/>
    <d v="2025-01-24T00:00:00"/>
    <s v="M"/>
    <x v="0"/>
    <x v="2"/>
    <x v="0"/>
    <x v="3"/>
    <x v="3"/>
    <x v="3"/>
    <x v="1"/>
  </r>
  <r>
    <s v="TX500528"/>
    <x v="14"/>
    <x v="1"/>
    <n v="39.200000000000003"/>
    <n v="78.400000000000006"/>
    <x v="22"/>
    <d v="2025-01-25T00:00:00"/>
    <s v="F"/>
    <x v="1"/>
    <x v="0"/>
    <x v="0"/>
    <x v="3"/>
    <x v="1"/>
    <x v="3"/>
    <x v="2"/>
  </r>
  <r>
    <s v="TX500529"/>
    <x v="4"/>
    <x v="14"/>
    <n v="62.7"/>
    <n v="1065.9000000000001"/>
    <x v="22"/>
    <d v="2025-01-24T00:00:00"/>
    <s v="F"/>
    <x v="2"/>
    <x v="1"/>
    <x v="0"/>
    <x v="3"/>
    <x v="3"/>
    <x v="3"/>
    <x v="2"/>
  </r>
  <r>
    <s v="TX500530"/>
    <x v="10"/>
    <x v="1"/>
    <n v="60.1"/>
    <n v="120.2"/>
    <x v="22"/>
    <d v="2025-01-24T00:00:00"/>
    <s v="F"/>
    <x v="3"/>
    <x v="0"/>
    <x v="0"/>
    <x v="3"/>
    <x v="3"/>
    <x v="3"/>
    <x v="2"/>
  </r>
  <r>
    <s v="TX500531"/>
    <x v="0"/>
    <x v="12"/>
    <n v="11.2"/>
    <n v="44.8"/>
    <x v="22"/>
    <d v="2025-01-24T00:00:00"/>
    <s v="F"/>
    <x v="3"/>
    <x v="1"/>
    <x v="0"/>
    <x v="3"/>
    <x v="3"/>
    <x v="3"/>
    <x v="2"/>
  </r>
  <r>
    <s v="TX500532"/>
    <x v="8"/>
    <x v="1"/>
    <n v="22.9"/>
    <n v="45.8"/>
    <x v="22"/>
    <d v="2025-01-24T00:00:00"/>
    <s v="F"/>
    <x v="0"/>
    <x v="0"/>
    <x v="0"/>
    <x v="6"/>
    <x v="3"/>
    <x v="3"/>
    <x v="2"/>
  </r>
  <r>
    <s v="TX500533"/>
    <x v="1"/>
    <x v="1"/>
    <n v="37.6"/>
    <n v="75.2"/>
    <x v="22"/>
    <d v="2025-01-26T00:00:00"/>
    <s v="F"/>
    <x v="0"/>
    <x v="0"/>
    <x v="0"/>
    <x v="6"/>
    <x v="2"/>
    <x v="3"/>
    <x v="2"/>
  </r>
  <r>
    <s v="TX500534"/>
    <x v="6"/>
    <x v="0"/>
    <n v="42.4"/>
    <n v="42.4"/>
    <x v="22"/>
    <d v="2025-01-24T00:00:00"/>
    <s v="F"/>
    <x v="3"/>
    <x v="2"/>
    <x v="0"/>
    <x v="6"/>
    <x v="3"/>
    <x v="3"/>
    <x v="2"/>
  </r>
  <r>
    <s v="TX500535"/>
    <x v="8"/>
    <x v="1"/>
    <n v="19.600000000000001"/>
    <n v="39.200000000000003"/>
    <x v="22"/>
    <d v="2025-01-27T00:00:00"/>
    <s v="F"/>
    <x v="2"/>
    <x v="0"/>
    <x v="0"/>
    <x v="7"/>
    <x v="5"/>
    <x v="3"/>
    <x v="2"/>
  </r>
  <r>
    <s v="TX500536"/>
    <x v="9"/>
    <x v="0"/>
    <n v="90.5"/>
    <n v="90.5"/>
    <x v="22"/>
    <d v="2025-01-26T00:00:00"/>
    <s v="F"/>
    <x v="2"/>
    <x v="0"/>
    <x v="0"/>
    <x v="7"/>
    <x v="2"/>
    <x v="3"/>
    <x v="2"/>
  </r>
  <r>
    <s v="TX500537"/>
    <x v="16"/>
    <x v="5"/>
    <n v="33.9"/>
    <n v="372.9"/>
    <x v="22"/>
    <d v="2025-01-24T00:00:00"/>
    <s v="M"/>
    <x v="2"/>
    <x v="1"/>
    <x v="0"/>
    <x v="7"/>
    <x v="3"/>
    <x v="3"/>
    <x v="1"/>
  </r>
  <r>
    <s v="TX500538"/>
    <x v="0"/>
    <x v="1"/>
    <n v="32.799999999999997"/>
    <n v="65.599999999999994"/>
    <x v="22"/>
    <d v="2025-01-25T00:00:00"/>
    <s v="F"/>
    <x v="4"/>
    <x v="4"/>
    <x v="0"/>
    <x v="8"/>
    <x v="1"/>
    <x v="3"/>
    <x v="2"/>
  </r>
  <r>
    <s v="TX500539"/>
    <x v="15"/>
    <x v="0"/>
    <n v="49.9"/>
    <n v="49.9"/>
    <x v="22"/>
    <d v="2025-01-24T00:00:00"/>
    <s v="M"/>
    <x v="3"/>
    <x v="1"/>
    <x v="0"/>
    <x v="8"/>
    <x v="3"/>
    <x v="3"/>
    <x v="1"/>
  </r>
  <r>
    <s v="TX500540"/>
    <x v="7"/>
    <x v="9"/>
    <n v="79.2"/>
    <n v="396"/>
    <x v="22"/>
    <d v="2025-01-24T00:00:00"/>
    <s v="F"/>
    <x v="4"/>
    <x v="0"/>
    <x v="0"/>
    <x v="8"/>
    <x v="3"/>
    <x v="3"/>
    <x v="2"/>
  </r>
  <r>
    <s v="TX500541"/>
    <x v="8"/>
    <x v="27"/>
    <n v="19.5"/>
    <n v="312"/>
    <x v="22"/>
    <d v="2025-01-25T00:00:00"/>
    <s v="M"/>
    <x v="3"/>
    <x v="2"/>
    <x v="0"/>
    <x v="8"/>
    <x v="1"/>
    <x v="3"/>
    <x v="1"/>
  </r>
  <r>
    <s v="TX500542"/>
    <x v="8"/>
    <x v="12"/>
    <n v="18"/>
    <n v="72"/>
    <x v="22"/>
    <d v="2025-01-24T00:00:00"/>
    <s v="M"/>
    <x v="1"/>
    <x v="0"/>
    <x v="0"/>
    <x v="10"/>
    <x v="3"/>
    <x v="3"/>
    <x v="1"/>
  </r>
  <r>
    <s v="TX500543"/>
    <x v="9"/>
    <x v="2"/>
    <n v="45.9"/>
    <n v="137.69999999999999"/>
    <x v="22"/>
    <d v="2025-01-25T00:00:00"/>
    <s v="F"/>
    <x v="1"/>
    <x v="1"/>
    <x v="0"/>
    <x v="10"/>
    <x v="1"/>
    <x v="3"/>
    <x v="2"/>
  </r>
  <r>
    <s v="TX500544"/>
    <x v="11"/>
    <x v="0"/>
    <n v="41.2"/>
    <n v="41.2"/>
    <x v="22"/>
    <d v="2025-01-25T00:00:00"/>
    <s v="F"/>
    <x v="1"/>
    <x v="2"/>
    <x v="0"/>
    <x v="11"/>
    <x v="1"/>
    <x v="3"/>
    <x v="2"/>
  </r>
  <r>
    <s v="TX500545"/>
    <x v="2"/>
    <x v="7"/>
    <n v="167.2"/>
    <n v="1672"/>
    <x v="22"/>
    <d v="2025-01-25T00:00:00"/>
    <s v="F"/>
    <x v="2"/>
    <x v="2"/>
    <x v="0"/>
    <x v="32"/>
    <x v="1"/>
    <x v="3"/>
    <x v="2"/>
  </r>
  <r>
    <s v="TX500546"/>
    <x v="6"/>
    <x v="17"/>
    <n v="74.5"/>
    <n v="2235"/>
    <x v="23"/>
    <d v="2025-01-27T00:00:00"/>
    <s v="F"/>
    <x v="1"/>
    <x v="2"/>
    <x v="0"/>
    <x v="38"/>
    <x v="2"/>
    <x v="3"/>
    <x v="2"/>
  </r>
  <r>
    <s v="TX500547"/>
    <x v="7"/>
    <x v="12"/>
    <n v="39.299999999999997"/>
    <n v="157.19999999999999"/>
    <x v="23"/>
    <d v="2025-01-25T00:00:00"/>
    <m/>
    <x v="2"/>
    <x v="0"/>
    <x v="0"/>
    <x v="19"/>
    <x v="3"/>
    <x v="3"/>
    <x v="0"/>
  </r>
  <r>
    <s v="TX500548"/>
    <x v="9"/>
    <x v="0"/>
    <n v="68.5"/>
    <n v="68.5"/>
    <x v="23"/>
    <d v="2025-01-27T00:00:00"/>
    <s v="M"/>
    <x v="1"/>
    <x v="2"/>
    <x v="0"/>
    <x v="12"/>
    <x v="2"/>
    <x v="3"/>
    <x v="1"/>
  </r>
  <r>
    <s v="TX500549"/>
    <x v="0"/>
    <x v="2"/>
    <n v="22.5"/>
    <n v="67.5"/>
    <x v="23"/>
    <d v="2025-01-24T00:00:00"/>
    <s v="F"/>
    <x v="4"/>
    <x v="0"/>
    <x v="0"/>
    <x v="13"/>
    <x v="7"/>
    <x v="3"/>
    <x v="2"/>
  </r>
  <r>
    <s v="TX500550"/>
    <x v="1"/>
    <x v="0"/>
    <n v="48"/>
    <n v="48"/>
    <x v="23"/>
    <d v="2025-01-25T00:00:00"/>
    <s v="O"/>
    <x v="4"/>
    <x v="1"/>
    <x v="0"/>
    <x v="46"/>
    <x v="3"/>
    <x v="3"/>
    <x v="3"/>
  </r>
  <r>
    <s v="TX500551"/>
    <x v="6"/>
    <x v="0"/>
    <n v="94"/>
    <n v="94"/>
    <x v="23"/>
    <d v="2025-01-25T00:00:00"/>
    <s v="M"/>
    <x v="3"/>
    <x v="1"/>
    <x v="0"/>
    <x v="1"/>
    <x v="3"/>
    <x v="3"/>
    <x v="1"/>
  </r>
  <r>
    <s v="TX500552"/>
    <x v="8"/>
    <x v="2"/>
    <n v="21.9"/>
    <n v="65.699999999999989"/>
    <x v="23"/>
    <d v="2025-01-25T00:00:00"/>
    <s v="F"/>
    <x v="0"/>
    <x v="0"/>
    <x v="0"/>
    <x v="44"/>
    <x v="3"/>
    <x v="3"/>
    <x v="2"/>
  </r>
  <r>
    <s v="TX500553"/>
    <x v="6"/>
    <x v="3"/>
    <n v="64.900000000000006"/>
    <n v="454.30000000000007"/>
    <x v="23"/>
    <d v="2025-01-25T00:00:00"/>
    <s v="F"/>
    <x v="0"/>
    <x v="0"/>
    <x v="0"/>
    <x v="3"/>
    <x v="3"/>
    <x v="3"/>
    <x v="2"/>
  </r>
  <r>
    <s v="TX500554"/>
    <x v="12"/>
    <x v="0"/>
    <n v="52.9"/>
    <n v="52.9"/>
    <x v="23"/>
    <d v="2025-01-24T00:00:00"/>
    <s v="F"/>
    <x v="1"/>
    <x v="1"/>
    <x v="0"/>
    <x v="3"/>
    <x v="7"/>
    <x v="3"/>
    <x v="2"/>
  </r>
  <r>
    <s v="TX500555"/>
    <x v="8"/>
    <x v="2"/>
    <n v="25.5"/>
    <n v="76.5"/>
    <x v="23"/>
    <d v="2025-01-25T00:00:00"/>
    <s v="F"/>
    <x v="1"/>
    <x v="2"/>
    <x v="0"/>
    <x v="3"/>
    <x v="3"/>
    <x v="3"/>
    <x v="2"/>
  </r>
  <r>
    <s v="TX500556"/>
    <x v="6"/>
    <x v="2"/>
    <n v="51.9"/>
    <n v="155.69999999999999"/>
    <x v="23"/>
    <d v="2025-01-25T00:00:00"/>
    <s v="F"/>
    <x v="3"/>
    <x v="0"/>
    <x v="0"/>
    <x v="3"/>
    <x v="3"/>
    <x v="3"/>
    <x v="2"/>
  </r>
  <r>
    <s v="TX500557"/>
    <x v="5"/>
    <x v="0"/>
    <n v="46.3"/>
    <n v="46.3"/>
    <x v="23"/>
    <d v="2025-01-27T00:00:00"/>
    <s v="F"/>
    <x v="4"/>
    <x v="0"/>
    <x v="0"/>
    <x v="3"/>
    <x v="2"/>
    <x v="3"/>
    <x v="2"/>
  </r>
  <r>
    <s v="TX500558"/>
    <x v="6"/>
    <x v="1"/>
    <n v="68.2"/>
    <n v="136.4"/>
    <x v="23"/>
    <d v="2025-01-26T00:00:00"/>
    <s v="F"/>
    <x v="3"/>
    <x v="0"/>
    <x v="0"/>
    <x v="3"/>
    <x v="1"/>
    <x v="3"/>
    <x v="2"/>
  </r>
  <r>
    <s v="TX500559"/>
    <x v="1"/>
    <x v="0"/>
    <n v="40.299999999999997"/>
    <n v="40.299999999999997"/>
    <x v="23"/>
    <d v="2025-01-25T00:00:00"/>
    <s v="M"/>
    <x v="0"/>
    <x v="1"/>
    <x v="0"/>
    <x v="3"/>
    <x v="3"/>
    <x v="3"/>
    <x v="1"/>
  </r>
  <r>
    <s v="TX500560"/>
    <x v="2"/>
    <x v="2"/>
    <n v="91.3"/>
    <n v="273.89999999999998"/>
    <x v="23"/>
    <d v="2025-01-29T00:00:00"/>
    <s v="M"/>
    <x v="0"/>
    <x v="2"/>
    <x v="0"/>
    <x v="6"/>
    <x v="0"/>
    <x v="3"/>
    <x v="1"/>
  </r>
  <r>
    <s v="TX500561"/>
    <x v="0"/>
    <x v="2"/>
    <n v="11.9"/>
    <n v="35.700000000000003"/>
    <x v="23"/>
    <d v="2025-01-25T00:00:00"/>
    <s v="F"/>
    <x v="0"/>
    <x v="1"/>
    <x v="0"/>
    <x v="6"/>
    <x v="3"/>
    <x v="3"/>
    <x v="2"/>
  </r>
  <r>
    <s v="TX500562"/>
    <x v="2"/>
    <x v="1"/>
    <n v="63.5"/>
    <n v="127"/>
    <x v="23"/>
    <d v="2025-01-26T00:00:00"/>
    <s v="M"/>
    <x v="1"/>
    <x v="0"/>
    <x v="0"/>
    <x v="6"/>
    <x v="1"/>
    <x v="3"/>
    <x v="1"/>
  </r>
  <r>
    <s v="TX500563"/>
    <x v="4"/>
    <x v="1"/>
    <n v="27.1"/>
    <n v="54.2"/>
    <x v="23"/>
    <d v="2025-01-27T00:00:00"/>
    <s v="M"/>
    <x v="2"/>
    <x v="2"/>
    <x v="0"/>
    <x v="6"/>
    <x v="2"/>
    <x v="3"/>
    <x v="1"/>
  </r>
  <r>
    <s v="TX500564"/>
    <x v="1"/>
    <x v="1"/>
    <n v="82.1"/>
    <n v="164.2"/>
    <x v="24"/>
    <d v="2025-01-28T00:00:00"/>
    <s v="M"/>
    <x v="1"/>
    <x v="1"/>
    <x v="0"/>
    <x v="7"/>
    <x v="2"/>
    <x v="3"/>
    <x v="1"/>
  </r>
  <r>
    <s v="TX500565"/>
    <x v="3"/>
    <x v="9"/>
    <n v="42.9"/>
    <n v="214.5"/>
    <x v="24"/>
    <d v="2025-01-27T00:00:00"/>
    <s v="F"/>
    <x v="1"/>
    <x v="0"/>
    <x v="0"/>
    <x v="8"/>
    <x v="1"/>
    <x v="3"/>
    <x v="2"/>
  </r>
  <r>
    <s v="TX500566"/>
    <x v="8"/>
    <x v="5"/>
    <n v="37.9"/>
    <n v="416.9"/>
    <x v="24"/>
    <d v="2025-02-01T00:00:00"/>
    <s v="M"/>
    <x v="0"/>
    <x v="0"/>
    <x v="0"/>
    <x v="8"/>
    <x v="6"/>
    <x v="3"/>
    <x v="1"/>
  </r>
  <r>
    <s v="TX500567"/>
    <x v="0"/>
    <x v="0"/>
    <n v="22.4"/>
    <n v="22.4"/>
    <x v="24"/>
    <d v="2025-01-26T00:00:00"/>
    <s v="F"/>
    <x v="0"/>
    <x v="1"/>
    <x v="0"/>
    <x v="17"/>
    <x v="3"/>
    <x v="3"/>
    <x v="2"/>
  </r>
  <r>
    <s v="TX500568"/>
    <x v="2"/>
    <x v="15"/>
    <n v="79.900000000000006"/>
    <n v="1038.7"/>
    <x v="24"/>
    <d v="2025-02-07T00:00:00"/>
    <s v="F"/>
    <x v="3"/>
    <x v="1"/>
    <x v="0"/>
    <x v="11"/>
    <x v="10"/>
    <x v="3"/>
    <x v="2"/>
  </r>
  <r>
    <s v="TX500569"/>
    <x v="1"/>
    <x v="0"/>
    <n v="70.599999999999994"/>
    <n v="70.599999999999994"/>
    <x v="24"/>
    <d v="2025-01-28T00:00:00"/>
    <s v="F"/>
    <x v="0"/>
    <x v="1"/>
    <x v="0"/>
    <x v="11"/>
    <x v="2"/>
    <x v="3"/>
    <x v="2"/>
  </r>
  <r>
    <s v="TX500570"/>
    <x v="6"/>
    <x v="0"/>
    <n v="49.5"/>
    <n v="49.5"/>
    <x v="24"/>
    <d v="2025-01-27T00:00:00"/>
    <s v="M"/>
    <x v="0"/>
    <x v="0"/>
    <x v="0"/>
    <x v="13"/>
    <x v="1"/>
    <x v="3"/>
    <x v="1"/>
  </r>
  <r>
    <s v="TX500571"/>
    <x v="2"/>
    <x v="1"/>
    <n v="96.6"/>
    <n v="193.2"/>
    <x v="24"/>
    <d v="2025-01-27T00:00:00"/>
    <s v="M"/>
    <x v="0"/>
    <x v="0"/>
    <x v="0"/>
    <x v="21"/>
    <x v="1"/>
    <x v="3"/>
    <x v="1"/>
  </r>
  <r>
    <s v="TX500572"/>
    <x v="6"/>
    <x v="1"/>
    <n v="52.8"/>
    <n v="105.6"/>
    <x v="24"/>
    <d v="2025-01-26T00:00:00"/>
    <s v="F"/>
    <x v="1"/>
    <x v="1"/>
    <x v="0"/>
    <x v="21"/>
    <x v="3"/>
    <x v="3"/>
    <x v="2"/>
  </r>
  <r>
    <s v="TX500573"/>
    <x v="2"/>
    <x v="0"/>
    <n v="101.7"/>
    <n v="101.7"/>
    <x v="24"/>
    <d v="2025-01-26T00:00:00"/>
    <s v="M"/>
    <x v="0"/>
    <x v="0"/>
    <x v="0"/>
    <x v="1"/>
    <x v="3"/>
    <x v="3"/>
    <x v="1"/>
  </r>
  <r>
    <s v="TX500574"/>
    <x v="4"/>
    <x v="9"/>
    <n v="26.9"/>
    <n v="134.5"/>
    <x v="24"/>
    <d v="2025-01-30T00:00:00"/>
    <s v="F"/>
    <x v="1"/>
    <x v="1"/>
    <x v="0"/>
    <x v="22"/>
    <x v="0"/>
    <x v="3"/>
    <x v="2"/>
  </r>
  <r>
    <s v="TX500575"/>
    <x v="2"/>
    <x v="12"/>
    <n v="211"/>
    <n v="844"/>
    <x v="24"/>
    <d v="2025-01-25T00:00:00"/>
    <s v="F"/>
    <x v="1"/>
    <x v="1"/>
    <x v="0"/>
    <x v="3"/>
    <x v="7"/>
    <x v="3"/>
    <x v="2"/>
  </r>
  <r>
    <s v="TX500576"/>
    <x v="0"/>
    <x v="12"/>
    <n v="21.1"/>
    <n v="84.4"/>
    <x v="24"/>
    <d v="2025-01-28T00:00:00"/>
    <s v="M"/>
    <x v="4"/>
    <x v="0"/>
    <x v="0"/>
    <x v="3"/>
    <x v="2"/>
    <x v="3"/>
    <x v="1"/>
  </r>
  <r>
    <s v="TX500577"/>
    <x v="10"/>
    <x v="0"/>
    <n v="26.6"/>
    <n v="26.6"/>
    <x v="24"/>
    <d v="2025-01-27T00:00:00"/>
    <s v="M"/>
    <x v="0"/>
    <x v="4"/>
    <x v="0"/>
    <x v="3"/>
    <x v="1"/>
    <x v="3"/>
    <x v="1"/>
  </r>
  <r>
    <s v="TX500578"/>
    <x v="12"/>
    <x v="12"/>
    <n v="51.2"/>
    <n v="204.8"/>
    <x v="24"/>
    <d v="2025-01-26T00:00:00"/>
    <s v="F"/>
    <x v="3"/>
    <x v="0"/>
    <x v="0"/>
    <x v="47"/>
    <x v="3"/>
    <x v="3"/>
    <x v="2"/>
  </r>
  <r>
    <s v="TX500579"/>
    <x v="0"/>
    <x v="9"/>
    <n v="10.6"/>
    <n v="53"/>
    <x v="24"/>
    <d v="2025-01-29T00:00:00"/>
    <s v="F"/>
    <x v="0"/>
    <x v="0"/>
    <x v="0"/>
    <x v="8"/>
    <x v="5"/>
    <x v="3"/>
    <x v="2"/>
  </r>
  <r>
    <s v="TX500580"/>
    <x v="6"/>
    <x v="2"/>
    <n v="43.4"/>
    <n v="130.19999999999999"/>
    <x v="24"/>
    <d v="2025-01-28T00:00:00"/>
    <s v="F"/>
    <x v="4"/>
    <x v="0"/>
    <x v="0"/>
    <x v="8"/>
    <x v="2"/>
    <x v="3"/>
    <x v="2"/>
  </r>
  <r>
    <s v="TX500581"/>
    <x v="12"/>
    <x v="0"/>
    <n v="80"/>
    <n v="80"/>
    <x v="24"/>
    <d v="2025-01-25T00:00:00"/>
    <s v="F"/>
    <x v="0"/>
    <x v="2"/>
    <x v="0"/>
    <x v="8"/>
    <x v="7"/>
    <x v="3"/>
    <x v="2"/>
  </r>
  <r>
    <s v="TX500582"/>
    <x v="10"/>
    <x v="12"/>
    <n v="64.7"/>
    <n v="258.8"/>
    <x v="24"/>
    <d v="2025-01-27T00:00:00"/>
    <s v="F"/>
    <x v="1"/>
    <x v="4"/>
    <x v="0"/>
    <x v="8"/>
    <x v="1"/>
    <x v="3"/>
    <x v="2"/>
  </r>
  <r>
    <s v="TX500583"/>
    <x v="8"/>
    <x v="5"/>
    <n v="26.3"/>
    <n v="289.3"/>
    <x v="25"/>
    <d v="2025-01-26T00:00:00"/>
    <s v="F"/>
    <x v="4"/>
    <x v="1"/>
    <x v="0"/>
    <x v="26"/>
    <x v="7"/>
    <x v="4"/>
    <x v="2"/>
  </r>
  <r>
    <s v="TX500584"/>
    <x v="10"/>
    <x v="0"/>
    <n v="28.5"/>
    <n v="28.5"/>
    <x v="25"/>
    <d v="2025-01-26T00:00:00"/>
    <s v="M"/>
    <x v="0"/>
    <x v="1"/>
    <x v="0"/>
    <x v="9"/>
    <x v="7"/>
    <x v="4"/>
    <x v="1"/>
  </r>
  <r>
    <s v="TX500585"/>
    <x v="17"/>
    <x v="0"/>
    <n v="47.8"/>
    <n v="47.8"/>
    <x v="25"/>
    <d v="2025-01-28T00:00:00"/>
    <s v="F"/>
    <x v="0"/>
    <x v="1"/>
    <x v="0"/>
    <x v="9"/>
    <x v="1"/>
    <x v="4"/>
    <x v="2"/>
  </r>
  <r>
    <s v="TX500586"/>
    <x v="10"/>
    <x v="2"/>
    <n v="42.8"/>
    <n v="128.39999999999998"/>
    <x v="25"/>
    <d v="2025-01-29T00:00:00"/>
    <s v="F"/>
    <x v="4"/>
    <x v="1"/>
    <x v="0"/>
    <x v="11"/>
    <x v="2"/>
    <x v="4"/>
    <x v="2"/>
  </r>
  <r>
    <s v="TX500587"/>
    <x v="6"/>
    <x v="9"/>
    <n v="46.8"/>
    <n v="234"/>
    <x v="25"/>
    <d v="2025-01-31T00:00:00"/>
    <s v="F"/>
    <x v="1"/>
    <x v="2"/>
    <x v="0"/>
    <x v="11"/>
    <x v="0"/>
    <x v="4"/>
    <x v="2"/>
  </r>
  <r>
    <s v="TX500588"/>
    <x v="1"/>
    <x v="7"/>
    <n v="64.099999999999994"/>
    <n v="641"/>
    <x v="25"/>
    <d v="2025-01-27T00:00:00"/>
    <s v="M"/>
    <x v="1"/>
    <x v="0"/>
    <x v="0"/>
    <x v="11"/>
    <x v="3"/>
    <x v="4"/>
    <x v="1"/>
  </r>
  <r>
    <s v="TX500589"/>
    <x v="2"/>
    <x v="0"/>
    <n v="89.1"/>
    <n v="89.1"/>
    <x v="25"/>
    <d v="2025-01-27T00:00:00"/>
    <s v="F"/>
    <x v="0"/>
    <x v="1"/>
    <x v="0"/>
    <x v="20"/>
    <x v="3"/>
    <x v="4"/>
    <x v="2"/>
  </r>
  <r>
    <s v="TX500590"/>
    <x v="2"/>
    <x v="2"/>
    <n v="83.1"/>
    <n v="249.29999999999998"/>
    <x v="25"/>
    <d v="2025-01-27T00:00:00"/>
    <s v="F"/>
    <x v="2"/>
    <x v="1"/>
    <x v="0"/>
    <x v="13"/>
    <x v="3"/>
    <x v="4"/>
    <x v="2"/>
  </r>
  <r>
    <s v="TX500591"/>
    <x v="8"/>
    <x v="2"/>
    <n v="40.9"/>
    <n v="122.69999999999999"/>
    <x v="25"/>
    <d v="2025-01-27T00:00:00"/>
    <s v="M"/>
    <x v="0"/>
    <x v="0"/>
    <x v="0"/>
    <x v="1"/>
    <x v="3"/>
    <x v="4"/>
    <x v="1"/>
  </r>
  <r>
    <s v="TX500592"/>
    <x v="2"/>
    <x v="1"/>
    <n v="125.7"/>
    <n v="251.4"/>
    <x v="25"/>
    <d v="2025-01-27T00:00:00"/>
    <s v="F"/>
    <x v="3"/>
    <x v="0"/>
    <x v="0"/>
    <x v="2"/>
    <x v="3"/>
    <x v="4"/>
    <x v="2"/>
  </r>
  <r>
    <s v="TX500593"/>
    <x v="3"/>
    <x v="1"/>
    <n v="30.9"/>
    <n v="61.8"/>
    <x v="25"/>
    <d v="2025-01-26T00:00:00"/>
    <s v="F"/>
    <x v="2"/>
    <x v="2"/>
    <x v="0"/>
    <x v="22"/>
    <x v="7"/>
    <x v="4"/>
    <x v="2"/>
  </r>
  <r>
    <s v="TX500594"/>
    <x v="8"/>
    <x v="1"/>
    <n v="18.3"/>
    <n v="36.6"/>
    <x v="25"/>
    <d v="2025-01-27T00:00:00"/>
    <s v="F"/>
    <x v="1"/>
    <x v="0"/>
    <x v="0"/>
    <x v="3"/>
    <x v="3"/>
    <x v="4"/>
    <x v="2"/>
  </r>
  <r>
    <s v="TX500595"/>
    <x v="4"/>
    <x v="1"/>
    <n v="56.5"/>
    <n v="113"/>
    <x v="25"/>
    <d v="2025-01-30T00:00:00"/>
    <s v="M"/>
    <x v="2"/>
    <x v="2"/>
    <x v="0"/>
    <x v="3"/>
    <x v="5"/>
    <x v="4"/>
    <x v="1"/>
  </r>
  <r>
    <s v="TX500596"/>
    <x v="10"/>
    <x v="3"/>
    <n v="29.9"/>
    <n v="209.29999999999998"/>
    <x v="25"/>
    <d v="2025-01-28T00:00:00"/>
    <s v="M"/>
    <x v="4"/>
    <x v="2"/>
    <x v="0"/>
    <x v="3"/>
    <x v="1"/>
    <x v="4"/>
    <x v="1"/>
  </r>
  <r>
    <s v="TX500597"/>
    <x v="5"/>
    <x v="1"/>
    <n v="50.4"/>
    <n v="100.8"/>
    <x v="25"/>
    <d v="2025-01-27T00:00:00"/>
    <s v="F"/>
    <x v="2"/>
    <x v="0"/>
    <x v="0"/>
    <x v="3"/>
    <x v="3"/>
    <x v="4"/>
    <x v="2"/>
  </r>
  <r>
    <s v="TX500598"/>
    <x v="2"/>
    <x v="0"/>
    <n v="85.8"/>
    <n v="85.8"/>
    <x v="25"/>
    <d v="2025-01-26T00:00:00"/>
    <s v="F"/>
    <x v="2"/>
    <x v="2"/>
    <x v="0"/>
    <x v="3"/>
    <x v="7"/>
    <x v="4"/>
    <x v="2"/>
  </r>
  <r>
    <s v="TX500599"/>
    <x v="4"/>
    <x v="27"/>
    <n v="66.599999999999994"/>
    <n v="1065.5999999999999"/>
    <x v="25"/>
    <d v="2025-01-28T00:00:00"/>
    <s v="M"/>
    <x v="1"/>
    <x v="0"/>
    <x v="0"/>
    <x v="3"/>
    <x v="1"/>
    <x v="4"/>
    <x v="1"/>
  </r>
  <r>
    <s v="TX500600"/>
    <x v="6"/>
    <x v="12"/>
    <n v="70.3"/>
    <n v="281.2"/>
    <x v="25"/>
    <d v="2025-01-27T00:00:00"/>
    <s v="F"/>
    <x v="0"/>
    <x v="1"/>
    <x v="0"/>
    <x v="3"/>
    <x v="3"/>
    <x v="4"/>
    <x v="2"/>
  </r>
  <r>
    <s v="TX500601"/>
    <x v="8"/>
    <x v="12"/>
    <n v="31"/>
    <n v="124"/>
    <x v="25"/>
    <d v="2025-01-29T00:00:00"/>
    <s v="M"/>
    <x v="0"/>
    <x v="2"/>
    <x v="0"/>
    <x v="3"/>
    <x v="2"/>
    <x v="4"/>
    <x v="1"/>
  </r>
  <r>
    <s v="TX500602"/>
    <x v="7"/>
    <x v="13"/>
    <n v="81.599999999999994"/>
    <n v="489.59999999999997"/>
    <x v="25"/>
    <d v="2025-01-27T00:00:00"/>
    <s v="F"/>
    <x v="1"/>
    <x v="1"/>
    <x v="0"/>
    <x v="37"/>
    <x v="3"/>
    <x v="4"/>
    <x v="2"/>
  </r>
  <r>
    <s v="TX500603"/>
    <x v="1"/>
    <x v="30"/>
    <n v="58.3"/>
    <n v="1457.5"/>
    <x v="25"/>
    <d v="2025-01-27T00:00:00"/>
    <s v="F"/>
    <x v="0"/>
    <x v="0"/>
    <x v="0"/>
    <x v="16"/>
    <x v="3"/>
    <x v="4"/>
    <x v="2"/>
  </r>
  <r>
    <s v="TX500604"/>
    <x v="1"/>
    <x v="12"/>
    <n v="35.1"/>
    <n v="140.4"/>
    <x v="25"/>
    <d v="2025-01-28T00:00:00"/>
    <s v="M"/>
    <x v="0"/>
    <x v="2"/>
    <x v="0"/>
    <x v="8"/>
    <x v="1"/>
    <x v="4"/>
    <x v="1"/>
  </r>
  <r>
    <s v="TX500605"/>
    <x v="2"/>
    <x v="0"/>
    <n v="80.2"/>
    <n v="80.2"/>
    <x v="25"/>
    <d v="2025-01-27T00:00:00"/>
    <s v="M"/>
    <x v="3"/>
    <x v="2"/>
    <x v="0"/>
    <x v="8"/>
    <x v="3"/>
    <x v="4"/>
    <x v="1"/>
  </r>
  <r>
    <s v="TX500606"/>
    <x v="14"/>
    <x v="2"/>
    <n v="39.200000000000003"/>
    <n v="117.60000000000001"/>
    <x v="25"/>
    <d v="2025-01-28T00:00:00"/>
    <s v="F"/>
    <x v="1"/>
    <x v="0"/>
    <x v="0"/>
    <x v="9"/>
    <x v="1"/>
    <x v="4"/>
    <x v="2"/>
  </r>
  <r>
    <s v="TX500607"/>
    <x v="0"/>
    <x v="1"/>
    <n v="15.4"/>
    <n v="30.8"/>
    <x v="25"/>
    <d v="2025-01-26T00:00:00"/>
    <s v="F"/>
    <x v="3"/>
    <x v="0"/>
    <x v="0"/>
    <x v="48"/>
    <x v="7"/>
    <x v="4"/>
    <x v="2"/>
  </r>
  <r>
    <s v="TX500608"/>
    <x v="3"/>
    <x v="2"/>
    <n v="65.400000000000006"/>
    <n v="196.20000000000002"/>
    <x v="25"/>
    <d v="2025-01-29T00:00:00"/>
    <s v="M"/>
    <x v="3"/>
    <x v="0"/>
    <x v="0"/>
    <x v="18"/>
    <x v="2"/>
    <x v="4"/>
    <x v="1"/>
  </r>
  <r>
    <s v="TX500609"/>
    <x v="1"/>
    <x v="8"/>
    <n v="63.2"/>
    <n v="505.6"/>
    <x v="25"/>
    <d v="2025-01-28T00:00:00"/>
    <s v="F"/>
    <x v="1"/>
    <x v="0"/>
    <x v="0"/>
    <x v="19"/>
    <x v="1"/>
    <x v="4"/>
    <x v="2"/>
  </r>
  <r>
    <s v="TX500610"/>
    <x v="1"/>
    <x v="13"/>
    <n v="35.700000000000003"/>
    <n v="214.20000000000002"/>
    <x v="25"/>
    <d v="2025-01-30T00:00:00"/>
    <s v="F"/>
    <x v="4"/>
    <x v="1"/>
    <x v="0"/>
    <x v="19"/>
    <x v="5"/>
    <x v="4"/>
    <x v="2"/>
  </r>
  <r>
    <s v="TX500611"/>
    <x v="0"/>
    <x v="28"/>
    <n v="26.2"/>
    <n v="524"/>
    <x v="25"/>
    <d v="2025-01-27T00:00:00"/>
    <s v="F"/>
    <x v="3"/>
    <x v="0"/>
    <x v="0"/>
    <x v="21"/>
    <x v="3"/>
    <x v="4"/>
    <x v="2"/>
  </r>
  <r>
    <s v="TX500612"/>
    <x v="7"/>
    <x v="1"/>
    <n v="31"/>
    <n v="62"/>
    <x v="25"/>
    <d v="2025-01-27T00:00:00"/>
    <s v="F"/>
    <x v="0"/>
    <x v="2"/>
    <x v="0"/>
    <x v="1"/>
    <x v="3"/>
    <x v="4"/>
    <x v="2"/>
  </r>
  <r>
    <s v="TX500613"/>
    <x v="8"/>
    <x v="12"/>
    <n v="37.700000000000003"/>
    <n v="150.80000000000001"/>
    <x v="25"/>
    <d v="2025-01-27T00:00:00"/>
    <s v="F"/>
    <x v="1"/>
    <x v="0"/>
    <x v="0"/>
    <x v="22"/>
    <x v="3"/>
    <x v="4"/>
    <x v="2"/>
  </r>
  <r>
    <s v="TX500614"/>
    <x v="10"/>
    <x v="33"/>
    <n v="43.6"/>
    <n v="1482.4"/>
    <x v="25"/>
    <d v="2025-01-28T00:00:00"/>
    <s v="F"/>
    <x v="4"/>
    <x v="1"/>
    <x v="0"/>
    <x v="3"/>
    <x v="1"/>
    <x v="4"/>
    <x v="2"/>
  </r>
  <r>
    <s v="TX500615"/>
    <x v="9"/>
    <x v="12"/>
    <n v="26.5"/>
    <n v="106"/>
    <x v="25"/>
    <d v="2025-01-28T00:00:00"/>
    <s v="M"/>
    <x v="0"/>
    <x v="4"/>
    <x v="0"/>
    <x v="3"/>
    <x v="1"/>
    <x v="4"/>
    <x v="1"/>
  </r>
  <r>
    <s v="TX500616"/>
    <x v="0"/>
    <x v="1"/>
    <n v="34.6"/>
    <n v="69.2"/>
    <x v="25"/>
    <d v="2025-01-27T00:00:00"/>
    <s v="M"/>
    <x v="4"/>
    <x v="1"/>
    <x v="0"/>
    <x v="3"/>
    <x v="3"/>
    <x v="4"/>
    <x v="1"/>
  </r>
  <r>
    <s v="TX500617"/>
    <x v="8"/>
    <x v="1"/>
    <n v="58.2"/>
    <n v="116.4"/>
    <x v="25"/>
    <d v="2025-01-27T00:00:00"/>
    <s v="M"/>
    <x v="2"/>
    <x v="2"/>
    <x v="0"/>
    <x v="3"/>
    <x v="3"/>
    <x v="4"/>
    <x v="1"/>
  </r>
  <r>
    <s v="TX500618"/>
    <x v="7"/>
    <x v="0"/>
    <n v="30.2"/>
    <n v="30.2"/>
    <x v="26"/>
    <d v="2025-01-28T00:00:00"/>
    <s v="F"/>
    <x v="2"/>
    <x v="1"/>
    <x v="0"/>
    <x v="3"/>
    <x v="3"/>
    <x v="4"/>
    <x v="2"/>
  </r>
  <r>
    <s v="TX500619"/>
    <x v="1"/>
    <x v="7"/>
    <n v="53.2"/>
    <n v="532"/>
    <x v="26"/>
    <d v="2025-01-28T00:00:00"/>
    <s v="M"/>
    <x v="0"/>
    <x v="2"/>
    <x v="0"/>
    <x v="5"/>
    <x v="3"/>
    <x v="4"/>
    <x v="1"/>
  </r>
  <r>
    <s v="TX500620"/>
    <x v="12"/>
    <x v="13"/>
    <n v="51.1"/>
    <n v="306.60000000000002"/>
    <x v="26"/>
    <d v="2025-01-27T00:00:00"/>
    <s v="M"/>
    <x v="1"/>
    <x v="2"/>
    <x v="0"/>
    <x v="5"/>
    <x v="7"/>
    <x v="4"/>
    <x v="1"/>
  </r>
  <r>
    <s v="TX500621"/>
    <x v="1"/>
    <x v="0"/>
    <n v="105.4"/>
    <n v="105.4"/>
    <x v="26"/>
    <d v="2025-01-31T00:00:00"/>
    <s v="F"/>
    <x v="1"/>
    <x v="2"/>
    <x v="0"/>
    <x v="23"/>
    <x v="5"/>
    <x v="4"/>
    <x v="2"/>
  </r>
  <r>
    <s v="TX500622"/>
    <x v="7"/>
    <x v="0"/>
    <n v="57.7"/>
    <n v="57.7"/>
    <x v="26"/>
    <d v="2025-01-27T00:00:00"/>
    <s v="M"/>
    <x v="0"/>
    <x v="4"/>
    <x v="0"/>
    <x v="8"/>
    <x v="7"/>
    <x v="4"/>
    <x v="1"/>
  </r>
  <r>
    <s v="TX500623"/>
    <x v="15"/>
    <x v="1"/>
    <n v="72.400000000000006"/>
    <n v="144.80000000000001"/>
    <x v="26"/>
    <d v="2025-02-01T00:00:00"/>
    <s v="F"/>
    <x v="0"/>
    <x v="0"/>
    <x v="0"/>
    <x v="17"/>
    <x v="0"/>
    <x v="4"/>
    <x v="2"/>
  </r>
  <r>
    <s v="TX500624"/>
    <x v="6"/>
    <x v="1"/>
    <n v="62.5"/>
    <n v="125"/>
    <x v="26"/>
    <d v="2025-01-28T00:00:00"/>
    <m/>
    <x v="0"/>
    <x v="2"/>
    <x v="0"/>
    <x v="11"/>
    <x v="3"/>
    <x v="4"/>
    <x v="0"/>
  </r>
  <r>
    <s v="TX500625"/>
    <x v="0"/>
    <x v="32"/>
    <n v="11.6"/>
    <n v="255.2"/>
    <x v="26"/>
    <d v="2025-01-29T00:00:00"/>
    <s v="F"/>
    <x v="3"/>
    <x v="2"/>
    <x v="0"/>
    <x v="18"/>
    <x v="1"/>
    <x v="4"/>
    <x v="2"/>
  </r>
  <r>
    <s v="TX500626"/>
    <x v="10"/>
    <x v="7"/>
    <n v="39.6"/>
    <n v="396"/>
    <x v="26"/>
    <d v="2025-01-29T00:00:00"/>
    <s v="F"/>
    <x v="2"/>
    <x v="2"/>
    <x v="0"/>
    <x v="18"/>
    <x v="1"/>
    <x v="4"/>
    <x v="2"/>
  </r>
  <r>
    <s v="TX500627"/>
    <x v="8"/>
    <x v="1"/>
    <n v="40.1"/>
    <n v="80.2"/>
    <x v="26"/>
    <d v="2025-01-28T00:00:00"/>
    <s v="F"/>
    <x v="2"/>
    <x v="0"/>
    <x v="0"/>
    <x v="18"/>
    <x v="3"/>
    <x v="4"/>
    <x v="2"/>
  </r>
  <r>
    <s v="TX500628"/>
    <x v="8"/>
    <x v="2"/>
    <n v="18.600000000000001"/>
    <n v="55.800000000000004"/>
    <x v="26"/>
    <d v="2025-01-28T00:00:00"/>
    <s v="F"/>
    <x v="2"/>
    <x v="0"/>
    <x v="0"/>
    <x v="21"/>
    <x v="3"/>
    <x v="4"/>
    <x v="2"/>
  </r>
  <r>
    <s v="TX500629"/>
    <x v="4"/>
    <x v="0"/>
    <n v="58.8"/>
    <n v="58.8"/>
    <x v="26"/>
    <d v="2025-01-29T00:00:00"/>
    <s v="F"/>
    <x v="0"/>
    <x v="1"/>
    <x v="0"/>
    <x v="21"/>
    <x v="1"/>
    <x v="4"/>
    <x v="2"/>
  </r>
  <r>
    <s v="TX500630"/>
    <x v="8"/>
    <x v="1"/>
    <n v="22.1"/>
    <n v="44.2"/>
    <x v="26"/>
    <d v="2025-01-30T00:00:00"/>
    <s v="M"/>
    <x v="1"/>
    <x v="2"/>
    <x v="0"/>
    <x v="21"/>
    <x v="2"/>
    <x v="4"/>
    <x v="1"/>
  </r>
  <r>
    <s v="TX500631"/>
    <x v="2"/>
    <x v="0"/>
    <n v="114.9"/>
    <n v="114.9"/>
    <x v="27"/>
    <d v="2025-01-29T00:00:00"/>
    <s v="F"/>
    <x v="1"/>
    <x v="1"/>
    <x v="0"/>
    <x v="22"/>
    <x v="3"/>
    <x v="4"/>
    <x v="2"/>
  </r>
  <r>
    <s v="TX500632"/>
    <x v="9"/>
    <x v="9"/>
    <n v="75.8"/>
    <n v="379"/>
    <x v="27"/>
    <d v="2025-01-29T00:00:00"/>
    <s v="M"/>
    <x v="0"/>
    <x v="2"/>
    <x v="0"/>
    <x v="3"/>
    <x v="3"/>
    <x v="4"/>
    <x v="1"/>
  </r>
  <r>
    <s v="TX500633"/>
    <x v="14"/>
    <x v="9"/>
    <n v="20.6"/>
    <n v="103"/>
    <x v="27"/>
    <d v="2025-01-29T00:00:00"/>
    <s v="M"/>
    <x v="2"/>
    <x v="2"/>
    <x v="0"/>
    <x v="3"/>
    <x v="3"/>
    <x v="4"/>
    <x v="1"/>
  </r>
  <r>
    <s v="TX500634"/>
    <x v="17"/>
    <x v="2"/>
    <n v="67.900000000000006"/>
    <n v="203.70000000000002"/>
    <x v="27"/>
    <d v="2025-01-29T00:00:00"/>
    <s v="F"/>
    <x v="1"/>
    <x v="1"/>
    <x v="0"/>
    <x v="3"/>
    <x v="3"/>
    <x v="4"/>
    <x v="2"/>
  </r>
  <r>
    <s v="TX500635"/>
    <x v="0"/>
    <x v="9"/>
    <n v="27"/>
    <n v="135"/>
    <x v="27"/>
    <d v="2025-02-04T00:00:00"/>
    <s v="F"/>
    <x v="0"/>
    <x v="2"/>
    <x v="0"/>
    <x v="3"/>
    <x v="6"/>
    <x v="4"/>
    <x v="2"/>
  </r>
  <r>
    <s v="TX500636"/>
    <x v="13"/>
    <x v="0"/>
    <n v="50.6"/>
    <n v="50.6"/>
    <x v="27"/>
    <d v="2025-01-28T00:00:00"/>
    <s v="M"/>
    <x v="0"/>
    <x v="1"/>
    <x v="0"/>
    <x v="3"/>
    <x v="7"/>
    <x v="4"/>
    <x v="1"/>
  </r>
  <r>
    <s v="TX500637"/>
    <x v="4"/>
    <x v="9"/>
    <n v="22.1"/>
    <n v="110.5"/>
    <x v="27"/>
    <d v="2025-02-02T00:00:00"/>
    <s v="M"/>
    <x v="0"/>
    <x v="0"/>
    <x v="0"/>
    <x v="3"/>
    <x v="0"/>
    <x v="4"/>
    <x v="1"/>
  </r>
  <r>
    <s v="TX500638"/>
    <x v="8"/>
    <x v="2"/>
    <n v="42.9"/>
    <n v="128.69999999999999"/>
    <x v="27"/>
    <d v="2025-01-30T00:00:00"/>
    <s v="F"/>
    <x v="0"/>
    <x v="0"/>
    <x v="0"/>
    <x v="3"/>
    <x v="1"/>
    <x v="4"/>
    <x v="2"/>
  </r>
  <r>
    <s v="TX500639"/>
    <x v="1"/>
    <x v="5"/>
    <n v="62.4"/>
    <n v="686.4"/>
    <x v="27"/>
    <d v="2025-01-30T00:00:00"/>
    <s v="F"/>
    <x v="2"/>
    <x v="0"/>
    <x v="0"/>
    <x v="3"/>
    <x v="1"/>
    <x v="4"/>
    <x v="2"/>
  </r>
  <r>
    <s v="TX500640"/>
    <x v="13"/>
    <x v="11"/>
    <n v="36.4"/>
    <n v="327.59999999999997"/>
    <x v="27"/>
    <d v="2025-01-30T00:00:00"/>
    <s v="F"/>
    <x v="0"/>
    <x v="2"/>
    <x v="0"/>
    <x v="3"/>
    <x v="1"/>
    <x v="4"/>
    <x v="2"/>
  </r>
  <r>
    <s v="TX500641"/>
    <x v="0"/>
    <x v="1"/>
    <n v="22.5"/>
    <n v="45"/>
    <x v="27"/>
    <d v="2025-01-31T00:00:00"/>
    <s v="M"/>
    <x v="0"/>
    <x v="0"/>
    <x v="0"/>
    <x v="3"/>
    <x v="2"/>
    <x v="4"/>
    <x v="1"/>
  </r>
  <r>
    <s v="TX500642"/>
    <x v="6"/>
    <x v="12"/>
    <n v="70.8"/>
    <n v="283.2"/>
    <x v="27"/>
    <d v="2025-01-30T00:00:00"/>
    <s v="F"/>
    <x v="4"/>
    <x v="0"/>
    <x v="0"/>
    <x v="3"/>
    <x v="1"/>
    <x v="4"/>
    <x v="2"/>
  </r>
  <r>
    <s v="TX500643"/>
    <x v="6"/>
    <x v="9"/>
    <n v="56.6"/>
    <n v="283"/>
    <x v="27"/>
    <d v="2025-01-30T00:00:00"/>
    <s v="M"/>
    <x v="0"/>
    <x v="1"/>
    <x v="0"/>
    <x v="4"/>
    <x v="1"/>
    <x v="4"/>
    <x v="1"/>
  </r>
  <r>
    <s v="TX500644"/>
    <x v="6"/>
    <x v="1"/>
    <n v="47.9"/>
    <n v="95.8"/>
    <x v="27"/>
    <d v="2025-01-29T00:00:00"/>
    <s v="F"/>
    <x v="0"/>
    <x v="0"/>
    <x v="0"/>
    <x v="6"/>
    <x v="3"/>
    <x v="4"/>
    <x v="2"/>
  </r>
  <r>
    <s v="TX500645"/>
    <x v="6"/>
    <x v="8"/>
    <n v="78.400000000000006"/>
    <n v="627.20000000000005"/>
    <x v="27"/>
    <d v="2025-01-30T00:00:00"/>
    <s v="F"/>
    <x v="1"/>
    <x v="0"/>
    <x v="0"/>
    <x v="6"/>
    <x v="1"/>
    <x v="4"/>
    <x v="2"/>
  </r>
  <r>
    <s v="TX500646"/>
    <x v="2"/>
    <x v="21"/>
    <n v="122.1"/>
    <n v="1709.3999999999999"/>
    <x v="27"/>
    <d v="2025-02-02T00:00:00"/>
    <s v="F"/>
    <x v="0"/>
    <x v="2"/>
    <x v="0"/>
    <x v="6"/>
    <x v="0"/>
    <x v="4"/>
    <x v="2"/>
  </r>
  <r>
    <s v="TX500647"/>
    <x v="2"/>
    <x v="1"/>
    <n v="83.7"/>
    <n v="167.4"/>
    <x v="28"/>
    <d v="2025-01-29T00:00:00"/>
    <m/>
    <x v="1"/>
    <x v="2"/>
    <x v="0"/>
    <x v="7"/>
    <x v="7"/>
    <x v="4"/>
    <x v="0"/>
  </r>
  <r>
    <s v="TX500648"/>
    <x v="3"/>
    <x v="12"/>
    <n v="97.9"/>
    <n v="391.6"/>
    <x v="28"/>
    <d v="2025-02-02T00:00:00"/>
    <s v="F"/>
    <x v="3"/>
    <x v="2"/>
    <x v="0"/>
    <x v="7"/>
    <x v="5"/>
    <x v="4"/>
    <x v="2"/>
  </r>
  <r>
    <s v="TX500649"/>
    <x v="14"/>
    <x v="0"/>
    <n v="15"/>
    <n v="15"/>
    <x v="28"/>
    <d v="2025-02-03T00:00:00"/>
    <s v="F"/>
    <x v="3"/>
    <x v="0"/>
    <x v="0"/>
    <x v="8"/>
    <x v="0"/>
    <x v="4"/>
    <x v="2"/>
  </r>
  <r>
    <s v="TX500650"/>
    <x v="12"/>
    <x v="2"/>
    <n v="94.6"/>
    <n v="283.79999999999995"/>
    <x v="28"/>
    <d v="2025-01-30T00:00:00"/>
    <s v="M"/>
    <x v="2"/>
    <x v="1"/>
    <x v="0"/>
    <x v="8"/>
    <x v="3"/>
    <x v="4"/>
    <x v="1"/>
  </r>
  <r>
    <s v="TX500651"/>
    <x v="0"/>
    <x v="13"/>
    <n v="19.7"/>
    <n v="118.19999999999999"/>
    <x v="28"/>
    <d v="2025-02-09T00:00:00"/>
    <s v="F"/>
    <x v="0"/>
    <x v="2"/>
    <x v="0"/>
    <x v="8"/>
    <x v="11"/>
    <x v="4"/>
    <x v="2"/>
  </r>
  <r>
    <s v="TX500652"/>
    <x v="7"/>
    <x v="0"/>
    <n v="46.7"/>
    <n v="46.7"/>
    <x v="28"/>
    <d v="2025-02-01T00:00:00"/>
    <s v="F"/>
    <x v="2"/>
    <x v="0"/>
    <x v="0"/>
    <x v="17"/>
    <x v="2"/>
    <x v="4"/>
    <x v="2"/>
  </r>
  <r>
    <s v="TX500653"/>
    <x v="1"/>
    <x v="12"/>
    <n v="43"/>
    <n v="172"/>
    <x v="28"/>
    <d v="2025-01-30T00:00:00"/>
    <s v="M"/>
    <x v="2"/>
    <x v="2"/>
    <x v="0"/>
    <x v="17"/>
    <x v="3"/>
    <x v="4"/>
    <x v="1"/>
  </r>
  <r>
    <s v="TX500654"/>
    <x v="6"/>
    <x v="2"/>
    <n v="68.2"/>
    <n v="204.60000000000002"/>
    <x v="28"/>
    <d v="2025-02-04T00:00:00"/>
    <s v="F"/>
    <x v="0"/>
    <x v="0"/>
    <x v="0"/>
    <x v="9"/>
    <x v="4"/>
    <x v="4"/>
    <x v="2"/>
  </r>
  <r>
    <s v="TX500655"/>
    <x v="10"/>
    <x v="7"/>
    <n v="24.3"/>
    <n v="243"/>
    <x v="28"/>
    <d v="2025-01-30T00:00:00"/>
    <s v="M"/>
    <x v="0"/>
    <x v="2"/>
    <x v="0"/>
    <x v="10"/>
    <x v="3"/>
    <x v="4"/>
    <x v="1"/>
  </r>
  <r>
    <s v="TX500656"/>
    <x v="7"/>
    <x v="1"/>
    <n v="86.8"/>
    <n v="173.6"/>
    <x v="28"/>
    <d v="2025-02-02T00:00:00"/>
    <s v="F"/>
    <x v="4"/>
    <x v="2"/>
    <x v="0"/>
    <x v="11"/>
    <x v="5"/>
    <x v="4"/>
    <x v="2"/>
  </r>
  <r>
    <s v="TX500657"/>
    <x v="0"/>
    <x v="1"/>
    <n v="15.8"/>
    <n v="31.6"/>
    <x v="28"/>
    <d v="2025-01-31T00:00:00"/>
    <s v="M"/>
    <x v="1"/>
    <x v="0"/>
    <x v="0"/>
    <x v="11"/>
    <x v="1"/>
    <x v="4"/>
    <x v="1"/>
  </r>
  <r>
    <s v="TX500658"/>
    <x v="2"/>
    <x v="12"/>
    <n v="61.6"/>
    <n v="246.4"/>
    <x v="28"/>
    <d v="2025-01-30T00:00:00"/>
    <s v="M"/>
    <x v="2"/>
    <x v="0"/>
    <x v="0"/>
    <x v="11"/>
    <x v="3"/>
    <x v="4"/>
    <x v="1"/>
  </r>
  <r>
    <s v="TX500659"/>
    <x v="6"/>
    <x v="2"/>
    <n v="48.7"/>
    <n v="146.10000000000002"/>
    <x v="28"/>
    <d v="2025-02-04T00:00:00"/>
    <s v="F"/>
    <x v="1"/>
    <x v="2"/>
    <x v="0"/>
    <x v="45"/>
    <x v="4"/>
    <x v="4"/>
    <x v="2"/>
  </r>
  <r>
    <s v="TX500660"/>
    <x v="8"/>
    <x v="12"/>
    <n v="24.3"/>
    <n v="97.2"/>
    <x v="28"/>
    <d v="2025-01-31T00:00:00"/>
    <s v="F"/>
    <x v="1"/>
    <x v="2"/>
    <x v="0"/>
    <x v="21"/>
    <x v="1"/>
    <x v="4"/>
    <x v="2"/>
  </r>
  <r>
    <s v="TX500661"/>
    <x v="2"/>
    <x v="1"/>
    <n v="130.69999999999999"/>
    <n v="261.39999999999998"/>
    <x v="28"/>
    <d v="2025-01-30T00:00:00"/>
    <s v="F"/>
    <x v="2"/>
    <x v="0"/>
    <x v="0"/>
    <x v="44"/>
    <x v="3"/>
    <x v="4"/>
    <x v="2"/>
  </r>
  <r>
    <s v="TX500662"/>
    <x v="10"/>
    <x v="0"/>
    <n v="26"/>
    <n v="26"/>
    <x v="28"/>
    <d v="2025-01-31T00:00:00"/>
    <s v="M"/>
    <x v="0"/>
    <x v="0"/>
    <x v="0"/>
    <x v="3"/>
    <x v="1"/>
    <x v="4"/>
    <x v="1"/>
  </r>
  <r>
    <s v="TX500663"/>
    <x v="2"/>
    <x v="9"/>
    <n v="94.4"/>
    <n v="472"/>
    <x v="28"/>
    <d v="2025-01-30T00:00:00"/>
    <s v="F"/>
    <x v="0"/>
    <x v="0"/>
    <x v="0"/>
    <x v="3"/>
    <x v="3"/>
    <x v="4"/>
    <x v="2"/>
  </r>
  <r>
    <s v="TX500664"/>
    <x v="0"/>
    <x v="13"/>
    <n v="23.7"/>
    <n v="142.19999999999999"/>
    <x v="28"/>
    <d v="2025-01-31T00:00:00"/>
    <s v="M"/>
    <x v="2"/>
    <x v="2"/>
    <x v="0"/>
    <x v="3"/>
    <x v="1"/>
    <x v="4"/>
    <x v="1"/>
  </r>
  <r>
    <s v="TX500665"/>
    <x v="9"/>
    <x v="4"/>
    <n v="37.4"/>
    <n v="448.79999999999995"/>
    <x v="28"/>
    <d v="2025-01-31T00:00:00"/>
    <s v="M"/>
    <x v="2"/>
    <x v="0"/>
    <x v="0"/>
    <x v="3"/>
    <x v="1"/>
    <x v="4"/>
    <x v="1"/>
  </r>
  <r>
    <s v="TX500666"/>
    <x v="1"/>
    <x v="34"/>
    <n v="55.2"/>
    <n v="1987.2"/>
    <x v="28"/>
    <d v="2025-01-29T00:00:00"/>
    <s v="F"/>
    <x v="3"/>
    <x v="1"/>
    <x v="0"/>
    <x v="3"/>
    <x v="7"/>
    <x v="4"/>
    <x v="2"/>
  </r>
  <r>
    <s v="TX500667"/>
    <x v="2"/>
    <x v="11"/>
    <n v="57.1"/>
    <n v="513.9"/>
    <x v="28"/>
    <d v="2025-01-31T00:00:00"/>
    <s v="M"/>
    <x v="0"/>
    <x v="2"/>
    <x v="0"/>
    <x v="3"/>
    <x v="1"/>
    <x v="4"/>
    <x v="1"/>
  </r>
  <r>
    <s v="TX500668"/>
    <x v="12"/>
    <x v="0"/>
    <n v="55.3"/>
    <n v="55.3"/>
    <x v="28"/>
    <d v="2025-01-30T00:00:00"/>
    <s v="F"/>
    <x v="2"/>
    <x v="2"/>
    <x v="0"/>
    <x v="3"/>
    <x v="3"/>
    <x v="4"/>
    <x v="2"/>
  </r>
  <r>
    <s v="TX500669"/>
    <x v="15"/>
    <x v="3"/>
    <n v="23.9"/>
    <n v="167.29999999999998"/>
    <x v="28"/>
    <d v="2025-01-30T00:00:00"/>
    <s v="F"/>
    <x v="4"/>
    <x v="1"/>
    <x v="0"/>
    <x v="3"/>
    <x v="3"/>
    <x v="4"/>
    <x v="2"/>
  </r>
  <r>
    <s v="TX500670"/>
    <x v="0"/>
    <x v="0"/>
    <n v="34.1"/>
    <n v="34.1"/>
    <x v="28"/>
    <d v="2025-02-05T00:00:00"/>
    <s v="F"/>
    <x v="2"/>
    <x v="0"/>
    <x v="0"/>
    <x v="3"/>
    <x v="6"/>
    <x v="4"/>
    <x v="2"/>
  </r>
  <r>
    <s v="TX500671"/>
    <x v="12"/>
    <x v="12"/>
    <n v="38.5"/>
    <n v="154"/>
    <x v="28"/>
    <d v="2025-02-09T00:00:00"/>
    <s v="F"/>
    <x v="0"/>
    <x v="0"/>
    <x v="0"/>
    <x v="3"/>
    <x v="11"/>
    <x v="4"/>
    <x v="2"/>
  </r>
  <r>
    <s v="TX500672"/>
    <x v="7"/>
    <x v="1"/>
    <n v="105"/>
    <n v="210"/>
    <x v="28"/>
    <d v="2025-02-04T00:00:00"/>
    <s v="F"/>
    <x v="0"/>
    <x v="2"/>
    <x v="0"/>
    <x v="3"/>
    <x v="4"/>
    <x v="4"/>
    <x v="2"/>
  </r>
  <r>
    <s v="TX500673"/>
    <x v="8"/>
    <x v="9"/>
    <n v="45.2"/>
    <n v="226"/>
    <x v="28"/>
    <d v="2025-01-31T00:00:00"/>
    <s v="F"/>
    <x v="0"/>
    <x v="2"/>
    <x v="0"/>
    <x v="3"/>
    <x v="1"/>
    <x v="4"/>
    <x v="2"/>
  </r>
  <r>
    <s v="TX500674"/>
    <x v="17"/>
    <x v="2"/>
    <n v="24.8"/>
    <n v="74.400000000000006"/>
    <x v="28"/>
    <d v="2025-01-29T00:00:00"/>
    <m/>
    <x v="0"/>
    <x v="1"/>
    <x v="0"/>
    <x v="3"/>
    <x v="7"/>
    <x v="4"/>
    <x v="0"/>
  </r>
  <r>
    <s v="TX500675"/>
    <x v="11"/>
    <x v="12"/>
    <n v="43.8"/>
    <n v="175.2"/>
    <x v="28"/>
    <d v="2025-02-05T00:00:00"/>
    <s v="F"/>
    <x v="1"/>
    <x v="2"/>
    <x v="0"/>
    <x v="6"/>
    <x v="6"/>
    <x v="4"/>
    <x v="2"/>
  </r>
  <r>
    <s v="TX500676"/>
    <x v="1"/>
    <x v="0"/>
    <n v="75"/>
    <n v="75"/>
    <x v="28"/>
    <d v="2025-01-31T00:00:00"/>
    <s v="F"/>
    <x v="4"/>
    <x v="1"/>
    <x v="0"/>
    <x v="6"/>
    <x v="1"/>
    <x v="4"/>
    <x v="2"/>
  </r>
  <r>
    <s v="TX500677"/>
    <x v="2"/>
    <x v="0"/>
    <n v="169.9"/>
    <n v="169.9"/>
    <x v="28"/>
    <d v="2025-01-30T00:00:00"/>
    <s v="M"/>
    <x v="2"/>
    <x v="0"/>
    <x v="0"/>
    <x v="6"/>
    <x v="3"/>
    <x v="4"/>
    <x v="1"/>
  </r>
  <r>
    <s v="TX500678"/>
    <x v="9"/>
    <x v="1"/>
    <n v="72.2"/>
    <n v="144.4"/>
    <x v="28"/>
    <d v="2025-01-31T00:00:00"/>
    <s v="F"/>
    <x v="4"/>
    <x v="1"/>
    <x v="0"/>
    <x v="6"/>
    <x v="1"/>
    <x v="4"/>
    <x v="2"/>
  </r>
  <r>
    <s v="TX500679"/>
    <x v="0"/>
    <x v="0"/>
    <n v="20"/>
    <n v="20"/>
    <x v="29"/>
    <d v="2025-02-02T00:00:00"/>
    <s v="F"/>
    <x v="2"/>
    <x v="1"/>
    <x v="0"/>
    <x v="7"/>
    <x v="2"/>
    <x v="4"/>
    <x v="2"/>
  </r>
  <r>
    <s v="TX500680"/>
    <x v="9"/>
    <x v="1"/>
    <n v="40.799999999999997"/>
    <n v="81.599999999999994"/>
    <x v="29"/>
    <d v="2025-02-01T00:00:00"/>
    <s v="F"/>
    <x v="3"/>
    <x v="2"/>
    <x v="0"/>
    <x v="8"/>
    <x v="1"/>
    <x v="4"/>
    <x v="2"/>
  </r>
  <r>
    <s v="TX500681"/>
    <x v="10"/>
    <x v="12"/>
    <n v="58"/>
    <n v="232"/>
    <x v="29"/>
    <d v="2025-02-03T00:00:00"/>
    <s v="F"/>
    <x v="0"/>
    <x v="0"/>
    <x v="0"/>
    <x v="8"/>
    <x v="5"/>
    <x v="4"/>
    <x v="2"/>
  </r>
  <r>
    <s v="TX500682"/>
    <x v="12"/>
    <x v="1"/>
    <n v="43.1"/>
    <n v="86.2"/>
    <x v="29"/>
    <d v="2025-01-31T00:00:00"/>
    <s v="F"/>
    <x v="1"/>
    <x v="2"/>
    <x v="0"/>
    <x v="8"/>
    <x v="3"/>
    <x v="4"/>
    <x v="2"/>
  </r>
  <r>
    <s v="TX500683"/>
    <x v="6"/>
    <x v="11"/>
    <n v="74.7"/>
    <n v="672.30000000000007"/>
    <x v="29"/>
    <d v="2025-02-01T00:00:00"/>
    <s v="M"/>
    <x v="0"/>
    <x v="2"/>
    <x v="0"/>
    <x v="8"/>
    <x v="1"/>
    <x v="4"/>
    <x v="1"/>
  </r>
  <r>
    <s v="TX500684"/>
    <x v="6"/>
    <x v="0"/>
    <n v="128.19999999999999"/>
    <n v="128.19999999999999"/>
    <x v="29"/>
    <d v="2025-01-30T00:00:00"/>
    <s v="M"/>
    <x v="1"/>
    <x v="0"/>
    <x v="0"/>
    <x v="8"/>
    <x v="7"/>
    <x v="4"/>
    <x v="1"/>
  </r>
  <r>
    <s v="TX500685"/>
    <x v="14"/>
    <x v="12"/>
    <n v="26.7"/>
    <n v="106.8"/>
    <x v="29"/>
    <d v="2025-01-31T00:00:00"/>
    <s v="M"/>
    <x v="1"/>
    <x v="0"/>
    <x v="0"/>
    <x v="8"/>
    <x v="3"/>
    <x v="4"/>
    <x v="1"/>
  </r>
  <r>
    <s v="TX500686"/>
    <x v="17"/>
    <x v="13"/>
    <n v="31.5"/>
    <n v="189"/>
    <x v="29"/>
    <d v="2025-01-31T00:00:00"/>
    <s v="F"/>
    <x v="2"/>
    <x v="0"/>
    <x v="0"/>
    <x v="17"/>
    <x v="3"/>
    <x v="4"/>
    <x v="2"/>
  </r>
  <r>
    <s v="TX500687"/>
    <x v="3"/>
    <x v="3"/>
    <n v="64.7"/>
    <n v="452.90000000000003"/>
    <x v="29"/>
    <d v="2025-01-31T00:00:00"/>
    <s v="F"/>
    <x v="0"/>
    <x v="2"/>
    <x v="0"/>
    <x v="9"/>
    <x v="3"/>
    <x v="4"/>
    <x v="2"/>
  </r>
  <r>
    <s v="TX500688"/>
    <x v="5"/>
    <x v="1"/>
    <n v="55.6"/>
    <n v="111.2"/>
    <x v="29"/>
    <d v="2025-02-02T00:00:00"/>
    <s v="F"/>
    <x v="3"/>
    <x v="0"/>
    <x v="0"/>
    <x v="11"/>
    <x v="2"/>
    <x v="4"/>
    <x v="2"/>
  </r>
  <r>
    <s v="TX500689"/>
    <x v="3"/>
    <x v="1"/>
    <n v="36.200000000000003"/>
    <n v="72.400000000000006"/>
    <x v="29"/>
    <d v="2025-01-31T00:00:00"/>
    <s v="F"/>
    <x v="3"/>
    <x v="0"/>
    <x v="0"/>
    <x v="11"/>
    <x v="3"/>
    <x v="4"/>
    <x v="2"/>
  </r>
  <r>
    <s v="TX500690"/>
    <x v="0"/>
    <x v="0"/>
    <n v="26.6"/>
    <n v="26.6"/>
    <x v="29"/>
    <d v="2025-01-31T00:00:00"/>
    <m/>
    <x v="1"/>
    <x v="1"/>
    <x v="0"/>
    <x v="19"/>
    <x v="3"/>
    <x v="4"/>
    <x v="0"/>
  </r>
  <r>
    <s v="TX500691"/>
    <x v="10"/>
    <x v="12"/>
    <n v="31.5"/>
    <n v="126"/>
    <x v="29"/>
    <d v="2025-02-01T00:00:00"/>
    <s v="M"/>
    <x v="0"/>
    <x v="0"/>
    <x v="0"/>
    <x v="31"/>
    <x v="1"/>
    <x v="4"/>
    <x v="1"/>
  </r>
  <r>
    <s v="TX500692"/>
    <x v="10"/>
    <x v="0"/>
    <n v="27"/>
    <n v="27"/>
    <x v="29"/>
    <d v="2025-02-01T00:00:00"/>
    <s v="F"/>
    <x v="1"/>
    <x v="2"/>
    <x v="0"/>
    <x v="13"/>
    <x v="1"/>
    <x v="4"/>
    <x v="2"/>
  </r>
  <r>
    <s v="TX500693"/>
    <x v="4"/>
    <x v="0"/>
    <n v="32"/>
    <n v="32"/>
    <x v="29"/>
    <d v="2025-02-02T00:00:00"/>
    <s v="M"/>
    <x v="3"/>
    <x v="0"/>
    <x v="0"/>
    <x v="21"/>
    <x v="2"/>
    <x v="4"/>
    <x v="1"/>
  </r>
  <r>
    <s v="TX500694"/>
    <x v="1"/>
    <x v="2"/>
    <n v="48.1"/>
    <n v="144.30000000000001"/>
    <x v="29"/>
    <d v="2025-02-01T00:00:00"/>
    <s v="M"/>
    <x v="2"/>
    <x v="1"/>
    <x v="0"/>
    <x v="1"/>
    <x v="1"/>
    <x v="4"/>
    <x v="1"/>
  </r>
  <r>
    <s v="TX500695"/>
    <x v="9"/>
    <x v="1"/>
    <n v="43.4"/>
    <n v="86.8"/>
    <x v="29"/>
    <d v="2025-01-31T00:00:00"/>
    <s v="M"/>
    <x v="1"/>
    <x v="1"/>
    <x v="0"/>
    <x v="22"/>
    <x v="3"/>
    <x v="4"/>
    <x v="1"/>
  </r>
  <r>
    <s v="TX500696"/>
    <x v="6"/>
    <x v="1"/>
    <n v="42.6"/>
    <n v="85.2"/>
    <x v="29"/>
    <d v="2025-02-02T00:00:00"/>
    <s v="F"/>
    <x v="3"/>
    <x v="0"/>
    <x v="0"/>
    <x v="22"/>
    <x v="2"/>
    <x v="4"/>
    <x v="2"/>
  </r>
  <r>
    <s v="TX500697"/>
    <x v="8"/>
    <x v="1"/>
    <n v="15.9"/>
    <n v="31.8"/>
    <x v="29"/>
    <d v="2025-01-31T00:00:00"/>
    <s v="F"/>
    <x v="0"/>
    <x v="0"/>
    <x v="0"/>
    <x v="34"/>
    <x v="3"/>
    <x v="4"/>
    <x v="2"/>
  </r>
  <r>
    <s v="TX500698"/>
    <x v="9"/>
    <x v="1"/>
    <n v="63.2"/>
    <n v="126.4"/>
    <x v="29"/>
    <d v="2025-01-31T00:00:00"/>
    <s v="M"/>
    <x v="1"/>
    <x v="0"/>
    <x v="0"/>
    <x v="3"/>
    <x v="3"/>
    <x v="4"/>
    <x v="1"/>
  </r>
  <r>
    <s v="TX500699"/>
    <x v="7"/>
    <x v="12"/>
    <n v="64.8"/>
    <n v="259.2"/>
    <x v="29"/>
    <d v="2025-02-01T00:00:00"/>
    <m/>
    <x v="4"/>
    <x v="1"/>
    <x v="0"/>
    <x v="3"/>
    <x v="1"/>
    <x v="4"/>
    <x v="0"/>
  </r>
  <r>
    <s v="TX500700"/>
    <x v="7"/>
    <x v="2"/>
    <n v="79.8"/>
    <n v="239.39999999999998"/>
    <x v="29"/>
    <d v="2025-01-31T00:00:00"/>
    <s v="M"/>
    <x v="0"/>
    <x v="0"/>
    <x v="0"/>
    <x v="3"/>
    <x v="3"/>
    <x v="4"/>
    <x v="1"/>
  </r>
  <r>
    <s v="TX500701"/>
    <x v="9"/>
    <x v="0"/>
    <n v="54.4"/>
    <n v="54.4"/>
    <x v="29"/>
    <d v="2025-02-01T00:00:00"/>
    <s v="F"/>
    <x v="4"/>
    <x v="2"/>
    <x v="0"/>
    <x v="3"/>
    <x v="1"/>
    <x v="4"/>
    <x v="2"/>
  </r>
  <r>
    <s v="TX500702"/>
    <x v="6"/>
    <x v="0"/>
    <n v="87.3"/>
    <n v="87.3"/>
    <x v="29"/>
    <d v="2025-01-31T00:00:00"/>
    <s v="M"/>
    <x v="1"/>
    <x v="0"/>
    <x v="0"/>
    <x v="3"/>
    <x v="3"/>
    <x v="4"/>
    <x v="1"/>
  </r>
  <r>
    <s v="TX500703"/>
    <x v="8"/>
    <x v="12"/>
    <n v="32.4"/>
    <n v="129.6"/>
    <x v="29"/>
    <d v="2025-01-30T00:00:00"/>
    <s v="M"/>
    <x v="1"/>
    <x v="0"/>
    <x v="0"/>
    <x v="3"/>
    <x v="7"/>
    <x v="4"/>
    <x v="1"/>
  </r>
  <r>
    <s v="TX500704"/>
    <x v="2"/>
    <x v="0"/>
    <n v="177.4"/>
    <n v="177.4"/>
    <x v="29"/>
    <d v="2025-02-03T00:00:00"/>
    <s v="M"/>
    <x v="0"/>
    <x v="2"/>
    <x v="0"/>
    <x v="3"/>
    <x v="5"/>
    <x v="4"/>
    <x v="1"/>
  </r>
  <r>
    <s v="TX500705"/>
    <x v="7"/>
    <x v="1"/>
    <n v="70.099999999999994"/>
    <n v="140.19999999999999"/>
    <x v="29"/>
    <d v="2025-01-31T00:00:00"/>
    <s v="M"/>
    <x v="3"/>
    <x v="1"/>
    <x v="0"/>
    <x v="3"/>
    <x v="3"/>
    <x v="4"/>
    <x v="1"/>
  </r>
  <r>
    <s v="TX500706"/>
    <x v="9"/>
    <x v="13"/>
    <n v="51.1"/>
    <n v="306.60000000000002"/>
    <x v="29"/>
    <d v="2025-01-31T00:00:00"/>
    <s v="F"/>
    <x v="0"/>
    <x v="0"/>
    <x v="0"/>
    <x v="3"/>
    <x v="3"/>
    <x v="4"/>
    <x v="2"/>
  </r>
  <r>
    <s v="TX500707"/>
    <x v="2"/>
    <x v="9"/>
    <n v="79.900000000000006"/>
    <n v="399.5"/>
    <x v="29"/>
    <d v="2025-02-01T00:00:00"/>
    <s v="M"/>
    <x v="3"/>
    <x v="2"/>
    <x v="0"/>
    <x v="24"/>
    <x v="1"/>
    <x v="4"/>
    <x v="1"/>
  </r>
  <r>
    <s v="TX500708"/>
    <x v="6"/>
    <x v="0"/>
    <n v="57.6"/>
    <n v="57.6"/>
    <x v="30"/>
    <d v="2025-02-05T00:00:00"/>
    <s v="M"/>
    <x v="0"/>
    <x v="2"/>
    <x v="0"/>
    <x v="49"/>
    <x v="0"/>
    <x v="4"/>
    <x v="1"/>
  </r>
  <r>
    <s v="TX500709"/>
    <x v="8"/>
    <x v="7"/>
    <n v="59.7"/>
    <n v="597"/>
    <x v="30"/>
    <d v="2025-02-04T00:00:00"/>
    <s v="M"/>
    <x v="2"/>
    <x v="0"/>
    <x v="0"/>
    <x v="25"/>
    <x v="5"/>
    <x v="4"/>
    <x v="1"/>
  </r>
  <r>
    <s v="TX500710"/>
    <x v="8"/>
    <x v="9"/>
    <n v="30"/>
    <n v="150"/>
    <x v="30"/>
    <d v="2025-02-02T00:00:00"/>
    <s v="M"/>
    <x v="1"/>
    <x v="0"/>
    <x v="0"/>
    <x v="6"/>
    <x v="1"/>
    <x v="4"/>
    <x v="1"/>
  </r>
  <r>
    <s v="TX500711"/>
    <x v="10"/>
    <x v="1"/>
    <n v="69.2"/>
    <n v="138.4"/>
    <x v="30"/>
    <d v="2025-02-02T00:00:00"/>
    <m/>
    <x v="2"/>
    <x v="1"/>
    <x v="0"/>
    <x v="6"/>
    <x v="1"/>
    <x v="4"/>
    <x v="0"/>
  </r>
  <r>
    <s v="TX500712"/>
    <x v="0"/>
    <x v="8"/>
    <n v="10.9"/>
    <n v="87.2"/>
    <x v="30"/>
    <d v="2025-02-01T00:00:00"/>
    <s v="F"/>
    <x v="0"/>
    <x v="2"/>
    <x v="0"/>
    <x v="6"/>
    <x v="3"/>
    <x v="4"/>
    <x v="2"/>
  </r>
  <r>
    <s v="TX500713"/>
    <x v="16"/>
    <x v="1"/>
    <n v="48.6"/>
    <n v="97.2"/>
    <x v="30"/>
    <d v="2025-02-04T00:00:00"/>
    <s v="M"/>
    <x v="1"/>
    <x v="2"/>
    <x v="0"/>
    <x v="6"/>
    <x v="5"/>
    <x v="4"/>
    <x v="1"/>
  </r>
  <r>
    <s v="TX500714"/>
    <x v="2"/>
    <x v="1"/>
    <n v="61.1"/>
    <n v="122.2"/>
    <x v="30"/>
    <d v="2025-02-03T00:00:00"/>
    <s v="F"/>
    <x v="1"/>
    <x v="2"/>
    <x v="0"/>
    <x v="7"/>
    <x v="2"/>
    <x v="4"/>
    <x v="2"/>
  </r>
  <r>
    <s v="TX500715"/>
    <x v="8"/>
    <x v="1"/>
    <n v="23.2"/>
    <n v="46.4"/>
    <x v="30"/>
    <d v="2025-02-01T00:00:00"/>
    <s v="M"/>
    <x v="3"/>
    <x v="2"/>
    <x v="0"/>
    <x v="8"/>
    <x v="3"/>
    <x v="4"/>
    <x v="1"/>
  </r>
  <r>
    <s v="TX500716"/>
    <x v="12"/>
    <x v="12"/>
    <n v="55.8"/>
    <n v="223.2"/>
    <x v="30"/>
    <d v="2025-02-01T00:00:00"/>
    <s v="M"/>
    <x v="0"/>
    <x v="0"/>
    <x v="0"/>
    <x v="8"/>
    <x v="3"/>
    <x v="4"/>
    <x v="1"/>
  </r>
  <r>
    <s v="TX500717"/>
    <x v="9"/>
    <x v="12"/>
    <n v="24.8"/>
    <n v="99.2"/>
    <x v="30"/>
    <d v="2025-02-01T00:00:00"/>
    <s v="F"/>
    <x v="0"/>
    <x v="2"/>
    <x v="0"/>
    <x v="8"/>
    <x v="3"/>
    <x v="4"/>
    <x v="2"/>
  </r>
  <r>
    <s v="TX500718"/>
    <x v="10"/>
    <x v="1"/>
    <n v="27.9"/>
    <n v="55.8"/>
    <x v="30"/>
    <d v="2025-01-31T00:00:00"/>
    <s v="M"/>
    <x v="2"/>
    <x v="2"/>
    <x v="0"/>
    <x v="8"/>
    <x v="7"/>
    <x v="4"/>
    <x v="1"/>
  </r>
  <r>
    <s v="TX500719"/>
    <x v="10"/>
    <x v="13"/>
    <n v="51.1"/>
    <n v="306.60000000000002"/>
    <x v="30"/>
    <d v="2025-01-31T00:00:00"/>
    <s v="F"/>
    <x v="3"/>
    <x v="0"/>
    <x v="0"/>
    <x v="8"/>
    <x v="7"/>
    <x v="4"/>
    <x v="2"/>
  </r>
  <r>
    <s v="TX500720"/>
    <x v="17"/>
    <x v="5"/>
    <n v="32.700000000000003"/>
    <n v="359.70000000000005"/>
    <x v="30"/>
    <d v="2025-02-01T00:00:00"/>
    <s v="M"/>
    <x v="4"/>
    <x v="2"/>
    <x v="0"/>
    <x v="17"/>
    <x v="3"/>
    <x v="4"/>
    <x v="1"/>
  </r>
  <r>
    <s v="TX500721"/>
    <x v="8"/>
    <x v="12"/>
    <n v="22.5"/>
    <n v="90"/>
    <x v="30"/>
    <d v="2025-01-31T00:00:00"/>
    <s v="M"/>
    <x v="0"/>
    <x v="2"/>
    <x v="0"/>
    <x v="26"/>
    <x v="7"/>
    <x v="4"/>
    <x v="1"/>
  </r>
  <r>
    <s v="TX500722"/>
    <x v="0"/>
    <x v="3"/>
    <n v="14.6"/>
    <n v="102.2"/>
    <x v="30"/>
    <d v="2025-02-01T00:00:00"/>
    <s v="F"/>
    <x v="2"/>
    <x v="0"/>
    <x v="0"/>
    <x v="41"/>
    <x v="3"/>
    <x v="4"/>
    <x v="2"/>
  </r>
  <r>
    <s v="TX500723"/>
    <x v="5"/>
    <x v="2"/>
    <n v="32.5"/>
    <n v="97.5"/>
    <x v="30"/>
    <d v="2025-02-03T00:00:00"/>
    <s v="M"/>
    <x v="0"/>
    <x v="0"/>
    <x v="0"/>
    <x v="10"/>
    <x v="2"/>
    <x v="4"/>
    <x v="1"/>
  </r>
  <r>
    <s v="TX500724"/>
    <x v="18"/>
    <x v="0"/>
    <n v="78.099999999999994"/>
    <n v="78.099999999999994"/>
    <x v="30"/>
    <d v="2025-02-03T00:00:00"/>
    <s v="M"/>
    <x v="0"/>
    <x v="2"/>
    <x v="0"/>
    <x v="11"/>
    <x v="2"/>
    <x v="4"/>
    <x v="1"/>
  </r>
  <r>
    <s v="TX500725"/>
    <x v="12"/>
    <x v="13"/>
    <n v="110.2"/>
    <n v="661.2"/>
    <x v="30"/>
    <d v="2025-01-31T00:00:00"/>
    <s v="M"/>
    <x v="1"/>
    <x v="4"/>
    <x v="0"/>
    <x v="13"/>
    <x v="7"/>
    <x v="4"/>
    <x v="1"/>
  </r>
  <r>
    <s v="TX500726"/>
    <x v="6"/>
    <x v="2"/>
    <n v="86.3"/>
    <n v="258.89999999999998"/>
    <x v="30"/>
    <d v="2025-02-02T00:00:00"/>
    <s v="F"/>
    <x v="3"/>
    <x v="0"/>
    <x v="0"/>
    <x v="21"/>
    <x v="1"/>
    <x v="4"/>
    <x v="2"/>
  </r>
  <r>
    <s v="TX500727"/>
    <x v="1"/>
    <x v="13"/>
    <n v="73.599999999999994"/>
    <n v="441.59999999999997"/>
    <x v="30"/>
    <d v="2025-02-02T00:00:00"/>
    <s v="O"/>
    <x v="3"/>
    <x v="4"/>
    <x v="0"/>
    <x v="44"/>
    <x v="1"/>
    <x v="4"/>
    <x v="3"/>
  </r>
  <r>
    <s v="TX500728"/>
    <x v="6"/>
    <x v="15"/>
    <n v="67.7"/>
    <n v="880.1"/>
    <x v="30"/>
    <d v="2025-02-02T00:00:00"/>
    <s v="F"/>
    <x v="0"/>
    <x v="2"/>
    <x v="0"/>
    <x v="3"/>
    <x v="1"/>
    <x v="4"/>
    <x v="2"/>
  </r>
  <r>
    <s v="TX500729"/>
    <x v="7"/>
    <x v="13"/>
    <n v="142.19999999999999"/>
    <n v="853.19999999999993"/>
    <x v="30"/>
    <d v="2025-02-01T00:00:00"/>
    <s v="F"/>
    <x v="2"/>
    <x v="4"/>
    <x v="0"/>
    <x v="3"/>
    <x v="3"/>
    <x v="4"/>
    <x v="2"/>
  </r>
  <r>
    <s v="TX500730"/>
    <x v="1"/>
    <x v="11"/>
    <n v="45.8"/>
    <n v="412.2"/>
    <x v="30"/>
    <d v="2025-02-02T00:00:00"/>
    <s v="F"/>
    <x v="1"/>
    <x v="2"/>
    <x v="0"/>
    <x v="3"/>
    <x v="1"/>
    <x v="4"/>
    <x v="2"/>
  </r>
  <r>
    <s v="TX500731"/>
    <x v="10"/>
    <x v="1"/>
    <n v="24.2"/>
    <n v="48.4"/>
    <x v="31"/>
    <d v="2025-02-04T00:00:00"/>
    <s v="F"/>
    <x v="3"/>
    <x v="2"/>
    <x v="0"/>
    <x v="3"/>
    <x v="2"/>
    <x v="4"/>
    <x v="2"/>
  </r>
  <r>
    <s v="TX500732"/>
    <x v="2"/>
    <x v="2"/>
    <n v="144.9"/>
    <n v="434.70000000000005"/>
    <x v="31"/>
    <d v="2025-02-02T00:00:00"/>
    <s v="O"/>
    <x v="2"/>
    <x v="2"/>
    <x v="0"/>
    <x v="3"/>
    <x v="3"/>
    <x v="4"/>
    <x v="3"/>
  </r>
  <r>
    <s v="TX500733"/>
    <x v="11"/>
    <x v="9"/>
    <n v="32.799999999999997"/>
    <n v="164"/>
    <x v="31"/>
    <d v="2025-02-04T00:00:00"/>
    <s v="F"/>
    <x v="2"/>
    <x v="0"/>
    <x v="0"/>
    <x v="23"/>
    <x v="2"/>
    <x v="4"/>
    <x v="2"/>
  </r>
  <r>
    <s v="TX500734"/>
    <x v="7"/>
    <x v="7"/>
    <n v="35.700000000000003"/>
    <n v="357"/>
    <x v="31"/>
    <d v="2025-02-01T00:00:00"/>
    <s v="F"/>
    <x v="0"/>
    <x v="1"/>
    <x v="0"/>
    <x v="6"/>
    <x v="7"/>
    <x v="4"/>
    <x v="2"/>
  </r>
  <r>
    <s v="TX500735"/>
    <x v="9"/>
    <x v="1"/>
    <n v="54.6"/>
    <n v="109.2"/>
    <x v="31"/>
    <d v="2025-02-02T00:00:00"/>
    <s v="F"/>
    <x v="2"/>
    <x v="0"/>
    <x v="0"/>
    <x v="6"/>
    <x v="3"/>
    <x v="4"/>
    <x v="2"/>
  </r>
  <r>
    <s v="TX500736"/>
    <x v="8"/>
    <x v="1"/>
    <n v="35.700000000000003"/>
    <n v="71.400000000000006"/>
    <x v="31"/>
    <d v="2025-02-04T00:00:00"/>
    <m/>
    <x v="0"/>
    <x v="1"/>
    <x v="0"/>
    <x v="6"/>
    <x v="2"/>
    <x v="4"/>
    <x v="0"/>
  </r>
  <r>
    <s v="TX500737"/>
    <x v="10"/>
    <x v="1"/>
    <n v="52.4"/>
    <n v="104.8"/>
    <x v="31"/>
    <d v="2025-02-01T00:00:00"/>
    <s v="F"/>
    <x v="0"/>
    <x v="3"/>
    <x v="0"/>
    <x v="6"/>
    <x v="7"/>
    <x v="4"/>
    <x v="2"/>
  </r>
  <r>
    <s v="TX500738"/>
    <x v="8"/>
    <x v="21"/>
    <n v="16.2"/>
    <n v="226.79999999999998"/>
    <x v="31"/>
    <d v="2025-02-02T00:00:00"/>
    <m/>
    <x v="0"/>
    <x v="1"/>
    <x v="0"/>
    <x v="8"/>
    <x v="3"/>
    <x v="4"/>
    <x v="0"/>
  </r>
  <r>
    <s v="TX500739"/>
    <x v="6"/>
    <x v="35"/>
    <n v="42.8"/>
    <n v="2011.6"/>
    <x v="31"/>
    <d v="2025-02-02T00:00:00"/>
    <s v="F"/>
    <x v="0"/>
    <x v="0"/>
    <x v="0"/>
    <x v="8"/>
    <x v="3"/>
    <x v="4"/>
    <x v="2"/>
  </r>
  <r>
    <s v="TX500740"/>
    <x v="6"/>
    <x v="11"/>
    <n v="144.4"/>
    <n v="1299.6000000000001"/>
    <x v="31"/>
    <d v="2025-02-04T00:00:00"/>
    <s v="F"/>
    <x v="4"/>
    <x v="0"/>
    <x v="0"/>
    <x v="8"/>
    <x v="2"/>
    <x v="4"/>
    <x v="2"/>
  </r>
  <r>
    <s v="TX500741"/>
    <x v="3"/>
    <x v="34"/>
    <n v="30.6"/>
    <n v="1101.6000000000001"/>
    <x v="31"/>
    <d v="2025-02-05T00:00:00"/>
    <s v="F"/>
    <x v="2"/>
    <x v="2"/>
    <x v="0"/>
    <x v="11"/>
    <x v="5"/>
    <x v="4"/>
    <x v="2"/>
  </r>
  <r>
    <s v="TX500742"/>
    <x v="2"/>
    <x v="1"/>
    <n v="117.5"/>
    <n v="235"/>
    <x v="31"/>
    <d v="2025-02-02T00:00:00"/>
    <s v="M"/>
    <x v="0"/>
    <x v="0"/>
    <x v="0"/>
    <x v="19"/>
    <x v="3"/>
    <x v="4"/>
    <x v="1"/>
  </r>
  <r>
    <s v="TX500743"/>
    <x v="6"/>
    <x v="1"/>
    <n v="105.7"/>
    <n v="211.4"/>
    <x v="31"/>
    <d v="2025-02-02T00:00:00"/>
    <s v="F"/>
    <x v="2"/>
    <x v="2"/>
    <x v="0"/>
    <x v="21"/>
    <x v="3"/>
    <x v="4"/>
    <x v="2"/>
  </r>
  <r>
    <s v="TX500744"/>
    <x v="3"/>
    <x v="2"/>
    <n v="133.69999999999999"/>
    <n v="401.09999999999997"/>
    <x v="31"/>
    <d v="2025-02-02T00:00:00"/>
    <m/>
    <x v="4"/>
    <x v="2"/>
    <x v="0"/>
    <x v="21"/>
    <x v="3"/>
    <x v="4"/>
    <x v="0"/>
  </r>
  <r>
    <s v="TX500745"/>
    <x v="4"/>
    <x v="9"/>
    <n v="46.8"/>
    <n v="234"/>
    <x v="32"/>
    <d v="2025-02-10T00:00:00"/>
    <s v="F"/>
    <x v="0"/>
    <x v="1"/>
    <x v="0"/>
    <x v="21"/>
    <x v="9"/>
    <x v="5"/>
    <x v="2"/>
  </r>
  <r>
    <s v="TX500746"/>
    <x v="10"/>
    <x v="2"/>
    <n v="58.4"/>
    <n v="175.2"/>
    <x v="32"/>
    <d v="2025-02-04T00:00:00"/>
    <s v="F"/>
    <x v="0"/>
    <x v="0"/>
    <x v="0"/>
    <x v="1"/>
    <x v="1"/>
    <x v="5"/>
    <x v="2"/>
  </r>
  <r>
    <s v="TX500747"/>
    <x v="6"/>
    <x v="11"/>
    <n v="65.099999999999994"/>
    <n v="585.9"/>
    <x v="32"/>
    <d v="2025-02-06T00:00:00"/>
    <s v="M"/>
    <x v="1"/>
    <x v="2"/>
    <x v="0"/>
    <x v="22"/>
    <x v="5"/>
    <x v="5"/>
    <x v="1"/>
  </r>
  <r>
    <s v="TX500748"/>
    <x v="8"/>
    <x v="0"/>
    <n v="18.600000000000001"/>
    <n v="18.600000000000001"/>
    <x v="32"/>
    <d v="2025-02-05T00:00:00"/>
    <s v="F"/>
    <x v="0"/>
    <x v="4"/>
    <x v="0"/>
    <x v="22"/>
    <x v="2"/>
    <x v="5"/>
    <x v="2"/>
  </r>
  <r>
    <s v="TX500749"/>
    <x v="1"/>
    <x v="5"/>
    <n v="92.3"/>
    <n v="1015.3"/>
    <x v="32"/>
    <d v="2025-02-04T00:00:00"/>
    <s v="M"/>
    <x v="1"/>
    <x v="0"/>
    <x v="0"/>
    <x v="3"/>
    <x v="1"/>
    <x v="5"/>
    <x v="1"/>
  </r>
  <r>
    <s v="TX500750"/>
    <x v="6"/>
    <x v="2"/>
    <n v="81.7"/>
    <n v="245.10000000000002"/>
    <x v="32"/>
    <d v="2025-02-03T00:00:00"/>
    <m/>
    <x v="4"/>
    <x v="4"/>
    <x v="0"/>
    <x v="3"/>
    <x v="3"/>
    <x v="5"/>
    <x v="0"/>
  </r>
  <r>
    <s v="TX500751"/>
    <x v="8"/>
    <x v="1"/>
    <n v="40.9"/>
    <n v="81.8"/>
    <x v="32"/>
    <d v="2025-02-04T00:00:00"/>
    <s v="M"/>
    <x v="0"/>
    <x v="1"/>
    <x v="0"/>
    <x v="3"/>
    <x v="1"/>
    <x v="5"/>
    <x v="1"/>
  </r>
  <r>
    <s v="TX500752"/>
    <x v="6"/>
    <x v="12"/>
    <n v="43.2"/>
    <n v="172.8"/>
    <x v="32"/>
    <d v="2025-02-08T00:00:00"/>
    <s v="F"/>
    <x v="0"/>
    <x v="1"/>
    <x v="0"/>
    <x v="3"/>
    <x v="4"/>
    <x v="5"/>
    <x v="2"/>
  </r>
  <r>
    <s v="TX500753"/>
    <x v="8"/>
    <x v="5"/>
    <n v="25.8"/>
    <n v="283.8"/>
    <x v="32"/>
    <d v="2025-02-05T00:00:00"/>
    <s v="M"/>
    <x v="2"/>
    <x v="1"/>
    <x v="0"/>
    <x v="3"/>
    <x v="2"/>
    <x v="5"/>
    <x v="1"/>
  </r>
  <r>
    <s v="TX500754"/>
    <x v="15"/>
    <x v="12"/>
    <n v="36.4"/>
    <n v="145.6"/>
    <x v="32"/>
    <d v="2025-02-03T00:00:00"/>
    <s v="M"/>
    <x v="0"/>
    <x v="0"/>
    <x v="0"/>
    <x v="3"/>
    <x v="3"/>
    <x v="5"/>
    <x v="1"/>
  </r>
  <r>
    <s v="TX500755"/>
    <x v="10"/>
    <x v="0"/>
    <n v="59.1"/>
    <n v="59.1"/>
    <x v="32"/>
    <d v="2025-02-03T00:00:00"/>
    <s v="F"/>
    <x v="2"/>
    <x v="0"/>
    <x v="0"/>
    <x v="7"/>
    <x v="3"/>
    <x v="5"/>
    <x v="2"/>
  </r>
  <r>
    <s v="TX500756"/>
    <x v="2"/>
    <x v="14"/>
    <n v="74.5"/>
    <n v="1266.5"/>
    <x v="32"/>
    <d v="2025-02-04T00:00:00"/>
    <s v="M"/>
    <x v="4"/>
    <x v="0"/>
    <x v="0"/>
    <x v="18"/>
    <x v="1"/>
    <x v="5"/>
    <x v="1"/>
  </r>
  <r>
    <s v="TX500757"/>
    <x v="5"/>
    <x v="0"/>
    <n v="72.8"/>
    <n v="72.8"/>
    <x v="32"/>
    <d v="2025-02-03T00:00:00"/>
    <s v="F"/>
    <x v="0"/>
    <x v="1"/>
    <x v="0"/>
    <x v="19"/>
    <x v="3"/>
    <x v="5"/>
    <x v="2"/>
  </r>
  <r>
    <s v="TX500758"/>
    <x v="6"/>
    <x v="12"/>
    <n v="137.30000000000001"/>
    <n v="549.20000000000005"/>
    <x v="32"/>
    <d v="2025-02-05T00:00:00"/>
    <s v="F"/>
    <x v="0"/>
    <x v="0"/>
    <x v="0"/>
    <x v="13"/>
    <x v="2"/>
    <x v="5"/>
    <x v="2"/>
  </r>
  <r>
    <s v="TX500759"/>
    <x v="1"/>
    <x v="2"/>
    <n v="48.7"/>
    <n v="146.10000000000002"/>
    <x v="32"/>
    <d v="2025-02-07T00:00:00"/>
    <s v="F"/>
    <x v="0"/>
    <x v="1"/>
    <x v="0"/>
    <x v="21"/>
    <x v="0"/>
    <x v="5"/>
    <x v="2"/>
  </r>
  <r>
    <s v="TX500760"/>
    <x v="6"/>
    <x v="12"/>
    <n v="53.7"/>
    <n v="214.8"/>
    <x v="32"/>
    <d v="2025-02-06T00:00:00"/>
    <s v="M"/>
    <x v="1"/>
    <x v="4"/>
    <x v="0"/>
    <x v="2"/>
    <x v="5"/>
    <x v="5"/>
    <x v="1"/>
  </r>
  <r>
    <s v="TX500761"/>
    <x v="2"/>
    <x v="3"/>
    <n v="100.9"/>
    <n v="706.30000000000007"/>
    <x v="32"/>
    <d v="2025-02-04T00:00:00"/>
    <s v="F"/>
    <x v="0"/>
    <x v="1"/>
    <x v="0"/>
    <x v="2"/>
    <x v="1"/>
    <x v="5"/>
    <x v="2"/>
  </r>
  <r>
    <s v="TX500762"/>
    <x v="10"/>
    <x v="1"/>
    <n v="41.8"/>
    <n v="83.6"/>
    <x v="32"/>
    <d v="2025-02-06T00:00:00"/>
    <s v="M"/>
    <x v="3"/>
    <x v="2"/>
    <x v="0"/>
    <x v="22"/>
    <x v="5"/>
    <x v="5"/>
    <x v="1"/>
  </r>
  <r>
    <s v="TX500763"/>
    <x v="4"/>
    <x v="8"/>
    <n v="28.5"/>
    <n v="228"/>
    <x v="32"/>
    <d v="2025-02-04T00:00:00"/>
    <s v="M"/>
    <x v="2"/>
    <x v="1"/>
    <x v="0"/>
    <x v="3"/>
    <x v="1"/>
    <x v="5"/>
    <x v="1"/>
  </r>
  <r>
    <s v="TX500764"/>
    <x v="7"/>
    <x v="12"/>
    <n v="88.9"/>
    <n v="355.6"/>
    <x v="32"/>
    <d v="2025-02-05T00:00:00"/>
    <s v="F"/>
    <x v="0"/>
    <x v="2"/>
    <x v="0"/>
    <x v="3"/>
    <x v="2"/>
    <x v="5"/>
    <x v="2"/>
  </r>
  <r>
    <s v="TX500765"/>
    <x v="6"/>
    <x v="0"/>
    <n v="62.5"/>
    <n v="62.5"/>
    <x v="32"/>
    <d v="2025-02-11T00:00:00"/>
    <s v="F"/>
    <x v="0"/>
    <x v="2"/>
    <x v="0"/>
    <x v="3"/>
    <x v="8"/>
    <x v="5"/>
    <x v="2"/>
  </r>
  <r>
    <s v="TX500766"/>
    <x v="1"/>
    <x v="2"/>
    <n v="46.9"/>
    <n v="140.69999999999999"/>
    <x v="32"/>
    <d v="2025-02-03T00:00:00"/>
    <s v="M"/>
    <x v="0"/>
    <x v="2"/>
    <x v="0"/>
    <x v="3"/>
    <x v="3"/>
    <x v="5"/>
    <x v="1"/>
  </r>
  <r>
    <s v="TX500767"/>
    <x v="8"/>
    <x v="2"/>
    <n v="45"/>
    <n v="135"/>
    <x v="32"/>
    <d v="2025-02-16T00:00:00"/>
    <s v="M"/>
    <x v="1"/>
    <x v="0"/>
    <x v="0"/>
    <x v="3"/>
    <x v="12"/>
    <x v="5"/>
    <x v="1"/>
  </r>
  <r>
    <s v="TX500768"/>
    <x v="6"/>
    <x v="2"/>
    <n v="45.2"/>
    <n v="135.60000000000002"/>
    <x v="32"/>
    <d v="2025-02-04T00:00:00"/>
    <s v="M"/>
    <x v="4"/>
    <x v="2"/>
    <x v="0"/>
    <x v="3"/>
    <x v="1"/>
    <x v="5"/>
    <x v="1"/>
  </r>
  <r>
    <s v="TX500769"/>
    <x v="4"/>
    <x v="1"/>
    <n v="60.1"/>
    <n v="120.2"/>
    <x v="32"/>
    <d v="2025-02-03T00:00:00"/>
    <s v="F"/>
    <x v="0"/>
    <x v="2"/>
    <x v="0"/>
    <x v="3"/>
    <x v="3"/>
    <x v="5"/>
    <x v="2"/>
  </r>
  <r>
    <s v="TX500770"/>
    <x v="12"/>
    <x v="12"/>
    <n v="118.7"/>
    <n v="474.8"/>
    <x v="32"/>
    <d v="2025-02-04T00:00:00"/>
    <s v="F"/>
    <x v="0"/>
    <x v="0"/>
    <x v="0"/>
    <x v="3"/>
    <x v="1"/>
    <x v="5"/>
    <x v="2"/>
  </r>
  <r>
    <s v="TX500771"/>
    <x v="9"/>
    <x v="0"/>
    <n v="57.8"/>
    <n v="57.8"/>
    <x v="32"/>
    <d v="2025-02-11T00:00:00"/>
    <s v="F"/>
    <x v="1"/>
    <x v="0"/>
    <x v="0"/>
    <x v="3"/>
    <x v="8"/>
    <x v="5"/>
    <x v="2"/>
  </r>
  <r>
    <s v="TX500772"/>
    <x v="4"/>
    <x v="0"/>
    <n v="19.5"/>
    <n v="19.5"/>
    <x v="32"/>
    <d v="2025-02-03T00:00:00"/>
    <s v="M"/>
    <x v="1"/>
    <x v="1"/>
    <x v="0"/>
    <x v="3"/>
    <x v="3"/>
    <x v="5"/>
    <x v="1"/>
  </r>
  <r>
    <s v="TX500773"/>
    <x v="12"/>
    <x v="0"/>
    <n v="42.6"/>
    <n v="42.6"/>
    <x v="32"/>
    <d v="2025-02-03T00:00:00"/>
    <s v="M"/>
    <x v="0"/>
    <x v="1"/>
    <x v="0"/>
    <x v="3"/>
    <x v="3"/>
    <x v="5"/>
    <x v="1"/>
  </r>
  <r>
    <s v="TX500774"/>
    <x v="6"/>
    <x v="1"/>
    <n v="74.8"/>
    <n v="149.6"/>
    <x v="32"/>
    <d v="2025-02-03T00:00:00"/>
    <s v="F"/>
    <x v="3"/>
    <x v="2"/>
    <x v="0"/>
    <x v="37"/>
    <x v="3"/>
    <x v="5"/>
    <x v="2"/>
  </r>
  <r>
    <s v="TX500775"/>
    <x v="8"/>
    <x v="2"/>
    <n v="32.5"/>
    <n v="97.5"/>
    <x v="32"/>
    <d v="2025-02-03T00:00:00"/>
    <s v="M"/>
    <x v="2"/>
    <x v="4"/>
    <x v="0"/>
    <x v="16"/>
    <x v="3"/>
    <x v="5"/>
    <x v="1"/>
  </r>
  <r>
    <s v="TX500776"/>
    <x v="2"/>
    <x v="2"/>
    <n v="60.5"/>
    <n v="181.5"/>
    <x v="32"/>
    <d v="2025-02-02T00:00:00"/>
    <s v="F"/>
    <x v="1"/>
    <x v="2"/>
    <x v="0"/>
    <x v="25"/>
    <x v="7"/>
    <x v="5"/>
    <x v="2"/>
  </r>
  <r>
    <s v="TX500777"/>
    <x v="1"/>
    <x v="3"/>
    <n v="57.2"/>
    <n v="400.40000000000003"/>
    <x v="32"/>
    <d v="2025-02-04T00:00:00"/>
    <m/>
    <x v="2"/>
    <x v="0"/>
    <x v="0"/>
    <x v="25"/>
    <x v="1"/>
    <x v="5"/>
    <x v="0"/>
  </r>
  <r>
    <s v="TX500778"/>
    <x v="16"/>
    <x v="1"/>
    <n v="112"/>
    <n v="224"/>
    <x v="32"/>
    <d v="2025-02-03T00:00:00"/>
    <s v="F"/>
    <x v="1"/>
    <x v="1"/>
    <x v="0"/>
    <x v="5"/>
    <x v="3"/>
    <x v="5"/>
    <x v="2"/>
  </r>
  <r>
    <s v="TX500779"/>
    <x v="7"/>
    <x v="7"/>
    <n v="49"/>
    <n v="490"/>
    <x v="32"/>
    <d v="2025-02-03T00:00:00"/>
    <s v="O"/>
    <x v="2"/>
    <x v="1"/>
    <x v="0"/>
    <x v="6"/>
    <x v="3"/>
    <x v="5"/>
    <x v="3"/>
  </r>
  <r>
    <s v="TX500780"/>
    <x v="0"/>
    <x v="1"/>
    <n v="33.700000000000003"/>
    <n v="67.400000000000006"/>
    <x v="32"/>
    <d v="2025-02-06T00:00:00"/>
    <s v="F"/>
    <x v="3"/>
    <x v="0"/>
    <x v="0"/>
    <x v="6"/>
    <x v="5"/>
    <x v="5"/>
    <x v="2"/>
  </r>
  <r>
    <s v="TX500781"/>
    <x v="4"/>
    <x v="2"/>
    <n v="35.6"/>
    <n v="106.80000000000001"/>
    <x v="32"/>
    <d v="2025-02-05T00:00:00"/>
    <s v="F"/>
    <x v="0"/>
    <x v="2"/>
    <x v="0"/>
    <x v="6"/>
    <x v="2"/>
    <x v="5"/>
    <x v="2"/>
  </r>
  <r>
    <s v="TX500782"/>
    <x v="4"/>
    <x v="36"/>
    <n v="30.4"/>
    <n v="1064"/>
    <x v="33"/>
    <d v="2025-02-03T00:00:00"/>
    <s v="F"/>
    <x v="0"/>
    <x v="1"/>
    <x v="0"/>
    <x v="7"/>
    <x v="7"/>
    <x v="5"/>
    <x v="2"/>
  </r>
  <r>
    <s v="TX500783"/>
    <x v="10"/>
    <x v="4"/>
    <n v="50.2"/>
    <n v="602.40000000000009"/>
    <x v="33"/>
    <d v="2025-02-04T00:00:00"/>
    <s v="M"/>
    <x v="4"/>
    <x v="0"/>
    <x v="0"/>
    <x v="8"/>
    <x v="3"/>
    <x v="5"/>
    <x v="1"/>
  </r>
  <r>
    <s v="TX500784"/>
    <x v="1"/>
    <x v="1"/>
    <n v="43.7"/>
    <n v="87.4"/>
    <x v="33"/>
    <d v="2025-02-05T00:00:00"/>
    <s v="F"/>
    <x v="0"/>
    <x v="0"/>
    <x v="0"/>
    <x v="8"/>
    <x v="1"/>
    <x v="5"/>
    <x v="2"/>
  </r>
  <r>
    <s v="TX500785"/>
    <x v="10"/>
    <x v="0"/>
    <n v="33.299999999999997"/>
    <n v="33.299999999999997"/>
    <x v="33"/>
    <d v="2025-02-04T00:00:00"/>
    <s v="F"/>
    <x v="2"/>
    <x v="1"/>
    <x v="0"/>
    <x v="8"/>
    <x v="3"/>
    <x v="5"/>
    <x v="2"/>
  </r>
  <r>
    <s v="TX500786"/>
    <x v="8"/>
    <x v="12"/>
    <n v="15.1"/>
    <n v="60.4"/>
    <x v="33"/>
    <d v="2025-02-05T00:00:00"/>
    <s v="F"/>
    <x v="4"/>
    <x v="2"/>
    <x v="0"/>
    <x v="8"/>
    <x v="1"/>
    <x v="5"/>
    <x v="2"/>
  </r>
  <r>
    <s v="TX500787"/>
    <x v="6"/>
    <x v="9"/>
    <n v="118.2"/>
    <n v="591"/>
    <x v="33"/>
    <d v="2025-02-04T00:00:00"/>
    <s v="F"/>
    <x v="3"/>
    <x v="4"/>
    <x v="0"/>
    <x v="8"/>
    <x v="3"/>
    <x v="5"/>
    <x v="2"/>
  </r>
  <r>
    <s v="TX500788"/>
    <x v="10"/>
    <x v="2"/>
    <n v="28.9"/>
    <n v="86.699999999999989"/>
    <x v="33"/>
    <d v="2025-02-05T00:00:00"/>
    <s v="F"/>
    <x v="2"/>
    <x v="1"/>
    <x v="0"/>
    <x v="8"/>
    <x v="1"/>
    <x v="5"/>
    <x v="2"/>
  </r>
  <r>
    <s v="TX500789"/>
    <x v="4"/>
    <x v="2"/>
    <n v="55.6"/>
    <n v="166.8"/>
    <x v="33"/>
    <d v="2025-02-04T00:00:00"/>
    <s v="M"/>
    <x v="0"/>
    <x v="1"/>
    <x v="0"/>
    <x v="8"/>
    <x v="3"/>
    <x v="5"/>
    <x v="1"/>
  </r>
  <r>
    <s v="TX500790"/>
    <x v="9"/>
    <x v="12"/>
    <n v="25.6"/>
    <n v="102.4"/>
    <x v="33"/>
    <d v="2025-02-05T00:00:00"/>
    <s v="F"/>
    <x v="0"/>
    <x v="1"/>
    <x v="0"/>
    <x v="8"/>
    <x v="1"/>
    <x v="5"/>
    <x v="2"/>
  </r>
  <r>
    <s v="TX500791"/>
    <x v="7"/>
    <x v="2"/>
    <n v="31.3"/>
    <n v="93.9"/>
    <x v="33"/>
    <d v="2025-02-04T00:00:00"/>
    <s v="M"/>
    <x v="0"/>
    <x v="0"/>
    <x v="0"/>
    <x v="17"/>
    <x v="3"/>
    <x v="5"/>
    <x v="1"/>
  </r>
  <r>
    <s v="TX500792"/>
    <x v="0"/>
    <x v="2"/>
    <n v="22.1"/>
    <n v="66.300000000000011"/>
    <x v="33"/>
    <d v="2025-02-07T00:00:00"/>
    <s v="M"/>
    <x v="0"/>
    <x v="0"/>
    <x v="0"/>
    <x v="17"/>
    <x v="5"/>
    <x v="5"/>
    <x v="1"/>
  </r>
  <r>
    <s v="TX500793"/>
    <x v="2"/>
    <x v="21"/>
    <n v="99.4"/>
    <n v="1391.6000000000001"/>
    <x v="33"/>
    <d v="2025-02-04T00:00:00"/>
    <s v="M"/>
    <x v="1"/>
    <x v="0"/>
    <x v="0"/>
    <x v="11"/>
    <x v="3"/>
    <x v="5"/>
    <x v="1"/>
  </r>
  <r>
    <s v="TX500794"/>
    <x v="7"/>
    <x v="13"/>
    <n v="66.599999999999994"/>
    <n v="399.59999999999997"/>
    <x v="33"/>
    <d v="2025-02-04T00:00:00"/>
    <s v="F"/>
    <x v="0"/>
    <x v="0"/>
    <x v="0"/>
    <x v="11"/>
    <x v="3"/>
    <x v="5"/>
    <x v="2"/>
  </r>
  <r>
    <s v="TX500795"/>
    <x v="8"/>
    <x v="1"/>
    <n v="22.6"/>
    <n v="45.2"/>
    <x v="33"/>
    <d v="2025-02-06T00:00:00"/>
    <s v="M"/>
    <x v="0"/>
    <x v="0"/>
    <x v="0"/>
    <x v="11"/>
    <x v="2"/>
    <x v="5"/>
    <x v="1"/>
  </r>
  <r>
    <s v="TX500796"/>
    <x v="2"/>
    <x v="16"/>
    <n v="66.8"/>
    <n v="1202.3999999999999"/>
    <x v="33"/>
    <d v="2025-02-04T00:00:00"/>
    <s v="F"/>
    <x v="0"/>
    <x v="4"/>
    <x v="0"/>
    <x v="13"/>
    <x v="3"/>
    <x v="5"/>
    <x v="2"/>
  </r>
  <r>
    <s v="TX500797"/>
    <x v="0"/>
    <x v="12"/>
    <n v="20.8"/>
    <n v="83.2"/>
    <x v="33"/>
    <d v="2025-02-10T00:00:00"/>
    <s v="M"/>
    <x v="1"/>
    <x v="4"/>
    <x v="0"/>
    <x v="1"/>
    <x v="6"/>
    <x v="5"/>
    <x v="1"/>
  </r>
  <r>
    <s v="TX500798"/>
    <x v="2"/>
    <x v="3"/>
    <n v="102.5"/>
    <n v="717.5"/>
    <x v="33"/>
    <d v="2025-02-04T00:00:00"/>
    <s v="F"/>
    <x v="4"/>
    <x v="2"/>
    <x v="0"/>
    <x v="3"/>
    <x v="3"/>
    <x v="5"/>
    <x v="2"/>
  </r>
  <r>
    <s v="TX500799"/>
    <x v="0"/>
    <x v="16"/>
    <n v="24.8"/>
    <n v="446.40000000000003"/>
    <x v="33"/>
    <d v="2025-02-07T00:00:00"/>
    <s v="F"/>
    <x v="0"/>
    <x v="0"/>
    <x v="0"/>
    <x v="3"/>
    <x v="5"/>
    <x v="5"/>
    <x v="2"/>
  </r>
  <r>
    <s v="TX500800"/>
    <x v="4"/>
    <x v="37"/>
    <n v="31.4"/>
    <n v="973.4"/>
    <x v="33"/>
    <d v="2025-02-04T00:00:00"/>
    <s v="F"/>
    <x v="3"/>
    <x v="0"/>
    <x v="0"/>
    <x v="3"/>
    <x v="3"/>
    <x v="5"/>
    <x v="2"/>
  </r>
  <r>
    <s v="TX500801"/>
    <x v="9"/>
    <x v="9"/>
    <n v="59.3"/>
    <n v="296.5"/>
    <x v="33"/>
    <d v="2025-02-06T00:00:00"/>
    <s v="M"/>
    <x v="1"/>
    <x v="2"/>
    <x v="0"/>
    <x v="43"/>
    <x v="2"/>
    <x v="5"/>
    <x v="1"/>
  </r>
  <r>
    <s v="TX500802"/>
    <x v="11"/>
    <x v="13"/>
    <n v="39"/>
    <n v="234"/>
    <x v="33"/>
    <d v="2025-02-06T00:00:00"/>
    <s v="M"/>
    <x v="1"/>
    <x v="0"/>
    <x v="0"/>
    <x v="6"/>
    <x v="2"/>
    <x v="5"/>
    <x v="1"/>
  </r>
  <r>
    <s v="TX500803"/>
    <x v="5"/>
    <x v="13"/>
    <n v="98.6"/>
    <n v="591.59999999999991"/>
    <x v="33"/>
    <d v="2025-02-05T00:00:00"/>
    <s v="F"/>
    <x v="1"/>
    <x v="0"/>
    <x v="0"/>
    <x v="6"/>
    <x v="1"/>
    <x v="5"/>
    <x v="2"/>
  </r>
  <r>
    <s v="TX500804"/>
    <x v="8"/>
    <x v="0"/>
    <n v="20"/>
    <n v="20"/>
    <x v="34"/>
    <d v="2025-02-05T00:00:00"/>
    <s v="M"/>
    <x v="3"/>
    <x v="2"/>
    <x v="0"/>
    <x v="8"/>
    <x v="3"/>
    <x v="5"/>
    <x v="1"/>
  </r>
  <r>
    <s v="TX500805"/>
    <x v="1"/>
    <x v="1"/>
    <n v="42.9"/>
    <n v="85.8"/>
    <x v="34"/>
    <d v="2025-02-06T00:00:00"/>
    <s v="F"/>
    <x v="0"/>
    <x v="2"/>
    <x v="0"/>
    <x v="8"/>
    <x v="1"/>
    <x v="5"/>
    <x v="2"/>
  </r>
  <r>
    <s v="TX500806"/>
    <x v="7"/>
    <x v="3"/>
    <n v="55.6"/>
    <n v="389.2"/>
    <x v="34"/>
    <d v="2025-02-06T00:00:00"/>
    <s v="F"/>
    <x v="2"/>
    <x v="1"/>
    <x v="0"/>
    <x v="8"/>
    <x v="1"/>
    <x v="5"/>
    <x v="2"/>
  </r>
  <r>
    <s v="TX500807"/>
    <x v="8"/>
    <x v="12"/>
    <n v="19.2"/>
    <n v="76.8"/>
    <x v="34"/>
    <d v="2025-02-09T00:00:00"/>
    <s v="F"/>
    <x v="0"/>
    <x v="0"/>
    <x v="0"/>
    <x v="41"/>
    <x v="0"/>
    <x v="5"/>
    <x v="2"/>
  </r>
  <r>
    <s v="TX500808"/>
    <x v="5"/>
    <x v="1"/>
    <n v="28.8"/>
    <n v="57.6"/>
    <x v="34"/>
    <d v="2025-02-06T00:00:00"/>
    <s v="M"/>
    <x v="1"/>
    <x v="0"/>
    <x v="0"/>
    <x v="18"/>
    <x v="1"/>
    <x v="5"/>
    <x v="1"/>
  </r>
  <r>
    <s v="TX500809"/>
    <x v="4"/>
    <x v="0"/>
    <n v="29.7"/>
    <n v="29.7"/>
    <x v="34"/>
    <d v="2025-02-06T00:00:00"/>
    <s v="F"/>
    <x v="2"/>
    <x v="4"/>
    <x v="0"/>
    <x v="20"/>
    <x v="1"/>
    <x v="5"/>
    <x v="2"/>
  </r>
  <r>
    <s v="TX500810"/>
    <x v="6"/>
    <x v="13"/>
    <n v="63.3"/>
    <n v="379.79999999999995"/>
    <x v="34"/>
    <d v="2025-02-05T00:00:00"/>
    <m/>
    <x v="0"/>
    <x v="2"/>
    <x v="0"/>
    <x v="21"/>
    <x v="3"/>
    <x v="5"/>
    <x v="0"/>
  </r>
  <r>
    <s v="TX500811"/>
    <x v="4"/>
    <x v="0"/>
    <n v="46"/>
    <n v="46"/>
    <x v="34"/>
    <d v="2025-02-05T00:00:00"/>
    <s v="F"/>
    <x v="0"/>
    <x v="2"/>
    <x v="0"/>
    <x v="21"/>
    <x v="3"/>
    <x v="5"/>
    <x v="2"/>
  </r>
  <r>
    <s v="TX500812"/>
    <x v="11"/>
    <x v="2"/>
    <n v="38"/>
    <n v="114"/>
    <x v="34"/>
    <d v="2025-02-06T00:00:00"/>
    <s v="F"/>
    <x v="1"/>
    <x v="2"/>
    <x v="0"/>
    <x v="21"/>
    <x v="1"/>
    <x v="5"/>
    <x v="2"/>
  </r>
  <r>
    <s v="TX500813"/>
    <x v="10"/>
    <x v="15"/>
    <n v="34.6"/>
    <n v="449.8"/>
    <x v="34"/>
    <d v="2025-02-06T00:00:00"/>
    <s v="F"/>
    <x v="0"/>
    <x v="1"/>
    <x v="0"/>
    <x v="21"/>
    <x v="1"/>
    <x v="5"/>
    <x v="2"/>
  </r>
  <r>
    <s v="TX500814"/>
    <x v="3"/>
    <x v="7"/>
    <n v="79.7"/>
    <n v="797"/>
    <x v="34"/>
    <d v="2025-02-05T00:00:00"/>
    <s v="F"/>
    <x v="4"/>
    <x v="1"/>
    <x v="0"/>
    <x v="21"/>
    <x v="3"/>
    <x v="5"/>
    <x v="2"/>
  </r>
  <r>
    <s v="TX500815"/>
    <x v="8"/>
    <x v="8"/>
    <n v="30.5"/>
    <n v="244"/>
    <x v="34"/>
    <d v="2025-02-08T00:00:00"/>
    <s v="M"/>
    <x v="3"/>
    <x v="0"/>
    <x v="0"/>
    <x v="1"/>
    <x v="5"/>
    <x v="5"/>
    <x v="1"/>
  </r>
  <r>
    <s v="TX500816"/>
    <x v="0"/>
    <x v="1"/>
    <n v="20.8"/>
    <n v="41.6"/>
    <x v="34"/>
    <d v="2025-02-05T00:00:00"/>
    <s v="F"/>
    <x v="0"/>
    <x v="0"/>
    <x v="0"/>
    <x v="2"/>
    <x v="3"/>
    <x v="5"/>
    <x v="2"/>
  </r>
  <r>
    <s v="TX500817"/>
    <x v="11"/>
    <x v="3"/>
    <n v="48.5"/>
    <n v="339.5"/>
    <x v="34"/>
    <d v="2025-02-08T00:00:00"/>
    <s v="F"/>
    <x v="2"/>
    <x v="2"/>
    <x v="0"/>
    <x v="2"/>
    <x v="5"/>
    <x v="5"/>
    <x v="2"/>
  </r>
  <r>
    <s v="TX500818"/>
    <x v="2"/>
    <x v="12"/>
    <n v="61.8"/>
    <n v="247.2"/>
    <x v="34"/>
    <d v="2025-02-08T00:00:00"/>
    <s v="F"/>
    <x v="4"/>
    <x v="0"/>
    <x v="0"/>
    <x v="22"/>
    <x v="5"/>
    <x v="5"/>
    <x v="2"/>
  </r>
  <r>
    <s v="TX500819"/>
    <x v="10"/>
    <x v="0"/>
    <n v="46.1"/>
    <n v="46.1"/>
    <x v="34"/>
    <d v="2025-02-05T00:00:00"/>
    <s v="O"/>
    <x v="2"/>
    <x v="0"/>
    <x v="0"/>
    <x v="3"/>
    <x v="3"/>
    <x v="5"/>
    <x v="3"/>
  </r>
  <r>
    <s v="TX500820"/>
    <x v="4"/>
    <x v="13"/>
    <n v="44"/>
    <n v="264"/>
    <x v="34"/>
    <d v="2025-02-05T00:00:00"/>
    <s v="F"/>
    <x v="0"/>
    <x v="0"/>
    <x v="0"/>
    <x v="3"/>
    <x v="3"/>
    <x v="5"/>
    <x v="2"/>
  </r>
  <r>
    <s v="TX500821"/>
    <x v="18"/>
    <x v="1"/>
    <n v="95.7"/>
    <n v="191.4"/>
    <x v="34"/>
    <d v="2025-02-10T00:00:00"/>
    <s v="F"/>
    <x v="3"/>
    <x v="2"/>
    <x v="0"/>
    <x v="3"/>
    <x v="4"/>
    <x v="5"/>
    <x v="2"/>
  </r>
  <r>
    <s v="TX500822"/>
    <x v="7"/>
    <x v="9"/>
    <n v="46.4"/>
    <n v="232"/>
    <x v="34"/>
    <d v="2025-02-07T00:00:00"/>
    <s v="F"/>
    <x v="0"/>
    <x v="0"/>
    <x v="0"/>
    <x v="3"/>
    <x v="2"/>
    <x v="5"/>
    <x v="2"/>
  </r>
  <r>
    <s v="TX500823"/>
    <x v="6"/>
    <x v="1"/>
    <n v="47.2"/>
    <n v="94.4"/>
    <x v="34"/>
    <d v="2025-02-06T00:00:00"/>
    <s v="F"/>
    <x v="0"/>
    <x v="2"/>
    <x v="0"/>
    <x v="3"/>
    <x v="1"/>
    <x v="5"/>
    <x v="2"/>
  </r>
  <r>
    <s v="TX500824"/>
    <x v="7"/>
    <x v="1"/>
    <n v="58.6"/>
    <n v="117.2"/>
    <x v="34"/>
    <d v="2025-02-05T00:00:00"/>
    <s v="F"/>
    <x v="2"/>
    <x v="1"/>
    <x v="0"/>
    <x v="3"/>
    <x v="3"/>
    <x v="5"/>
    <x v="2"/>
  </r>
  <r>
    <s v="TX500825"/>
    <x v="4"/>
    <x v="2"/>
    <n v="57"/>
    <n v="171"/>
    <x v="34"/>
    <d v="2025-02-05T00:00:00"/>
    <s v="M"/>
    <x v="0"/>
    <x v="2"/>
    <x v="0"/>
    <x v="3"/>
    <x v="3"/>
    <x v="5"/>
    <x v="1"/>
  </r>
  <r>
    <s v="TX500826"/>
    <x v="8"/>
    <x v="12"/>
    <n v="28.9"/>
    <n v="115.6"/>
    <x v="34"/>
    <d v="2025-02-08T00:00:00"/>
    <s v="M"/>
    <x v="2"/>
    <x v="0"/>
    <x v="0"/>
    <x v="3"/>
    <x v="5"/>
    <x v="5"/>
    <x v="1"/>
  </r>
  <r>
    <s v="TX500827"/>
    <x v="12"/>
    <x v="9"/>
    <n v="60.7"/>
    <n v="303.5"/>
    <x v="34"/>
    <d v="2025-02-08T00:00:00"/>
    <m/>
    <x v="1"/>
    <x v="1"/>
    <x v="0"/>
    <x v="3"/>
    <x v="5"/>
    <x v="5"/>
    <x v="0"/>
  </r>
  <r>
    <s v="TX500828"/>
    <x v="6"/>
    <x v="9"/>
    <n v="60.8"/>
    <n v="304"/>
    <x v="34"/>
    <d v="2025-02-08T00:00:00"/>
    <s v="M"/>
    <x v="0"/>
    <x v="1"/>
    <x v="0"/>
    <x v="3"/>
    <x v="5"/>
    <x v="5"/>
    <x v="1"/>
  </r>
  <r>
    <s v="TX500829"/>
    <x v="6"/>
    <x v="9"/>
    <n v="64.599999999999994"/>
    <n v="323"/>
    <x v="34"/>
    <d v="2025-02-05T00:00:00"/>
    <s v="F"/>
    <x v="3"/>
    <x v="0"/>
    <x v="0"/>
    <x v="3"/>
    <x v="3"/>
    <x v="5"/>
    <x v="2"/>
  </r>
  <r>
    <s v="TX500830"/>
    <x v="8"/>
    <x v="0"/>
    <n v="21.9"/>
    <n v="21.9"/>
    <x v="34"/>
    <d v="2025-02-07T00:00:00"/>
    <s v="M"/>
    <x v="1"/>
    <x v="2"/>
    <x v="0"/>
    <x v="4"/>
    <x v="2"/>
    <x v="5"/>
    <x v="1"/>
  </r>
  <r>
    <s v="TX500831"/>
    <x v="4"/>
    <x v="4"/>
    <n v="33.4"/>
    <n v="400.79999999999995"/>
    <x v="34"/>
    <d v="2025-02-06T00:00:00"/>
    <s v="F"/>
    <x v="0"/>
    <x v="0"/>
    <x v="0"/>
    <x v="23"/>
    <x v="1"/>
    <x v="5"/>
    <x v="2"/>
  </r>
  <r>
    <s v="TX500832"/>
    <x v="2"/>
    <x v="0"/>
    <n v="51.7"/>
    <n v="51.7"/>
    <x v="34"/>
    <d v="2025-02-05T00:00:00"/>
    <m/>
    <x v="0"/>
    <x v="0"/>
    <x v="0"/>
    <x v="6"/>
    <x v="3"/>
    <x v="5"/>
    <x v="0"/>
  </r>
  <r>
    <s v="TX500833"/>
    <x v="1"/>
    <x v="12"/>
    <n v="84.9"/>
    <n v="339.6"/>
    <x v="34"/>
    <d v="2025-02-05T00:00:00"/>
    <s v="F"/>
    <x v="1"/>
    <x v="1"/>
    <x v="0"/>
    <x v="6"/>
    <x v="3"/>
    <x v="5"/>
    <x v="2"/>
  </r>
  <r>
    <s v="TX500834"/>
    <x v="1"/>
    <x v="5"/>
    <n v="62.3"/>
    <n v="685.3"/>
    <x v="34"/>
    <d v="2025-02-05T00:00:00"/>
    <s v="F"/>
    <x v="2"/>
    <x v="2"/>
    <x v="0"/>
    <x v="7"/>
    <x v="3"/>
    <x v="5"/>
    <x v="2"/>
  </r>
  <r>
    <s v="TX500835"/>
    <x v="4"/>
    <x v="0"/>
    <n v="50.7"/>
    <n v="50.7"/>
    <x v="34"/>
    <d v="2025-02-06T00:00:00"/>
    <s v="M"/>
    <x v="2"/>
    <x v="2"/>
    <x v="0"/>
    <x v="8"/>
    <x v="1"/>
    <x v="5"/>
    <x v="1"/>
  </r>
  <r>
    <s v="TX500836"/>
    <x v="18"/>
    <x v="0"/>
    <n v="39.5"/>
    <n v="39.5"/>
    <x v="34"/>
    <d v="2025-02-05T00:00:00"/>
    <s v="M"/>
    <x v="4"/>
    <x v="1"/>
    <x v="0"/>
    <x v="8"/>
    <x v="3"/>
    <x v="5"/>
    <x v="1"/>
  </r>
  <r>
    <s v="TX500837"/>
    <x v="12"/>
    <x v="2"/>
    <n v="30.9"/>
    <n v="92.699999999999989"/>
    <x v="34"/>
    <d v="2025-02-05T00:00:00"/>
    <m/>
    <x v="4"/>
    <x v="2"/>
    <x v="0"/>
    <x v="8"/>
    <x v="3"/>
    <x v="5"/>
    <x v="0"/>
  </r>
  <r>
    <s v="TX500838"/>
    <x v="1"/>
    <x v="3"/>
    <n v="36.4"/>
    <n v="254.79999999999998"/>
    <x v="34"/>
    <d v="2025-02-07T00:00:00"/>
    <s v="F"/>
    <x v="0"/>
    <x v="2"/>
    <x v="0"/>
    <x v="8"/>
    <x v="2"/>
    <x v="5"/>
    <x v="2"/>
  </r>
  <r>
    <s v="TX500839"/>
    <x v="6"/>
    <x v="8"/>
    <n v="105.6"/>
    <n v="844.8"/>
    <x v="34"/>
    <d v="2025-02-14T00:00:00"/>
    <s v="F"/>
    <x v="0"/>
    <x v="0"/>
    <x v="0"/>
    <x v="8"/>
    <x v="14"/>
    <x v="5"/>
    <x v="2"/>
  </r>
  <r>
    <s v="TX500840"/>
    <x v="8"/>
    <x v="1"/>
    <n v="22.1"/>
    <n v="44.2"/>
    <x v="34"/>
    <d v="2025-02-05T00:00:00"/>
    <s v="F"/>
    <x v="0"/>
    <x v="2"/>
    <x v="0"/>
    <x v="17"/>
    <x v="3"/>
    <x v="5"/>
    <x v="2"/>
  </r>
  <r>
    <s v="TX500841"/>
    <x v="0"/>
    <x v="2"/>
    <n v="22.6"/>
    <n v="67.800000000000011"/>
    <x v="34"/>
    <d v="2025-02-05T00:00:00"/>
    <s v="F"/>
    <x v="2"/>
    <x v="0"/>
    <x v="0"/>
    <x v="17"/>
    <x v="3"/>
    <x v="5"/>
    <x v="2"/>
  </r>
  <r>
    <s v="TX500842"/>
    <x v="10"/>
    <x v="13"/>
    <n v="26.3"/>
    <n v="157.80000000000001"/>
    <x v="34"/>
    <d v="2025-02-04T00:00:00"/>
    <s v="F"/>
    <x v="2"/>
    <x v="0"/>
    <x v="0"/>
    <x v="9"/>
    <x v="7"/>
    <x v="5"/>
    <x v="2"/>
  </r>
  <r>
    <s v="TX500843"/>
    <x v="1"/>
    <x v="12"/>
    <n v="37.799999999999997"/>
    <n v="151.19999999999999"/>
    <x v="34"/>
    <d v="2025-02-05T00:00:00"/>
    <s v="F"/>
    <x v="0"/>
    <x v="2"/>
    <x v="0"/>
    <x v="11"/>
    <x v="3"/>
    <x v="5"/>
    <x v="2"/>
  </r>
  <r>
    <s v="TX500844"/>
    <x v="6"/>
    <x v="14"/>
    <n v="96"/>
    <n v="1632"/>
    <x v="34"/>
    <d v="2025-02-07T00:00:00"/>
    <s v="F"/>
    <x v="4"/>
    <x v="1"/>
    <x v="0"/>
    <x v="18"/>
    <x v="2"/>
    <x v="5"/>
    <x v="2"/>
  </r>
  <r>
    <s v="TX500845"/>
    <x v="1"/>
    <x v="0"/>
    <n v="83.6"/>
    <n v="83.6"/>
    <x v="34"/>
    <d v="2025-02-07T00:00:00"/>
    <s v="F"/>
    <x v="2"/>
    <x v="1"/>
    <x v="0"/>
    <x v="19"/>
    <x v="2"/>
    <x v="5"/>
    <x v="2"/>
  </r>
  <r>
    <s v="TX500846"/>
    <x v="2"/>
    <x v="13"/>
    <n v="72.599999999999994"/>
    <n v="435.59999999999997"/>
    <x v="34"/>
    <d v="2025-02-05T00:00:00"/>
    <s v="F"/>
    <x v="0"/>
    <x v="0"/>
    <x v="0"/>
    <x v="21"/>
    <x v="3"/>
    <x v="5"/>
    <x v="2"/>
  </r>
  <r>
    <s v="TX500847"/>
    <x v="5"/>
    <x v="28"/>
    <n v="69.099999999999994"/>
    <n v="1382"/>
    <x v="35"/>
    <d v="2025-02-11T00:00:00"/>
    <s v="M"/>
    <x v="0"/>
    <x v="2"/>
    <x v="0"/>
    <x v="21"/>
    <x v="4"/>
    <x v="5"/>
    <x v="1"/>
  </r>
  <r>
    <s v="TX500848"/>
    <x v="4"/>
    <x v="1"/>
    <n v="22.6"/>
    <n v="45.2"/>
    <x v="35"/>
    <d v="2025-02-07T00:00:00"/>
    <s v="F"/>
    <x v="1"/>
    <x v="2"/>
    <x v="0"/>
    <x v="21"/>
    <x v="1"/>
    <x v="5"/>
    <x v="2"/>
  </r>
  <r>
    <s v="TX500849"/>
    <x v="6"/>
    <x v="1"/>
    <n v="45.3"/>
    <n v="90.6"/>
    <x v="35"/>
    <d v="2025-02-09T00:00:00"/>
    <s v="M"/>
    <x v="4"/>
    <x v="2"/>
    <x v="0"/>
    <x v="21"/>
    <x v="5"/>
    <x v="5"/>
    <x v="1"/>
  </r>
  <r>
    <s v="TX500850"/>
    <x v="2"/>
    <x v="1"/>
    <n v="115.1"/>
    <n v="230.2"/>
    <x v="35"/>
    <d v="2025-02-06T00:00:00"/>
    <s v="F"/>
    <x v="1"/>
    <x v="0"/>
    <x v="0"/>
    <x v="1"/>
    <x v="3"/>
    <x v="5"/>
    <x v="2"/>
  </r>
  <r>
    <s v="TX500851"/>
    <x v="18"/>
    <x v="12"/>
    <n v="79"/>
    <n v="316"/>
    <x v="35"/>
    <d v="2025-02-07T00:00:00"/>
    <s v="M"/>
    <x v="2"/>
    <x v="4"/>
    <x v="0"/>
    <x v="1"/>
    <x v="1"/>
    <x v="5"/>
    <x v="1"/>
  </r>
  <r>
    <s v="TX500852"/>
    <x v="6"/>
    <x v="9"/>
    <n v="52.8"/>
    <n v="264"/>
    <x v="35"/>
    <d v="2025-02-06T00:00:00"/>
    <s v="F"/>
    <x v="0"/>
    <x v="0"/>
    <x v="0"/>
    <x v="42"/>
    <x v="3"/>
    <x v="5"/>
    <x v="2"/>
  </r>
  <r>
    <s v="TX500853"/>
    <x v="8"/>
    <x v="1"/>
    <n v="34.1"/>
    <n v="68.2"/>
    <x v="35"/>
    <d v="2025-02-06T00:00:00"/>
    <s v="M"/>
    <x v="3"/>
    <x v="2"/>
    <x v="0"/>
    <x v="44"/>
    <x v="3"/>
    <x v="5"/>
    <x v="1"/>
  </r>
  <r>
    <s v="TX500854"/>
    <x v="6"/>
    <x v="9"/>
    <n v="107.9"/>
    <n v="539.5"/>
    <x v="35"/>
    <d v="2025-02-05T00:00:00"/>
    <s v="F"/>
    <x v="0"/>
    <x v="2"/>
    <x v="0"/>
    <x v="50"/>
    <x v="7"/>
    <x v="5"/>
    <x v="2"/>
  </r>
  <r>
    <s v="TX500855"/>
    <x v="8"/>
    <x v="15"/>
    <n v="48.5"/>
    <n v="630.5"/>
    <x v="35"/>
    <d v="2025-02-05T00:00:00"/>
    <s v="M"/>
    <x v="2"/>
    <x v="2"/>
    <x v="0"/>
    <x v="3"/>
    <x v="7"/>
    <x v="5"/>
    <x v="1"/>
  </r>
  <r>
    <s v="TX500856"/>
    <x v="5"/>
    <x v="2"/>
    <n v="34.700000000000003"/>
    <n v="104.10000000000001"/>
    <x v="35"/>
    <d v="2025-02-06T00:00:00"/>
    <m/>
    <x v="4"/>
    <x v="1"/>
    <x v="0"/>
    <x v="3"/>
    <x v="3"/>
    <x v="5"/>
    <x v="0"/>
  </r>
  <r>
    <s v="TX500857"/>
    <x v="8"/>
    <x v="0"/>
    <n v="16.8"/>
    <n v="16.8"/>
    <x v="35"/>
    <d v="2025-02-07T00:00:00"/>
    <s v="F"/>
    <x v="3"/>
    <x v="0"/>
    <x v="0"/>
    <x v="3"/>
    <x v="1"/>
    <x v="5"/>
    <x v="2"/>
  </r>
  <r>
    <s v="TX500858"/>
    <x v="8"/>
    <x v="13"/>
    <n v="18.3"/>
    <n v="109.80000000000001"/>
    <x v="35"/>
    <d v="2025-02-08T00:00:00"/>
    <s v="F"/>
    <x v="0"/>
    <x v="0"/>
    <x v="0"/>
    <x v="3"/>
    <x v="2"/>
    <x v="5"/>
    <x v="2"/>
  </r>
  <r>
    <s v="TX500859"/>
    <x v="18"/>
    <x v="2"/>
    <n v="55.9"/>
    <n v="167.7"/>
    <x v="35"/>
    <d v="2025-02-11T00:00:00"/>
    <s v="M"/>
    <x v="3"/>
    <x v="1"/>
    <x v="0"/>
    <x v="3"/>
    <x v="4"/>
    <x v="5"/>
    <x v="1"/>
  </r>
  <r>
    <s v="TX500860"/>
    <x v="8"/>
    <x v="2"/>
    <n v="39.200000000000003"/>
    <n v="117.60000000000001"/>
    <x v="35"/>
    <d v="2025-02-07T00:00:00"/>
    <s v="F"/>
    <x v="0"/>
    <x v="1"/>
    <x v="0"/>
    <x v="3"/>
    <x v="1"/>
    <x v="5"/>
    <x v="2"/>
  </r>
  <r>
    <s v="TX500861"/>
    <x v="15"/>
    <x v="12"/>
    <n v="66.5"/>
    <n v="266"/>
    <x v="35"/>
    <d v="2025-02-07T00:00:00"/>
    <m/>
    <x v="3"/>
    <x v="1"/>
    <x v="0"/>
    <x v="3"/>
    <x v="1"/>
    <x v="5"/>
    <x v="0"/>
  </r>
  <r>
    <s v="TX500862"/>
    <x v="6"/>
    <x v="13"/>
    <n v="52.1"/>
    <n v="312.60000000000002"/>
    <x v="35"/>
    <d v="2025-02-07T00:00:00"/>
    <s v="M"/>
    <x v="1"/>
    <x v="1"/>
    <x v="0"/>
    <x v="16"/>
    <x v="1"/>
    <x v="5"/>
    <x v="1"/>
  </r>
  <r>
    <s v="TX500863"/>
    <x v="8"/>
    <x v="1"/>
    <n v="19"/>
    <n v="38"/>
    <x v="35"/>
    <d v="2025-02-06T00:00:00"/>
    <s v="M"/>
    <x v="4"/>
    <x v="2"/>
    <x v="0"/>
    <x v="6"/>
    <x v="3"/>
    <x v="5"/>
    <x v="1"/>
  </r>
  <r>
    <s v="TX500864"/>
    <x v="7"/>
    <x v="2"/>
    <n v="84.8"/>
    <n v="254.39999999999998"/>
    <x v="35"/>
    <d v="2025-02-07T00:00:00"/>
    <s v="F"/>
    <x v="2"/>
    <x v="0"/>
    <x v="0"/>
    <x v="8"/>
    <x v="1"/>
    <x v="5"/>
    <x v="2"/>
  </r>
  <r>
    <s v="TX500865"/>
    <x v="2"/>
    <x v="12"/>
    <n v="63.9"/>
    <n v="255.6"/>
    <x v="35"/>
    <d v="2025-02-08T00:00:00"/>
    <s v="F"/>
    <x v="0"/>
    <x v="0"/>
    <x v="0"/>
    <x v="8"/>
    <x v="2"/>
    <x v="5"/>
    <x v="2"/>
  </r>
  <r>
    <s v="TX500866"/>
    <x v="2"/>
    <x v="2"/>
    <n v="65.5"/>
    <n v="196.5"/>
    <x v="35"/>
    <d v="2025-02-05T00:00:00"/>
    <s v="F"/>
    <x v="1"/>
    <x v="1"/>
    <x v="0"/>
    <x v="8"/>
    <x v="7"/>
    <x v="5"/>
    <x v="2"/>
  </r>
  <r>
    <s v="TX500867"/>
    <x v="12"/>
    <x v="1"/>
    <n v="116.2"/>
    <n v="232.4"/>
    <x v="35"/>
    <d v="2025-02-11T00:00:00"/>
    <s v="M"/>
    <x v="3"/>
    <x v="0"/>
    <x v="0"/>
    <x v="17"/>
    <x v="4"/>
    <x v="5"/>
    <x v="1"/>
  </r>
  <r>
    <s v="TX500868"/>
    <x v="10"/>
    <x v="12"/>
    <n v="22.9"/>
    <n v="91.6"/>
    <x v="35"/>
    <d v="2025-02-07T00:00:00"/>
    <s v="F"/>
    <x v="2"/>
    <x v="1"/>
    <x v="0"/>
    <x v="38"/>
    <x v="1"/>
    <x v="5"/>
    <x v="2"/>
  </r>
  <r>
    <s v="TX500869"/>
    <x v="10"/>
    <x v="2"/>
    <n v="53.7"/>
    <n v="161.10000000000002"/>
    <x v="35"/>
    <d v="2025-02-06T00:00:00"/>
    <s v="M"/>
    <x v="0"/>
    <x v="4"/>
    <x v="0"/>
    <x v="18"/>
    <x v="3"/>
    <x v="5"/>
    <x v="1"/>
  </r>
  <r>
    <s v="TX500870"/>
    <x v="6"/>
    <x v="9"/>
    <n v="43.2"/>
    <n v="216"/>
    <x v="35"/>
    <d v="2025-02-07T00:00:00"/>
    <s v="F"/>
    <x v="0"/>
    <x v="0"/>
    <x v="0"/>
    <x v="19"/>
    <x v="1"/>
    <x v="5"/>
    <x v="2"/>
  </r>
  <r>
    <s v="TX500871"/>
    <x v="1"/>
    <x v="2"/>
    <n v="84.5"/>
    <n v="253.5"/>
    <x v="35"/>
    <d v="2025-02-07T00:00:00"/>
    <s v="M"/>
    <x v="2"/>
    <x v="2"/>
    <x v="0"/>
    <x v="51"/>
    <x v="1"/>
    <x v="5"/>
    <x v="1"/>
  </r>
  <r>
    <s v="TX500872"/>
    <x v="3"/>
    <x v="1"/>
    <n v="42.2"/>
    <n v="84.4"/>
    <x v="35"/>
    <d v="2025-02-06T00:00:00"/>
    <s v="F"/>
    <x v="1"/>
    <x v="2"/>
    <x v="0"/>
    <x v="1"/>
    <x v="3"/>
    <x v="5"/>
    <x v="2"/>
  </r>
  <r>
    <s v="TX500873"/>
    <x v="2"/>
    <x v="13"/>
    <n v="94.7"/>
    <n v="568.20000000000005"/>
    <x v="35"/>
    <d v="2025-02-08T00:00:00"/>
    <s v="F"/>
    <x v="1"/>
    <x v="2"/>
    <x v="0"/>
    <x v="2"/>
    <x v="2"/>
    <x v="5"/>
    <x v="2"/>
  </r>
  <r>
    <s v="TX500874"/>
    <x v="8"/>
    <x v="16"/>
    <n v="16.7"/>
    <n v="300.59999999999997"/>
    <x v="35"/>
    <d v="2025-02-17T00:00:00"/>
    <s v="F"/>
    <x v="0"/>
    <x v="2"/>
    <x v="0"/>
    <x v="2"/>
    <x v="13"/>
    <x v="5"/>
    <x v="2"/>
  </r>
  <r>
    <s v="TX500875"/>
    <x v="2"/>
    <x v="1"/>
    <n v="83.6"/>
    <n v="167.2"/>
    <x v="35"/>
    <d v="2025-02-11T00:00:00"/>
    <s v="F"/>
    <x v="1"/>
    <x v="0"/>
    <x v="0"/>
    <x v="3"/>
    <x v="4"/>
    <x v="5"/>
    <x v="2"/>
  </r>
  <r>
    <s v="TX500876"/>
    <x v="7"/>
    <x v="13"/>
    <n v="33.6"/>
    <n v="201.60000000000002"/>
    <x v="36"/>
    <d v="2025-02-07T00:00:00"/>
    <s v="F"/>
    <x v="3"/>
    <x v="0"/>
    <x v="0"/>
    <x v="3"/>
    <x v="3"/>
    <x v="5"/>
    <x v="2"/>
  </r>
  <r>
    <s v="TX500877"/>
    <x v="7"/>
    <x v="1"/>
    <n v="64.7"/>
    <n v="129.4"/>
    <x v="36"/>
    <d v="2025-02-08T00:00:00"/>
    <s v="M"/>
    <x v="1"/>
    <x v="2"/>
    <x v="0"/>
    <x v="3"/>
    <x v="1"/>
    <x v="5"/>
    <x v="1"/>
  </r>
  <r>
    <s v="TX500878"/>
    <x v="0"/>
    <x v="2"/>
    <n v="15.7"/>
    <n v="47.099999999999994"/>
    <x v="36"/>
    <d v="2025-02-12T00:00:00"/>
    <s v="F"/>
    <x v="0"/>
    <x v="0"/>
    <x v="0"/>
    <x v="3"/>
    <x v="4"/>
    <x v="5"/>
    <x v="2"/>
  </r>
  <r>
    <s v="TX500879"/>
    <x v="15"/>
    <x v="13"/>
    <n v="49.4"/>
    <n v="296.39999999999998"/>
    <x v="36"/>
    <d v="2025-02-06T00:00:00"/>
    <s v="M"/>
    <x v="1"/>
    <x v="0"/>
    <x v="0"/>
    <x v="3"/>
    <x v="7"/>
    <x v="5"/>
    <x v="1"/>
  </r>
  <r>
    <s v="TX500880"/>
    <x v="10"/>
    <x v="13"/>
    <n v="37"/>
    <n v="222"/>
    <x v="36"/>
    <d v="2025-02-09T00:00:00"/>
    <s v="F"/>
    <x v="1"/>
    <x v="2"/>
    <x v="0"/>
    <x v="3"/>
    <x v="2"/>
    <x v="5"/>
    <x v="2"/>
  </r>
  <r>
    <s v="TX500881"/>
    <x v="2"/>
    <x v="1"/>
    <n v="83.7"/>
    <n v="167.4"/>
    <x v="36"/>
    <d v="2025-02-08T00:00:00"/>
    <s v="F"/>
    <x v="3"/>
    <x v="2"/>
    <x v="0"/>
    <x v="3"/>
    <x v="1"/>
    <x v="5"/>
    <x v="2"/>
  </r>
  <r>
    <s v="TX500882"/>
    <x v="1"/>
    <x v="9"/>
    <n v="35.1"/>
    <n v="175.5"/>
    <x v="36"/>
    <d v="2025-02-07T00:00:00"/>
    <s v="F"/>
    <x v="0"/>
    <x v="0"/>
    <x v="0"/>
    <x v="3"/>
    <x v="3"/>
    <x v="5"/>
    <x v="2"/>
  </r>
  <r>
    <s v="TX500883"/>
    <x v="16"/>
    <x v="8"/>
    <n v="74"/>
    <n v="592"/>
    <x v="36"/>
    <d v="2025-02-07T00:00:00"/>
    <s v="F"/>
    <x v="4"/>
    <x v="0"/>
    <x v="0"/>
    <x v="37"/>
    <x v="3"/>
    <x v="5"/>
    <x v="2"/>
  </r>
  <r>
    <s v="TX500884"/>
    <x v="6"/>
    <x v="25"/>
    <n v="55.5"/>
    <n v="1332"/>
    <x v="36"/>
    <d v="2025-02-09T00:00:00"/>
    <s v="M"/>
    <x v="3"/>
    <x v="0"/>
    <x v="0"/>
    <x v="49"/>
    <x v="2"/>
    <x v="5"/>
    <x v="1"/>
  </r>
  <r>
    <s v="TX500885"/>
    <x v="11"/>
    <x v="1"/>
    <n v="38.9"/>
    <n v="77.8"/>
    <x v="36"/>
    <d v="2025-02-08T00:00:00"/>
    <s v="F"/>
    <x v="1"/>
    <x v="2"/>
    <x v="0"/>
    <x v="25"/>
    <x v="1"/>
    <x v="5"/>
    <x v="2"/>
  </r>
  <r>
    <s v="TX500886"/>
    <x v="16"/>
    <x v="1"/>
    <n v="64.599999999999994"/>
    <n v="129.19999999999999"/>
    <x v="36"/>
    <d v="2025-02-13T00:00:00"/>
    <s v="M"/>
    <x v="2"/>
    <x v="1"/>
    <x v="0"/>
    <x v="25"/>
    <x v="6"/>
    <x v="5"/>
    <x v="1"/>
  </r>
  <r>
    <s v="TX500887"/>
    <x v="2"/>
    <x v="2"/>
    <n v="95.3"/>
    <n v="285.89999999999998"/>
    <x v="36"/>
    <d v="2025-02-07T00:00:00"/>
    <s v="M"/>
    <x v="0"/>
    <x v="0"/>
    <x v="0"/>
    <x v="5"/>
    <x v="3"/>
    <x v="5"/>
    <x v="1"/>
  </r>
  <r>
    <s v="TX500888"/>
    <x v="13"/>
    <x v="2"/>
    <n v="25.8"/>
    <n v="77.400000000000006"/>
    <x v="36"/>
    <d v="2025-02-07T00:00:00"/>
    <s v="F"/>
    <x v="1"/>
    <x v="1"/>
    <x v="0"/>
    <x v="6"/>
    <x v="3"/>
    <x v="5"/>
    <x v="2"/>
  </r>
  <r>
    <s v="TX500889"/>
    <x v="0"/>
    <x v="1"/>
    <n v="11.6"/>
    <n v="23.2"/>
    <x v="36"/>
    <d v="2025-02-10T00:00:00"/>
    <s v="F"/>
    <x v="1"/>
    <x v="1"/>
    <x v="0"/>
    <x v="6"/>
    <x v="5"/>
    <x v="5"/>
    <x v="2"/>
  </r>
  <r>
    <s v="TX500890"/>
    <x v="7"/>
    <x v="0"/>
    <n v="52.3"/>
    <n v="52.3"/>
    <x v="36"/>
    <d v="2025-02-07T00:00:00"/>
    <s v="F"/>
    <x v="1"/>
    <x v="0"/>
    <x v="0"/>
    <x v="8"/>
    <x v="3"/>
    <x v="5"/>
    <x v="2"/>
  </r>
  <r>
    <s v="TX500891"/>
    <x v="2"/>
    <x v="7"/>
    <n v="112.2"/>
    <n v="1122"/>
    <x v="36"/>
    <d v="2025-02-07T00:00:00"/>
    <s v="F"/>
    <x v="1"/>
    <x v="1"/>
    <x v="0"/>
    <x v="8"/>
    <x v="3"/>
    <x v="5"/>
    <x v="2"/>
  </r>
  <r>
    <s v="TX500892"/>
    <x v="4"/>
    <x v="9"/>
    <n v="34.6"/>
    <n v="173"/>
    <x v="36"/>
    <d v="2025-02-08T00:00:00"/>
    <s v="M"/>
    <x v="2"/>
    <x v="0"/>
    <x v="0"/>
    <x v="8"/>
    <x v="1"/>
    <x v="5"/>
    <x v="1"/>
  </r>
  <r>
    <s v="TX500893"/>
    <x v="14"/>
    <x v="12"/>
    <n v="20.100000000000001"/>
    <n v="80.400000000000006"/>
    <x v="36"/>
    <d v="2025-02-12T00:00:00"/>
    <s v="M"/>
    <x v="1"/>
    <x v="2"/>
    <x v="0"/>
    <x v="8"/>
    <x v="4"/>
    <x v="5"/>
    <x v="1"/>
  </r>
  <r>
    <s v="TX500894"/>
    <x v="2"/>
    <x v="12"/>
    <n v="56.4"/>
    <n v="225.6"/>
    <x v="36"/>
    <d v="2025-02-08T00:00:00"/>
    <s v="F"/>
    <x v="2"/>
    <x v="0"/>
    <x v="0"/>
    <x v="10"/>
    <x v="1"/>
    <x v="5"/>
    <x v="2"/>
  </r>
  <r>
    <s v="TX500895"/>
    <x v="13"/>
    <x v="11"/>
    <n v="55.3"/>
    <n v="497.7"/>
    <x v="36"/>
    <d v="2025-02-08T00:00:00"/>
    <s v="F"/>
    <x v="1"/>
    <x v="4"/>
    <x v="0"/>
    <x v="11"/>
    <x v="1"/>
    <x v="5"/>
    <x v="2"/>
  </r>
  <r>
    <s v="TX500896"/>
    <x v="2"/>
    <x v="31"/>
    <n v="75.5"/>
    <n v="2114"/>
    <x v="36"/>
    <d v="2025-02-07T00:00:00"/>
    <s v="F"/>
    <x v="0"/>
    <x v="0"/>
    <x v="0"/>
    <x v="11"/>
    <x v="3"/>
    <x v="5"/>
    <x v="2"/>
  </r>
  <r>
    <s v="TX500897"/>
    <x v="8"/>
    <x v="0"/>
    <n v="23.6"/>
    <n v="23.6"/>
    <x v="36"/>
    <d v="2025-02-11T00:00:00"/>
    <s v="F"/>
    <x v="0"/>
    <x v="0"/>
    <x v="0"/>
    <x v="19"/>
    <x v="0"/>
    <x v="5"/>
    <x v="2"/>
  </r>
  <r>
    <s v="TX500898"/>
    <x v="9"/>
    <x v="1"/>
    <n v="70.7"/>
    <n v="141.4"/>
    <x v="36"/>
    <d v="2025-02-08T00:00:00"/>
    <s v="F"/>
    <x v="2"/>
    <x v="0"/>
    <x v="0"/>
    <x v="19"/>
    <x v="1"/>
    <x v="5"/>
    <x v="2"/>
  </r>
  <r>
    <s v="TX500899"/>
    <x v="12"/>
    <x v="1"/>
    <n v="43.2"/>
    <n v="86.4"/>
    <x v="36"/>
    <d v="2025-02-07T00:00:00"/>
    <s v="F"/>
    <x v="2"/>
    <x v="0"/>
    <x v="0"/>
    <x v="31"/>
    <x v="3"/>
    <x v="5"/>
    <x v="2"/>
  </r>
  <r>
    <s v="TX500900"/>
    <x v="9"/>
    <x v="11"/>
    <n v="70"/>
    <n v="630"/>
    <x v="36"/>
    <d v="2025-02-07T00:00:00"/>
    <m/>
    <x v="1"/>
    <x v="0"/>
    <x v="0"/>
    <x v="52"/>
    <x v="3"/>
    <x v="5"/>
    <x v="0"/>
  </r>
  <r>
    <s v="TX500901"/>
    <x v="0"/>
    <x v="1"/>
    <n v="20.5"/>
    <n v="41"/>
    <x v="36"/>
    <d v="2025-02-08T00:00:00"/>
    <s v="F"/>
    <x v="2"/>
    <x v="4"/>
    <x v="0"/>
    <x v="13"/>
    <x v="1"/>
    <x v="5"/>
    <x v="2"/>
  </r>
  <r>
    <s v="TX500902"/>
    <x v="0"/>
    <x v="12"/>
    <n v="29.1"/>
    <n v="116.4"/>
    <x v="36"/>
    <d v="2025-02-07T00:00:00"/>
    <s v="F"/>
    <x v="3"/>
    <x v="0"/>
    <x v="0"/>
    <x v="28"/>
    <x v="3"/>
    <x v="5"/>
    <x v="2"/>
  </r>
  <r>
    <s v="TX500903"/>
    <x v="6"/>
    <x v="11"/>
    <n v="53.6"/>
    <n v="482.40000000000003"/>
    <x v="36"/>
    <d v="2025-02-07T00:00:00"/>
    <s v="M"/>
    <x v="2"/>
    <x v="1"/>
    <x v="0"/>
    <x v="3"/>
    <x v="3"/>
    <x v="5"/>
    <x v="1"/>
  </r>
  <r>
    <s v="TX500904"/>
    <x v="6"/>
    <x v="9"/>
    <n v="72.3"/>
    <n v="361.5"/>
    <x v="36"/>
    <d v="2025-02-08T00:00:00"/>
    <s v="F"/>
    <x v="1"/>
    <x v="0"/>
    <x v="0"/>
    <x v="3"/>
    <x v="1"/>
    <x v="5"/>
    <x v="2"/>
  </r>
  <r>
    <s v="TX500905"/>
    <x v="13"/>
    <x v="12"/>
    <n v="22.6"/>
    <n v="90.4"/>
    <x v="36"/>
    <d v="2025-02-09T00:00:00"/>
    <s v="O"/>
    <x v="0"/>
    <x v="1"/>
    <x v="0"/>
    <x v="3"/>
    <x v="2"/>
    <x v="5"/>
    <x v="3"/>
  </r>
  <r>
    <s v="TX500906"/>
    <x v="9"/>
    <x v="1"/>
    <n v="44.2"/>
    <n v="88.4"/>
    <x v="36"/>
    <d v="2025-02-10T00:00:00"/>
    <m/>
    <x v="2"/>
    <x v="4"/>
    <x v="0"/>
    <x v="3"/>
    <x v="5"/>
    <x v="5"/>
    <x v="0"/>
  </r>
  <r>
    <s v="TX500907"/>
    <x v="9"/>
    <x v="2"/>
    <n v="94.1"/>
    <n v="282.29999999999995"/>
    <x v="36"/>
    <d v="2025-02-19T00:00:00"/>
    <s v="F"/>
    <x v="2"/>
    <x v="2"/>
    <x v="0"/>
    <x v="3"/>
    <x v="10"/>
    <x v="5"/>
    <x v="2"/>
  </r>
  <r>
    <s v="TX500908"/>
    <x v="8"/>
    <x v="2"/>
    <n v="17.899999999999999"/>
    <n v="53.699999999999996"/>
    <x v="36"/>
    <d v="2025-02-08T00:00:00"/>
    <s v="M"/>
    <x v="1"/>
    <x v="1"/>
    <x v="0"/>
    <x v="3"/>
    <x v="1"/>
    <x v="5"/>
    <x v="1"/>
  </r>
  <r>
    <s v="TX500909"/>
    <x v="12"/>
    <x v="3"/>
    <n v="52.7"/>
    <n v="368.90000000000003"/>
    <x v="36"/>
    <d v="2025-02-07T00:00:00"/>
    <s v="M"/>
    <x v="1"/>
    <x v="1"/>
    <x v="0"/>
    <x v="3"/>
    <x v="3"/>
    <x v="5"/>
    <x v="1"/>
  </r>
  <r>
    <s v="TX500910"/>
    <x v="8"/>
    <x v="0"/>
    <n v="36.799999999999997"/>
    <n v="36.799999999999997"/>
    <x v="36"/>
    <d v="2025-02-06T00:00:00"/>
    <m/>
    <x v="0"/>
    <x v="2"/>
    <x v="0"/>
    <x v="3"/>
    <x v="7"/>
    <x v="5"/>
    <x v="0"/>
  </r>
  <r>
    <s v="TX500911"/>
    <x v="4"/>
    <x v="0"/>
    <n v="52.5"/>
    <n v="52.5"/>
    <x v="36"/>
    <d v="2025-02-07T00:00:00"/>
    <s v="M"/>
    <x v="0"/>
    <x v="1"/>
    <x v="0"/>
    <x v="6"/>
    <x v="3"/>
    <x v="5"/>
    <x v="1"/>
  </r>
  <r>
    <s v="TX500912"/>
    <x v="2"/>
    <x v="1"/>
    <n v="133.80000000000001"/>
    <n v="267.60000000000002"/>
    <x v="36"/>
    <d v="2025-02-08T00:00:00"/>
    <s v="M"/>
    <x v="0"/>
    <x v="1"/>
    <x v="0"/>
    <x v="7"/>
    <x v="1"/>
    <x v="5"/>
    <x v="1"/>
  </r>
  <r>
    <s v="TX500913"/>
    <x v="6"/>
    <x v="1"/>
    <n v="53.2"/>
    <n v="106.4"/>
    <x v="36"/>
    <d v="2025-02-08T00:00:00"/>
    <s v="M"/>
    <x v="0"/>
    <x v="0"/>
    <x v="0"/>
    <x v="17"/>
    <x v="1"/>
    <x v="5"/>
    <x v="1"/>
  </r>
  <r>
    <s v="TX500914"/>
    <x v="14"/>
    <x v="13"/>
    <n v="18.7"/>
    <n v="112.19999999999999"/>
    <x v="36"/>
    <d v="2025-02-08T00:00:00"/>
    <m/>
    <x v="0"/>
    <x v="1"/>
    <x v="0"/>
    <x v="10"/>
    <x v="1"/>
    <x v="5"/>
    <x v="0"/>
  </r>
  <r>
    <s v="TX500915"/>
    <x v="6"/>
    <x v="12"/>
    <n v="108.8"/>
    <n v="435.2"/>
    <x v="36"/>
    <d v="2025-02-07T00:00:00"/>
    <s v="F"/>
    <x v="3"/>
    <x v="2"/>
    <x v="0"/>
    <x v="11"/>
    <x v="3"/>
    <x v="5"/>
    <x v="2"/>
  </r>
  <r>
    <s v="TX500916"/>
    <x v="15"/>
    <x v="9"/>
    <n v="38.5"/>
    <n v="192.5"/>
    <x v="36"/>
    <d v="2025-02-10T00:00:00"/>
    <s v="F"/>
    <x v="0"/>
    <x v="1"/>
    <x v="0"/>
    <x v="14"/>
    <x v="5"/>
    <x v="5"/>
    <x v="2"/>
  </r>
  <r>
    <s v="TX500917"/>
    <x v="10"/>
    <x v="7"/>
    <n v="46.5"/>
    <n v="465"/>
    <x v="36"/>
    <d v="2025-02-08T00:00:00"/>
    <s v="M"/>
    <x v="2"/>
    <x v="1"/>
    <x v="0"/>
    <x v="2"/>
    <x v="1"/>
    <x v="5"/>
    <x v="1"/>
  </r>
  <r>
    <s v="TX500918"/>
    <x v="2"/>
    <x v="2"/>
    <n v="75.8"/>
    <n v="227.39999999999998"/>
    <x v="36"/>
    <d v="2025-02-10T00:00:00"/>
    <s v="F"/>
    <x v="1"/>
    <x v="4"/>
    <x v="0"/>
    <x v="44"/>
    <x v="5"/>
    <x v="5"/>
    <x v="2"/>
  </r>
  <r>
    <s v="TX500919"/>
    <x v="8"/>
    <x v="0"/>
    <n v="20.9"/>
    <n v="20.9"/>
    <x v="36"/>
    <d v="2025-02-10T00:00:00"/>
    <s v="M"/>
    <x v="0"/>
    <x v="0"/>
    <x v="0"/>
    <x v="22"/>
    <x v="5"/>
    <x v="5"/>
    <x v="1"/>
  </r>
  <r>
    <s v="TX500920"/>
    <x v="18"/>
    <x v="2"/>
    <n v="47.4"/>
    <n v="142.19999999999999"/>
    <x v="36"/>
    <d v="2025-02-09T00:00:00"/>
    <s v="F"/>
    <x v="0"/>
    <x v="0"/>
    <x v="0"/>
    <x v="3"/>
    <x v="2"/>
    <x v="5"/>
    <x v="2"/>
  </r>
  <r>
    <s v="TX500921"/>
    <x v="9"/>
    <x v="1"/>
    <n v="53.8"/>
    <n v="107.6"/>
    <x v="36"/>
    <d v="2025-02-07T00:00:00"/>
    <m/>
    <x v="0"/>
    <x v="1"/>
    <x v="0"/>
    <x v="3"/>
    <x v="3"/>
    <x v="5"/>
    <x v="0"/>
  </r>
  <r>
    <s v="TX500922"/>
    <x v="8"/>
    <x v="2"/>
    <n v="24.6"/>
    <n v="73.800000000000011"/>
    <x v="36"/>
    <d v="2025-02-08T00:00:00"/>
    <s v="O"/>
    <x v="1"/>
    <x v="2"/>
    <x v="0"/>
    <x v="3"/>
    <x v="1"/>
    <x v="5"/>
    <x v="3"/>
  </r>
  <r>
    <s v="TX500923"/>
    <x v="9"/>
    <x v="2"/>
    <n v="70.900000000000006"/>
    <n v="212.70000000000002"/>
    <x v="36"/>
    <d v="2025-02-11T00:00:00"/>
    <s v="F"/>
    <x v="2"/>
    <x v="2"/>
    <x v="0"/>
    <x v="3"/>
    <x v="0"/>
    <x v="5"/>
    <x v="2"/>
  </r>
  <r>
    <s v="TX500924"/>
    <x v="17"/>
    <x v="2"/>
    <n v="31.9"/>
    <n v="95.699999999999989"/>
    <x v="36"/>
    <d v="2025-02-08T00:00:00"/>
    <s v="F"/>
    <x v="2"/>
    <x v="2"/>
    <x v="0"/>
    <x v="3"/>
    <x v="1"/>
    <x v="5"/>
    <x v="2"/>
  </r>
  <r>
    <s v="TX500925"/>
    <x v="0"/>
    <x v="1"/>
    <n v="20.399999999999999"/>
    <n v="40.799999999999997"/>
    <x v="36"/>
    <d v="2025-02-10T00:00:00"/>
    <s v="M"/>
    <x v="3"/>
    <x v="2"/>
    <x v="0"/>
    <x v="3"/>
    <x v="5"/>
    <x v="5"/>
    <x v="1"/>
  </r>
  <r>
    <s v="TX500926"/>
    <x v="8"/>
    <x v="1"/>
    <n v="18.600000000000001"/>
    <n v="37.200000000000003"/>
    <x v="36"/>
    <d v="2025-02-08T00:00:00"/>
    <m/>
    <x v="0"/>
    <x v="1"/>
    <x v="0"/>
    <x v="3"/>
    <x v="1"/>
    <x v="5"/>
    <x v="0"/>
  </r>
  <r>
    <s v="TX500927"/>
    <x v="4"/>
    <x v="9"/>
    <n v="48.3"/>
    <n v="241.5"/>
    <x v="36"/>
    <d v="2025-02-08T00:00:00"/>
    <s v="F"/>
    <x v="1"/>
    <x v="0"/>
    <x v="0"/>
    <x v="3"/>
    <x v="1"/>
    <x v="5"/>
    <x v="2"/>
  </r>
  <r>
    <s v="TX500928"/>
    <x v="0"/>
    <x v="12"/>
    <n v="27.7"/>
    <n v="110.8"/>
    <x v="36"/>
    <d v="2025-02-08T00:00:00"/>
    <s v="F"/>
    <x v="0"/>
    <x v="0"/>
    <x v="0"/>
    <x v="3"/>
    <x v="1"/>
    <x v="5"/>
    <x v="2"/>
  </r>
  <r>
    <s v="TX500929"/>
    <x v="4"/>
    <x v="9"/>
    <n v="22.5"/>
    <n v="112.5"/>
    <x v="36"/>
    <d v="2025-02-08T00:00:00"/>
    <s v="F"/>
    <x v="4"/>
    <x v="2"/>
    <x v="0"/>
    <x v="3"/>
    <x v="1"/>
    <x v="5"/>
    <x v="2"/>
  </r>
  <r>
    <s v="TX500930"/>
    <x v="17"/>
    <x v="9"/>
    <n v="21.6"/>
    <n v="108"/>
    <x v="36"/>
    <d v="2025-02-14T00:00:00"/>
    <s v="F"/>
    <x v="0"/>
    <x v="1"/>
    <x v="0"/>
    <x v="3"/>
    <x v="9"/>
    <x v="5"/>
    <x v="2"/>
  </r>
  <r>
    <s v="TX500931"/>
    <x v="10"/>
    <x v="3"/>
    <n v="26.3"/>
    <n v="184.1"/>
    <x v="36"/>
    <d v="2025-02-06T00:00:00"/>
    <s v="F"/>
    <x v="2"/>
    <x v="1"/>
    <x v="0"/>
    <x v="3"/>
    <x v="7"/>
    <x v="5"/>
    <x v="2"/>
  </r>
  <r>
    <s v="TX500932"/>
    <x v="6"/>
    <x v="3"/>
    <n v="103"/>
    <n v="721"/>
    <x v="37"/>
    <d v="2025-02-08T00:00:00"/>
    <s v="M"/>
    <x v="0"/>
    <x v="2"/>
    <x v="0"/>
    <x v="6"/>
    <x v="3"/>
    <x v="5"/>
    <x v="1"/>
  </r>
  <r>
    <s v="TX500933"/>
    <x v="5"/>
    <x v="20"/>
    <n v="46.6"/>
    <n v="699"/>
    <x v="37"/>
    <d v="2025-02-08T00:00:00"/>
    <s v="F"/>
    <x v="0"/>
    <x v="1"/>
    <x v="0"/>
    <x v="6"/>
    <x v="3"/>
    <x v="5"/>
    <x v="2"/>
  </r>
  <r>
    <s v="TX500934"/>
    <x v="0"/>
    <x v="9"/>
    <n v="32.200000000000003"/>
    <n v="161"/>
    <x v="37"/>
    <d v="2025-02-10T00:00:00"/>
    <s v="F"/>
    <x v="0"/>
    <x v="2"/>
    <x v="0"/>
    <x v="36"/>
    <x v="2"/>
    <x v="5"/>
    <x v="2"/>
  </r>
  <r>
    <s v="TX500935"/>
    <x v="8"/>
    <x v="2"/>
    <n v="22"/>
    <n v="66"/>
    <x v="37"/>
    <d v="2025-02-14T00:00:00"/>
    <s v="M"/>
    <x v="1"/>
    <x v="0"/>
    <x v="0"/>
    <x v="7"/>
    <x v="6"/>
    <x v="5"/>
    <x v="1"/>
  </r>
  <r>
    <s v="TX500936"/>
    <x v="0"/>
    <x v="1"/>
    <n v="25.2"/>
    <n v="50.4"/>
    <x v="37"/>
    <d v="2025-02-11T00:00:00"/>
    <s v="F"/>
    <x v="0"/>
    <x v="0"/>
    <x v="0"/>
    <x v="7"/>
    <x v="5"/>
    <x v="5"/>
    <x v="2"/>
  </r>
  <r>
    <s v="TX500937"/>
    <x v="1"/>
    <x v="13"/>
    <n v="68.7"/>
    <n v="412.20000000000005"/>
    <x v="37"/>
    <d v="2025-02-09T00:00:00"/>
    <s v="M"/>
    <x v="4"/>
    <x v="0"/>
    <x v="0"/>
    <x v="8"/>
    <x v="1"/>
    <x v="5"/>
    <x v="1"/>
  </r>
  <r>
    <s v="TX500938"/>
    <x v="0"/>
    <x v="2"/>
    <n v="22.2"/>
    <n v="66.599999999999994"/>
    <x v="37"/>
    <d v="2025-02-10T00:00:00"/>
    <s v="M"/>
    <x v="2"/>
    <x v="2"/>
    <x v="0"/>
    <x v="8"/>
    <x v="2"/>
    <x v="5"/>
    <x v="1"/>
  </r>
  <r>
    <s v="TX500939"/>
    <x v="1"/>
    <x v="3"/>
    <n v="36"/>
    <n v="252"/>
    <x v="37"/>
    <d v="2025-02-08T00:00:00"/>
    <s v="F"/>
    <x v="1"/>
    <x v="0"/>
    <x v="0"/>
    <x v="8"/>
    <x v="3"/>
    <x v="5"/>
    <x v="2"/>
  </r>
  <r>
    <s v="TX500940"/>
    <x v="18"/>
    <x v="0"/>
    <n v="50.6"/>
    <n v="50.6"/>
    <x v="37"/>
    <d v="2025-02-09T00:00:00"/>
    <s v="F"/>
    <x v="0"/>
    <x v="1"/>
    <x v="0"/>
    <x v="8"/>
    <x v="1"/>
    <x v="5"/>
    <x v="2"/>
  </r>
  <r>
    <s v="TX500941"/>
    <x v="15"/>
    <x v="1"/>
    <n v="44.9"/>
    <n v="89.8"/>
    <x v="37"/>
    <d v="2025-02-09T00:00:00"/>
    <s v="M"/>
    <x v="0"/>
    <x v="1"/>
    <x v="0"/>
    <x v="8"/>
    <x v="1"/>
    <x v="5"/>
    <x v="1"/>
  </r>
  <r>
    <s v="TX500942"/>
    <x v="6"/>
    <x v="2"/>
    <n v="71.599999999999994"/>
    <n v="214.79999999999998"/>
    <x v="37"/>
    <d v="2025-02-11T00:00:00"/>
    <s v="M"/>
    <x v="1"/>
    <x v="2"/>
    <x v="0"/>
    <x v="10"/>
    <x v="5"/>
    <x v="5"/>
    <x v="1"/>
  </r>
  <r>
    <s v="TX500943"/>
    <x v="6"/>
    <x v="13"/>
    <n v="51.5"/>
    <n v="309"/>
    <x v="37"/>
    <d v="2025-02-09T00:00:00"/>
    <m/>
    <x v="4"/>
    <x v="0"/>
    <x v="0"/>
    <x v="11"/>
    <x v="1"/>
    <x v="5"/>
    <x v="0"/>
  </r>
  <r>
    <s v="TX500944"/>
    <x v="7"/>
    <x v="9"/>
    <n v="55.5"/>
    <n v="277.5"/>
    <x v="37"/>
    <d v="2025-02-08T00:00:00"/>
    <s v="M"/>
    <x v="1"/>
    <x v="1"/>
    <x v="0"/>
    <x v="11"/>
    <x v="3"/>
    <x v="5"/>
    <x v="1"/>
  </r>
  <r>
    <s v="TX500945"/>
    <x v="6"/>
    <x v="0"/>
    <n v="51.7"/>
    <n v="51.7"/>
    <x v="37"/>
    <d v="2025-02-21T00:00:00"/>
    <s v="M"/>
    <x v="2"/>
    <x v="0"/>
    <x v="0"/>
    <x v="19"/>
    <x v="12"/>
    <x v="5"/>
    <x v="1"/>
  </r>
  <r>
    <s v="TX500946"/>
    <x v="8"/>
    <x v="38"/>
    <n v="45.5"/>
    <n v="955.5"/>
    <x v="37"/>
    <d v="2025-02-08T00:00:00"/>
    <s v="F"/>
    <x v="3"/>
    <x v="2"/>
    <x v="0"/>
    <x v="19"/>
    <x v="3"/>
    <x v="5"/>
    <x v="2"/>
  </r>
  <r>
    <s v="TX500947"/>
    <x v="8"/>
    <x v="1"/>
    <n v="33.799999999999997"/>
    <n v="67.599999999999994"/>
    <x v="37"/>
    <d v="2025-02-13T00:00:00"/>
    <s v="F"/>
    <x v="3"/>
    <x v="0"/>
    <x v="0"/>
    <x v="20"/>
    <x v="4"/>
    <x v="5"/>
    <x v="2"/>
  </r>
  <r>
    <s v="TX500948"/>
    <x v="3"/>
    <x v="2"/>
    <n v="76.5"/>
    <n v="229.5"/>
    <x v="37"/>
    <d v="2025-02-08T00:00:00"/>
    <s v="F"/>
    <x v="0"/>
    <x v="1"/>
    <x v="0"/>
    <x v="21"/>
    <x v="3"/>
    <x v="5"/>
    <x v="2"/>
  </r>
  <r>
    <s v="TX500949"/>
    <x v="9"/>
    <x v="2"/>
    <n v="42.6"/>
    <n v="127.80000000000001"/>
    <x v="37"/>
    <d v="2025-02-13T00:00:00"/>
    <s v="F"/>
    <x v="2"/>
    <x v="2"/>
    <x v="0"/>
    <x v="2"/>
    <x v="4"/>
    <x v="5"/>
    <x v="2"/>
  </r>
  <r>
    <s v="TX500950"/>
    <x v="6"/>
    <x v="2"/>
    <n v="44.1"/>
    <n v="132.30000000000001"/>
    <x v="37"/>
    <d v="2025-02-09T00:00:00"/>
    <s v="F"/>
    <x v="1"/>
    <x v="1"/>
    <x v="0"/>
    <x v="22"/>
    <x v="1"/>
    <x v="5"/>
    <x v="2"/>
  </r>
  <r>
    <s v="TX500951"/>
    <x v="8"/>
    <x v="1"/>
    <n v="40.9"/>
    <n v="81.8"/>
    <x v="37"/>
    <d v="2025-02-11T00:00:00"/>
    <s v="M"/>
    <x v="0"/>
    <x v="0"/>
    <x v="0"/>
    <x v="3"/>
    <x v="5"/>
    <x v="5"/>
    <x v="1"/>
  </r>
  <r>
    <s v="TX500952"/>
    <x v="9"/>
    <x v="2"/>
    <n v="49.1"/>
    <n v="147.30000000000001"/>
    <x v="37"/>
    <d v="2025-02-11T00:00:00"/>
    <s v="F"/>
    <x v="3"/>
    <x v="1"/>
    <x v="0"/>
    <x v="3"/>
    <x v="5"/>
    <x v="5"/>
    <x v="2"/>
  </r>
  <r>
    <s v="TX500953"/>
    <x v="18"/>
    <x v="0"/>
    <n v="85.3"/>
    <n v="85.3"/>
    <x v="37"/>
    <d v="2025-02-11T00:00:00"/>
    <s v="M"/>
    <x v="1"/>
    <x v="1"/>
    <x v="0"/>
    <x v="3"/>
    <x v="5"/>
    <x v="5"/>
    <x v="1"/>
  </r>
  <r>
    <s v="TX500954"/>
    <x v="6"/>
    <x v="12"/>
    <n v="43.1"/>
    <n v="172.4"/>
    <x v="38"/>
    <d v="2025-02-11T00:00:00"/>
    <s v="M"/>
    <x v="0"/>
    <x v="0"/>
    <x v="0"/>
    <x v="3"/>
    <x v="2"/>
    <x v="5"/>
    <x v="1"/>
  </r>
  <r>
    <s v="TX500955"/>
    <x v="4"/>
    <x v="12"/>
    <n v="46.2"/>
    <n v="184.8"/>
    <x v="38"/>
    <d v="2025-02-09T00:00:00"/>
    <s v="M"/>
    <x v="2"/>
    <x v="0"/>
    <x v="0"/>
    <x v="3"/>
    <x v="3"/>
    <x v="5"/>
    <x v="1"/>
  </r>
  <r>
    <s v="TX500956"/>
    <x v="1"/>
    <x v="0"/>
    <n v="74.400000000000006"/>
    <n v="74.400000000000006"/>
    <x v="38"/>
    <d v="2025-02-10T00:00:00"/>
    <s v="M"/>
    <x v="4"/>
    <x v="2"/>
    <x v="0"/>
    <x v="3"/>
    <x v="1"/>
    <x v="5"/>
    <x v="1"/>
  </r>
  <r>
    <s v="TX500957"/>
    <x v="17"/>
    <x v="1"/>
    <n v="51.2"/>
    <n v="102.4"/>
    <x v="38"/>
    <d v="2025-02-09T00:00:00"/>
    <s v="M"/>
    <x v="1"/>
    <x v="0"/>
    <x v="0"/>
    <x v="3"/>
    <x v="3"/>
    <x v="5"/>
    <x v="1"/>
  </r>
  <r>
    <s v="TX500958"/>
    <x v="14"/>
    <x v="12"/>
    <n v="11.8"/>
    <n v="47.2"/>
    <x v="38"/>
    <d v="2025-02-08T00:00:00"/>
    <s v="M"/>
    <x v="2"/>
    <x v="0"/>
    <x v="0"/>
    <x v="3"/>
    <x v="7"/>
    <x v="5"/>
    <x v="1"/>
  </r>
  <r>
    <s v="TX500959"/>
    <x v="10"/>
    <x v="6"/>
    <n v="40.799999999999997"/>
    <n v="1101.5999999999999"/>
    <x v="38"/>
    <d v="2025-02-09T00:00:00"/>
    <s v="F"/>
    <x v="3"/>
    <x v="2"/>
    <x v="0"/>
    <x v="3"/>
    <x v="3"/>
    <x v="5"/>
    <x v="2"/>
  </r>
  <r>
    <s v="TX500960"/>
    <x v="8"/>
    <x v="0"/>
    <n v="24.7"/>
    <n v="24.7"/>
    <x v="38"/>
    <d v="2025-02-10T00:00:00"/>
    <s v="F"/>
    <x v="2"/>
    <x v="1"/>
    <x v="0"/>
    <x v="3"/>
    <x v="1"/>
    <x v="5"/>
    <x v="2"/>
  </r>
  <r>
    <s v="TX500961"/>
    <x v="8"/>
    <x v="3"/>
    <n v="22.1"/>
    <n v="154.70000000000002"/>
    <x v="38"/>
    <d v="2025-02-08T00:00:00"/>
    <s v="F"/>
    <x v="2"/>
    <x v="4"/>
    <x v="0"/>
    <x v="3"/>
    <x v="7"/>
    <x v="5"/>
    <x v="2"/>
  </r>
  <r>
    <s v="TX500962"/>
    <x v="8"/>
    <x v="0"/>
    <n v="18.100000000000001"/>
    <n v="18.100000000000001"/>
    <x v="38"/>
    <d v="2025-02-12T00:00:00"/>
    <s v="M"/>
    <x v="3"/>
    <x v="2"/>
    <x v="0"/>
    <x v="3"/>
    <x v="5"/>
    <x v="5"/>
    <x v="1"/>
  </r>
  <r>
    <s v="TX500963"/>
    <x v="17"/>
    <x v="1"/>
    <n v="58.8"/>
    <n v="117.6"/>
    <x v="38"/>
    <d v="2025-02-11T00:00:00"/>
    <s v="F"/>
    <x v="0"/>
    <x v="0"/>
    <x v="0"/>
    <x v="25"/>
    <x v="2"/>
    <x v="5"/>
    <x v="2"/>
  </r>
  <r>
    <s v="TX500964"/>
    <x v="18"/>
    <x v="1"/>
    <n v="30.8"/>
    <n v="61.6"/>
    <x v="38"/>
    <d v="2025-02-09T00:00:00"/>
    <s v="F"/>
    <x v="0"/>
    <x v="0"/>
    <x v="0"/>
    <x v="6"/>
    <x v="3"/>
    <x v="5"/>
    <x v="2"/>
  </r>
  <r>
    <s v="TX500965"/>
    <x v="0"/>
    <x v="1"/>
    <n v="12"/>
    <n v="24"/>
    <x v="38"/>
    <d v="2025-02-12T00:00:00"/>
    <s v="F"/>
    <x v="0"/>
    <x v="0"/>
    <x v="0"/>
    <x v="6"/>
    <x v="5"/>
    <x v="5"/>
    <x v="2"/>
  </r>
  <r>
    <s v="TX500966"/>
    <x v="0"/>
    <x v="12"/>
    <n v="13.6"/>
    <n v="54.4"/>
    <x v="38"/>
    <d v="2025-02-11T00:00:00"/>
    <s v="M"/>
    <x v="2"/>
    <x v="0"/>
    <x v="0"/>
    <x v="6"/>
    <x v="2"/>
    <x v="5"/>
    <x v="1"/>
  </r>
  <r>
    <s v="TX500967"/>
    <x v="0"/>
    <x v="0"/>
    <n v="17.899999999999999"/>
    <n v="17.899999999999999"/>
    <x v="38"/>
    <d v="2025-02-09T00:00:00"/>
    <s v="M"/>
    <x v="3"/>
    <x v="0"/>
    <x v="0"/>
    <x v="6"/>
    <x v="3"/>
    <x v="5"/>
    <x v="1"/>
  </r>
  <r>
    <s v="TX500968"/>
    <x v="9"/>
    <x v="1"/>
    <n v="38.6"/>
    <n v="77.2"/>
    <x v="38"/>
    <d v="2025-02-12T00:00:00"/>
    <s v="F"/>
    <x v="4"/>
    <x v="0"/>
    <x v="0"/>
    <x v="7"/>
    <x v="5"/>
    <x v="5"/>
    <x v="2"/>
  </r>
  <r>
    <s v="TX500969"/>
    <x v="5"/>
    <x v="9"/>
    <n v="32.700000000000003"/>
    <n v="163.5"/>
    <x v="38"/>
    <d v="2025-02-09T00:00:00"/>
    <s v="M"/>
    <x v="2"/>
    <x v="2"/>
    <x v="0"/>
    <x v="8"/>
    <x v="3"/>
    <x v="5"/>
    <x v="1"/>
  </r>
  <r>
    <s v="TX500970"/>
    <x v="3"/>
    <x v="1"/>
    <n v="111.4"/>
    <n v="222.8"/>
    <x v="38"/>
    <d v="2025-02-09T00:00:00"/>
    <s v="F"/>
    <x v="1"/>
    <x v="0"/>
    <x v="0"/>
    <x v="8"/>
    <x v="3"/>
    <x v="5"/>
    <x v="2"/>
  </r>
  <r>
    <s v="TX500971"/>
    <x v="2"/>
    <x v="13"/>
    <n v="80.3"/>
    <n v="481.79999999999995"/>
    <x v="38"/>
    <d v="2025-02-10T00:00:00"/>
    <s v="F"/>
    <x v="1"/>
    <x v="0"/>
    <x v="0"/>
    <x v="8"/>
    <x v="1"/>
    <x v="5"/>
    <x v="2"/>
  </r>
  <r>
    <s v="TX500972"/>
    <x v="6"/>
    <x v="1"/>
    <n v="58.9"/>
    <n v="117.8"/>
    <x v="38"/>
    <d v="2025-02-09T00:00:00"/>
    <s v="M"/>
    <x v="1"/>
    <x v="0"/>
    <x v="0"/>
    <x v="8"/>
    <x v="3"/>
    <x v="5"/>
    <x v="1"/>
  </r>
  <r>
    <s v="TX500973"/>
    <x v="6"/>
    <x v="2"/>
    <n v="51.9"/>
    <n v="155.69999999999999"/>
    <x v="38"/>
    <d v="2025-02-10T00:00:00"/>
    <s v="F"/>
    <x v="1"/>
    <x v="4"/>
    <x v="0"/>
    <x v="8"/>
    <x v="1"/>
    <x v="5"/>
    <x v="2"/>
  </r>
  <r>
    <s v="TX500974"/>
    <x v="2"/>
    <x v="2"/>
    <n v="50.3"/>
    <n v="150.89999999999998"/>
    <x v="38"/>
    <d v="2025-02-09T00:00:00"/>
    <s v="M"/>
    <x v="2"/>
    <x v="0"/>
    <x v="0"/>
    <x v="17"/>
    <x v="3"/>
    <x v="5"/>
    <x v="1"/>
  </r>
  <r>
    <s v="TX500975"/>
    <x v="11"/>
    <x v="13"/>
    <n v="45"/>
    <n v="270"/>
    <x v="38"/>
    <d v="2025-02-14T00:00:00"/>
    <s v="F"/>
    <x v="3"/>
    <x v="0"/>
    <x v="0"/>
    <x v="9"/>
    <x v="4"/>
    <x v="5"/>
    <x v="2"/>
  </r>
  <r>
    <s v="TX500976"/>
    <x v="10"/>
    <x v="13"/>
    <n v="44.7"/>
    <n v="268.20000000000005"/>
    <x v="38"/>
    <d v="2025-02-10T00:00:00"/>
    <s v="F"/>
    <x v="2"/>
    <x v="0"/>
    <x v="0"/>
    <x v="11"/>
    <x v="1"/>
    <x v="5"/>
    <x v="2"/>
  </r>
  <r>
    <s v="TX500977"/>
    <x v="18"/>
    <x v="20"/>
    <n v="33"/>
    <n v="495"/>
    <x v="38"/>
    <d v="2025-02-09T00:00:00"/>
    <s v="F"/>
    <x v="2"/>
    <x v="0"/>
    <x v="0"/>
    <x v="11"/>
    <x v="3"/>
    <x v="5"/>
    <x v="2"/>
  </r>
  <r>
    <s v="TX500978"/>
    <x v="1"/>
    <x v="9"/>
    <n v="44.9"/>
    <n v="224.5"/>
    <x v="38"/>
    <d v="2025-02-11T00:00:00"/>
    <s v="F"/>
    <x v="2"/>
    <x v="2"/>
    <x v="0"/>
    <x v="18"/>
    <x v="2"/>
    <x v="5"/>
    <x v="2"/>
  </r>
  <r>
    <s v="TX500979"/>
    <x v="10"/>
    <x v="1"/>
    <n v="34.6"/>
    <n v="69.2"/>
    <x v="38"/>
    <d v="2025-02-12T00:00:00"/>
    <s v="F"/>
    <x v="0"/>
    <x v="1"/>
    <x v="0"/>
    <x v="19"/>
    <x v="5"/>
    <x v="5"/>
    <x v="2"/>
  </r>
  <r>
    <s v="TX500980"/>
    <x v="7"/>
    <x v="3"/>
    <n v="47.1"/>
    <n v="329.7"/>
    <x v="38"/>
    <d v="2025-02-13T00:00:00"/>
    <s v="F"/>
    <x v="0"/>
    <x v="0"/>
    <x v="0"/>
    <x v="13"/>
    <x v="0"/>
    <x v="5"/>
    <x v="2"/>
  </r>
  <r>
    <s v="TX500981"/>
    <x v="4"/>
    <x v="9"/>
    <n v="26.1"/>
    <n v="130.5"/>
    <x v="38"/>
    <d v="2025-02-13T00:00:00"/>
    <s v="M"/>
    <x v="0"/>
    <x v="2"/>
    <x v="0"/>
    <x v="21"/>
    <x v="0"/>
    <x v="5"/>
    <x v="1"/>
  </r>
  <r>
    <s v="TX500982"/>
    <x v="12"/>
    <x v="9"/>
    <n v="66.8"/>
    <n v="334"/>
    <x v="38"/>
    <d v="2025-02-11T00:00:00"/>
    <s v="F"/>
    <x v="0"/>
    <x v="0"/>
    <x v="0"/>
    <x v="21"/>
    <x v="2"/>
    <x v="5"/>
    <x v="2"/>
  </r>
  <r>
    <s v="TX500983"/>
    <x v="2"/>
    <x v="1"/>
    <n v="167.9"/>
    <n v="335.8"/>
    <x v="38"/>
    <d v="2025-02-09T00:00:00"/>
    <s v="F"/>
    <x v="3"/>
    <x v="2"/>
    <x v="0"/>
    <x v="21"/>
    <x v="3"/>
    <x v="5"/>
    <x v="2"/>
  </r>
  <r>
    <s v="TX500984"/>
    <x v="10"/>
    <x v="11"/>
    <n v="34.6"/>
    <n v="311.40000000000003"/>
    <x v="38"/>
    <d v="2025-02-09T00:00:00"/>
    <s v="F"/>
    <x v="2"/>
    <x v="1"/>
    <x v="0"/>
    <x v="21"/>
    <x v="3"/>
    <x v="5"/>
    <x v="2"/>
  </r>
  <r>
    <s v="TX500985"/>
    <x v="8"/>
    <x v="2"/>
    <n v="35.1"/>
    <n v="105.30000000000001"/>
    <x v="39"/>
    <d v="2025-02-13T00:00:00"/>
    <s v="M"/>
    <x v="4"/>
    <x v="2"/>
    <x v="0"/>
    <x v="1"/>
    <x v="5"/>
    <x v="6"/>
    <x v="1"/>
  </r>
  <r>
    <s v="TX500986"/>
    <x v="6"/>
    <x v="12"/>
    <n v="104.5"/>
    <n v="418"/>
    <x v="39"/>
    <d v="2025-02-10T00:00:00"/>
    <s v="M"/>
    <x v="1"/>
    <x v="1"/>
    <x v="0"/>
    <x v="1"/>
    <x v="3"/>
    <x v="6"/>
    <x v="1"/>
  </r>
  <r>
    <s v="TX500987"/>
    <x v="8"/>
    <x v="0"/>
    <n v="37.9"/>
    <n v="37.9"/>
    <x v="39"/>
    <d v="2025-02-11T00:00:00"/>
    <m/>
    <x v="1"/>
    <x v="2"/>
    <x v="0"/>
    <x v="2"/>
    <x v="1"/>
    <x v="6"/>
    <x v="0"/>
  </r>
  <r>
    <s v="TX500988"/>
    <x v="4"/>
    <x v="2"/>
    <n v="25.5"/>
    <n v="76.5"/>
    <x v="39"/>
    <d v="2025-02-12T00:00:00"/>
    <s v="M"/>
    <x v="3"/>
    <x v="0"/>
    <x v="0"/>
    <x v="2"/>
    <x v="2"/>
    <x v="6"/>
    <x v="1"/>
  </r>
  <r>
    <s v="TX500989"/>
    <x v="0"/>
    <x v="2"/>
    <n v="32"/>
    <n v="96"/>
    <x v="39"/>
    <d v="2025-02-13T00:00:00"/>
    <s v="F"/>
    <x v="1"/>
    <x v="0"/>
    <x v="0"/>
    <x v="22"/>
    <x v="5"/>
    <x v="6"/>
    <x v="2"/>
  </r>
  <r>
    <s v="TX500990"/>
    <x v="1"/>
    <x v="0"/>
    <n v="47.1"/>
    <n v="47.1"/>
    <x v="39"/>
    <d v="2025-02-10T00:00:00"/>
    <s v="F"/>
    <x v="0"/>
    <x v="0"/>
    <x v="0"/>
    <x v="34"/>
    <x v="3"/>
    <x v="6"/>
    <x v="2"/>
  </r>
  <r>
    <s v="TX500991"/>
    <x v="6"/>
    <x v="1"/>
    <n v="50.6"/>
    <n v="101.2"/>
    <x v="39"/>
    <d v="2025-02-15T00:00:00"/>
    <m/>
    <x v="0"/>
    <x v="0"/>
    <x v="0"/>
    <x v="3"/>
    <x v="4"/>
    <x v="6"/>
    <x v="0"/>
  </r>
  <r>
    <s v="TX500992"/>
    <x v="6"/>
    <x v="9"/>
    <n v="81.7"/>
    <n v="408.5"/>
    <x v="39"/>
    <d v="2025-02-10T00:00:00"/>
    <s v="F"/>
    <x v="1"/>
    <x v="2"/>
    <x v="0"/>
    <x v="3"/>
    <x v="3"/>
    <x v="6"/>
    <x v="2"/>
  </r>
  <r>
    <s v="TX500993"/>
    <x v="5"/>
    <x v="1"/>
    <n v="50.7"/>
    <n v="101.4"/>
    <x v="39"/>
    <d v="2025-02-10T00:00:00"/>
    <s v="O"/>
    <x v="2"/>
    <x v="2"/>
    <x v="0"/>
    <x v="3"/>
    <x v="3"/>
    <x v="6"/>
    <x v="3"/>
  </r>
  <r>
    <s v="TX500994"/>
    <x v="2"/>
    <x v="10"/>
    <n v="67.3"/>
    <n v="1278.7"/>
    <x v="39"/>
    <d v="2025-02-13T00:00:00"/>
    <s v="F"/>
    <x v="2"/>
    <x v="0"/>
    <x v="0"/>
    <x v="3"/>
    <x v="5"/>
    <x v="6"/>
    <x v="2"/>
  </r>
  <r>
    <s v="TX500995"/>
    <x v="2"/>
    <x v="12"/>
    <n v="64.8"/>
    <n v="259.2"/>
    <x v="39"/>
    <d v="2025-02-12T00:00:00"/>
    <s v="F"/>
    <x v="3"/>
    <x v="0"/>
    <x v="0"/>
    <x v="3"/>
    <x v="2"/>
    <x v="6"/>
    <x v="2"/>
  </r>
  <r>
    <s v="TX500996"/>
    <x v="5"/>
    <x v="32"/>
    <n v="61.3"/>
    <n v="1348.6"/>
    <x v="39"/>
    <d v="2025-02-10T00:00:00"/>
    <s v="F"/>
    <x v="0"/>
    <x v="2"/>
    <x v="0"/>
    <x v="3"/>
    <x v="3"/>
    <x v="6"/>
    <x v="2"/>
  </r>
  <r>
    <s v="TX500997"/>
    <x v="14"/>
    <x v="0"/>
    <n v="32.9"/>
    <n v="32.9"/>
    <x v="39"/>
    <d v="2025-02-12T00:00:00"/>
    <s v="F"/>
    <x v="4"/>
    <x v="0"/>
    <x v="0"/>
    <x v="3"/>
    <x v="2"/>
    <x v="6"/>
    <x v="2"/>
  </r>
  <r>
    <s v="TX500998"/>
    <x v="6"/>
    <x v="1"/>
    <n v="100.8"/>
    <n v="201.6"/>
    <x v="39"/>
    <d v="2025-02-12T00:00:00"/>
    <s v="F"/>
    <x v="0"/>
    <x v="0"/>
    <x v="0"/>
    <x v="3"/>
    <x v="2"/>
    <x v="6"/>
    <x v="2"/>
  </r>
  <r>
    <s v="TX500999"/>
    <x v="8"/>
    <x v="12"/>
    <n v="25.1"/>
    <n v="100.4"/>
    <x v="39"/>
    <d v="2025-02-11T00:00:00"/>
    <s v="F"/>
    <x v="1"/>
    <x v="0"/>
    <x v="0"/>
    <x v="3"/>
    <x v="1"/>
    <x v="6"/>
    <x v="2"/>
  </r>
  <r>
    <s v="TX501000"/>
    <x v="17"/>
    <x v="0"/>
    <n v="48.5"/>
    <n v="48.5"/>
    <x v="39"/>
    <d v="2025-02-10T00:00:00"/>
    <s v="F"/>
    <x v="0"/>
    <x v="1"/>
    <x v="0"/>
    <x v="3"/>
    <x v="3"/>
    <x v="6"/>
    <x v="2"/>
  </r>
  <r>
    <s v="TX501001"/>
    <x v="7"/>
    <x v="1"/>
    <n v="33.6"/>
    <n v="67.2"/>
    <x v="39"/>
    <d v="2025-02-13T00:00:00"/>
    <s v="F"/>
    <x v="2"/>
    <x v="2"/>
    <x v="0"/>
    <x v="3"/>
    <x v="5"/>
    <x v="6"/>
    <x v="2"/>
  </r>
  <r>
    <s v="TX501002"/>
    <x v="8"/>
    <x v="0"/>
    <n v="39.299999999999997"/>
    <n v="39.299999999999997"/>
    <x v="39"/>
    <d v="2025-02-20T00:00:00"/>
    <s v="F"/>
    <x v="1"/>
    <x v="1"/>
    <x v="0"/>
    <x v="49"/>
    <x v="11"/>
    <x v="6"/>
    <x v="2"/>
  </r>
  <r>
    <s v="TX501003"/>
    <x v="4"/>
    <x v="7"/>
    <n v="48.8"/>
    <n v="488"/>
    <x v="39"/>
    <d v="2025-02-11T00:00:00"/>
    <s v="F"/>
    <x v="3"/>
    <x v="1"/>
    <x v="0"/>
    <x v="25"/>
    <x v="1"/>
    <x v="6"/>
    <x v="2"/>
  </r>
  <r>
    <s v="TX501004"/>
    <x v="6"/>
    <x v="8"/>
    <n v="72.8"/>
    <n v="582.4"/>
    <x v="39"/>
    <d v="2025-02-11T00:00:00"/>
    <s v="M"/>
    <x v="1"/>
    <x v="2"/>
    <x v="0"/>
    <x v="5"/>
    <x v="1"/>
    <x v="6"/>
    <x v="1"/>
  </r>
  <r>
    <s v="TX501005"/>
    <x v="10"/>
    <x v="8"/>
    <n v="46.2"/>
    <n v="369.6"/>
    <x v="39"/>
    <d v="2025-02-10T00:00:00"/>
    <s v="M"/>
    <x v="3"/>
    <x v="4"/>
    <x v="0"/>
    <x v="5"/>
    <x v="3"/>
    <x v="6"/>
    <x v="1"/>
  </r>
  <r>
    <s v="TX501006"/>
    <x v="4"/>
    <x v="1"/>
    <n v="20.7"/>
    <n v="41.4"/>
    <x v="39"/>
    <d v="2025-02-10T00:00:00"/>
    <s v="F"/>
    <x v="2"/>
    <x v="3"/>
    <x v="0"/>
    <x v="6"/>
    <x v="3"/>
    <x v="6"/>
    <x v="2"/>
  </r>
  <r>
    <s v="TX501007"/>
    <x v="0"/>
    <x v="0"/>
    <n v="35.700000000000003"/>
    <n v="35.700000000000003"/>
    <x v="39"/>
    <d v="2025-02-11T00:00:00"/>
    <s v="F"/>
    <x v="3"/>
    <x v="0"/>
    <x v="0"/>
    <x v="6"/>
    <x v="1"/>
    <x v="6"/>
    <x v="2"/>
  </r>
  <r>
    <s v="TX501008"/>
    <x v="2"/>
    <x v="27"/>
    <n v="166.2"/>
    <n v="2659.2"/>
    <x v="39"/>
    <d v="2025-02-11T00:00:00"/>
    <m/>
    <x v="2"/>
    <x v="0"/>
    <x v="0"/>
    <x v="7"/>
    <x v="1"/>
    <x v="6"/>
    <x v="0"/>
  </r>
  <r>
    <s v="TX501009"/>
    <x v="6"/>
    <x v="12"/>
    <n v="85.8"/>
    <n v="343.2"/>
    <x v="39"/>
    <d v="2025-02-10T00:00:00"/>
    <s v="F"/>
    <x v="1"/>
    <x v="1"/>
    <x v="0"/>
    <x v="7"/>
    <x v="3"/>
    <x v="6"/>
    <x v="2"/>
  </r>
  <r>
    <s v="TX501010"/>
    <x v="8"/>
    <x v="2"/>
    <n v="26"/>
    <n v="78"/>
    <x v="39"/>
    <d v="2025-02-11T00:00:00"/>
    <s v="O"/>
    <x v="1"/>
    <x v="0"/>
    <x v="0"/>
    <x v="7"/>
    <x v="1"/>
    <x v="6"/>
    <x v="3"/>
  </r>
  <r>
    <s v="TX501011"/>
    <x v="2"/>
    <x v="15"/>
    <n v="116.6"/>
    <n v="1515.8"/>
    <x v="39"/>
    <d v="2025-02-12T00:00:00"/>
    <s v="F"/>
    <x v="0"/>
    <x v="0"/>
    <x v="0"/>
    <x v="8"/>
    <x v="2"/>
    <x v="6"/>
    <x v="2"/>
  </r>
  <r>
    <s v="TX501012"/>
    <x v="9"/>
    <x v="3"/>
    <n v="53.9"/>
    <n v="377.3"/>
    <x v="39"/>
    <d v="2025-02-12T00:00:00"/>
    <s v="O"/>
    <x v="0"/>
    <x v="2"/>
    <x v="0"/>
    <x v="8"/>
    <x v="2"/>
    <x v="6"/>
    <x v="3"/>
  </r>
  <r>
    <s v="TX501013"/>
    <x v="12"/>
    <x v="9"/>
    <n v="72.3"/>
    <n v="361.5"/>
    <x v="39"/>
    <d v="2025-02-11T00:00:00"/>
    <m/>
    <x v="2"/>
    <x v="2"/>
    <x v="0"/>
    <x v="8"/>
    <x v="1"/>
    <x v="6"/>
    <x v="0"/>
  </r>
  <r>
    <s v="TX501014"/>
    <x v="5"/>
    <x v="1"/>
    <n v="31.4"/>
    <n v="62.8"/>
    <x v="39"/>
    <d v="2025-02-11T00:00:00"/>
    <s v="F"/>
    <x v="0"/>
    <x v="0"/>
    <x v="0"/>
    <x v="8"/>
    <x v="1"/>
    <x v="6"/>
    <x v="2"/>
  </r>
  <r>
    <s v="TX501015"/>
    <x v="13"/>
    <x v="1"/>
    <n v="53.1"/>
    <n v="106.2"/>
    <x v="39"/>
    <d v="2025-02-12T00:00:00"/>
    <s v="M"/>
    <x v="1"/>
    <x v="0"/>
    <x v="0"/>
    <x v="8"/>
    <x v="2"/>
    <x v="6"/>
    <x v="1"/>
  </r>
  <r>
    <s v="TX501016"/>
    <x v="2"/>
    <x v="12"/>
    <n v="56.2"/>
    <n v="224.8"/>
    <x v="39"/>
    <d v="2025-02-10T00:00:00"/>
    <s v="F"/>
    <x v="0"/>
    <x v="0"/>
    <x v="0"/>
    <x v="8"/>
    <x v="3"/>
    <x v="6"/>
    <x v="2"/>
  </r>
  <r>
    <s v="TX501017"/>
    <x v="1"/>
    <x v="7"/>
    <n v="77.3"/>
    <n v="773"/>
    <x v="39"/>
    <d v="2025-02-10T00:00:00"/>
    <s v="F"/>
    <x v="2"/>
    <x v="0"/>
    <x v="0"/>
    <x v="11"/>
    <x v="3"/>
    <x v="6"/>
    <x v="2"/>
  </r>
  <r>
    <s v="TX501018"/>
    <x v="6"/>
    <x v="15"/>
    <n v="57.8"/>
    <n v="751.4"/>
    <x v="39"/>
    <d v="2025-02-10T00:00:00"/>
    <m/>
    <x v="0"/>
    <x v="0"/>
    <x v="0"/>
    <x v="53"/>
    <x v="3"/>
    <x v="6"/>
    <x v="0"/>
  </r>
  <r>
    <s v="TX501019"/>
    <x v="12"/>
    <x v="20"/>
    <n v="42.1"/>
    <n v="631.5"/>
    <x v="39"/>
    <d v="2025-02-11T00:00:00"/>
    <s v="F"/>
    <x v="1"/>
    <x v="1"/>
    <x v="0"/>
    <x v="53"/>
    <x v="1"/>
    <x v="6"/>
    <x v="2"/>
  </r>
  <r>
    <s v="TX501020"/>
    <x v="8"/>
    <x v="11"/>
    <n v="22.8"/>
    <n v="205.20000000000002"/>
    <x v="39"/>
    <d v="2025-02-13T00:00:00"/>
    <s v="M"/>
    <x v="2"/>
    <x v="2"/>
    <x v="0"/>
    <x v="19"/>
    <x v="5"/>
    <x v="6"/>
    <x v="1"/>
  </r>
  <r>
    <s v="TX501021"/>
    <x v="2"/>
    <x v="2"/>
    <n v="171.1"/>
    <n v="513.29999999999995"/>
    <x v="40"/>
    <d v="2025-02-17T00:00:00"/>
    <s v="F"/>
    <x v="2"/>
    <x v="1"/>
    <x v="0"/>
    <x v="19"/>
    <x v="6"/>
    <x v="6"/>
    <x v="2"/>
  </r>
  <r>
    <s v="TX501022"/>
    <x v="8"/>
    <x v="0"/>
    <n v="28"/>
    <n v="28"/>
    <x v="40"/>
    <d v="2025-02-12T00:00:00"/>
    <s v="M"/>
    <x v="2"/>
    <x v="2"/>
    <x v="0"/>
    <x v="21"/>
    <x v="1"/>
    <x v="6"/>
    <x v="1"/>
  </r>
  <r>
    <s v="TX501023"/>
    <x v="6"/>
    <x v="3"/>
    <n v="50.2"/>
    <n v="351.40000000000003"/>
    <x v="40"/>
    <d v="2025-02-12T00:00:00"/>
    <s v="M"/>
    <x v="2"/>
    <x v="0"/>
    <x v="0"/>
    <x v="21"/>
    <x v="1"/>
    <x v="6"/>
    <x v="1"/>
  </r>
  <r>
    <s v="TX501024"/>
    <x v="6"/>
    <x v="1"/>
    <n v="56"/>
    <n v="112"/>
    <x v="40"/>
    <d v="2025-02-10T00:00:00"/>
    <s v="M"/>
    <x v="0"/>
    <x v="2"/>
    <x v="0"/>
    <x v="22"/>
    <x v="7"/>
    <x v="6"/>
    <x v="1"/>
  </r>
  <r>
    <s v="TX501025"/>
    <x v="1"/>
    <x v="1"/>
    <n v="38.299999999999997"/>
    <n v="76.599999999999994"/>
    <x v="40"/>
    <d v="2025-02-11T00:00:00"/>
    <s v="F"/>
    <x v="1"/>
    <x v="0"/>
    <x v="0"/>
    <x v="3"/>
    <x v="3"/>
    <x v="6"/>
    <x v="2"/>
  </r>
  <r>
    <s v="TX501026"/>
    <x v="0"/>
    <x v="9"/>
    <n v="22.3"/>
    <n v="111.5"/>
    <x v="40"/>
    <d v="2025-02-14T00:00:00"/>
    <s v="F"/>
    <x v="2"/>
    <x v="1"/>
    <x v="0"/>
    <x v="3"/>
    <x v="5"/>
    <x v="6"/>
    <x v="2"/>
  </r>
  <r>
    <s v="TX501027"/>
    <x v="0"/>
    <x v="2"/>
    <n v="22.3"/>
    <n v="66.900000000000006"/>
    <x v="40"/>
    <d v="2025-02-13T00:00:00"/>
    <s v="F"/>
    <x v="2"/>
    <x v="0"/>
    <x v="0"/>
    <x v="3"/>
    <x v="2"/>
    <x v="6"/>
    <x v="2"/>
  </r>
  <r>
    <s v="TX501028"/>
    <x v="1"/>
    <x v="0"/>
    <n v="32.9"/>
    <n v="32.9"/>
    <x v="40"/>
    <d v="2025-02-15T00:00:00"/>
    <s v="F"/>
    <x v="0"/>
    <x v="0"/>
    <x v="0"/>
    <x v="3"/>
    <x v="0"/>
    <x v="6"/>
    <x v="2"/>
  </r>
  <r>
    <s v="TX501029"/>
    <x v="10"/>
    <x v="2"/>
    <n v="31.9"/>
    <n v="95.699999999999989"/>
    <x v="40"/>
    <d v="2025-02-15T00:00:00"/>
    <s v="F"/>
    <x v="0"/>
    <x v="0"/>
    <x v="0"/>
    <x v="3"/>
    <x v="0"/>
    <x v="6"/>
    <x v="2"/>
  </r>
  <r>
    <s v="TX501030"/>
    <x v="6"/>
    <x v="1"/>
    <n v="94"/>
    <n v="188"/>
    <x v="40"/>
    <d v="2025-02-11T00:00:00"/>
    <s v="M"/>
    <x v="2"/>
    <x v="2"/>
    <x v="0"/>
    <x v="3"/>
    <x v="3"/>
    <x v="6"/>
    <x v="1"/>
  </r>
  <r>
    <s v="TX501031"/>
    <x v="10"/>
    <x v="1"/>
    <n v="30.7"/>
    <n v="61.4"/>
    <x v="40"/>
    <d v="2025-02-11T00:00:00"/>
    <s v="F"/>
    <x v="0"/>
    <x v="1"/>
    <x v="0"/>
    <x v="3"/>
    <x v="3"/>
    <x v="6"/>
    <x v="2"/>
  </r>
  <r>
    <s v="TX501032"/>
    <x v="5"/>
    <x v="9"/>
    <n v="90.5"/>
    <n v="452.5"/>
    <x v="40"/>
    <d v="2025-02-17T00:00:00"/>
    <s v="M"/>
    <x v="0"/>
    <x v="2"/>
    <x v="0"/>
    <x v="3"/>
    <x v="6"/>
    <x v="6"/>
    <x v="1"/>
  </r>
  <r>
    <s v="TX501033"/>
    <x v="8"/>
    <x v="9"/>
    <n v="25.3"/>
    <n v="126.5"/>
    <x v="40"/>
    <d v="2025-02-14T00:00:00"/>
    <s v="F"/>
    <x v="0"/>
    <x v="2"/>
    <x v="0"/>
    <x v="3"/>
    <x v="5"/>
    <x v="6"/>
    <x v="2"/>
  </r>
  <r>
    <s v="TX501034"/>
    <x v="6"/>
    <x v="2"/>
    <n v="58.1"/>
    <n v="174.3"/>
    <x v="40"/>
    <d v="2025-02-14T00:00:00"/>
    <m/>
    <x v="0"/>
    <x v="2"/>
    <x v="0"/>
    <x v="3"/>
    <x v="5"/>
    <x v="6"/>
    <x v="0"/>
  </r>
  <r>
    <s v="TX501035"/>
    <x v="2"/>
    <x v="2"/>
    <n v="74.900000000000006"/>
    <n v="224.70000000000002"/>
    <x v="40"/>
    <d v="2025-02-11T00:00:00"/>
    <s v="F"/>
    <x v="4"/>
    <x v="0"/>
    <x v="0"/>
    <x v="3"/>
    <x v="3"/>
    <x v="6"/>
    <x v="2"/>
  </r>
  <r>
    <s v="TX501036"/>
    <x v="4"/>
    <x v="1"/>
    <n v="32.5"/>
    <n v="65"/>
    <x v="40"/>
    <d v="2025-02-11T00:00:00"/>
    <s v="M"/>
    <x v="2"/>
    <x v="2"/>
    <x v="0"/>
    <x v="43"/>
    <x v="3"/>
    <x v="6"/>
    <x v="1"/>
  </r>
  <r>
    <s v="TX501037"/>
    <x v="4"/>
    <x v="9"/>
    <n v="62"/>
    <n v="310"/>
    <x v="40"/>
    <d v="2025-02-11T00:00:00"/>
    <s v="M"/>
    <x v="4"/>
    <x v="2"/>
    <x v="0"/>
    <x v="25"/>
    <x v="3"/>
    <x v="6"/>
    <x v="1"/>
  </r>
  <r>
    <s v="TX501038"/>
    <x v="13"/>
    <x v="13"/>
    <n v="28.9"/>
    <n v="173.39999999999998"/>
    <x v="40"/>
    <d v="2025-02-13T00:00:00"/>
    <s v="F"/>
    <x v="0"/>
    <x v="1"/>
    <x v="0"/>
    <x v="6"/>
    <x v="2"/>
    <x v="6"/>
    <x v="2"/>
  </r>
  <r>
    <s v="TX501039"/>
    <x v="6"/>
    <x v="8"/>
    <n v="42.8"/>
    <n v="342.4"/>
    <x v="40"/>
    <d v="2025-02-12T00:00:00"/>
    <s v="F"/>
    <x v="0"/>
    <x v="2"/>
    <x v="0"/>
    <x v="6"/>
    <x v="1"/>
    <x v="6"/>
    <x v="2"/>
  </r>
  <r>
    <s v="TX501040"/>
    <x v="8"/>
    <x v="8"/>
    <n v="39.4"/>
    <n v="315.2"/>
    <x v="40"/>
    <d v="2025-02-12T00:00:00"/>
    <s v="M"/>
    <x v="0"/>
    <x v="0"/>
    <x v="0"/>
    <x v="36"/>
    <x v="1"/>
    <x v="6"/>
    <x v="1"/>
  </r>
  <r>
    <s v="TX501041"/>
    <x v="18"/>
    <x v="2"/>
    <n v="66.400000000000006"/>
    <n v="199.20000000000002"/>
    <x v="40"/>
    <d v="2025-02-11T00:00:00"/>
    <m/>
    <x v="2"/>
    <x v="1"/>
    <x v="0"/>
    <x v="7"/>
    <x v="3"/>
    <x v="6"/>
    <x v="0"/>
  </r>
  <r>
    <s v="TX501042"/>
    <x v="17"/>
    <x v="12"/>
    <n v="35.9"/>
    <n v="143.6"/>
    <x v="40"/>
    <d v="2025-02-17T00:00:00"/>
    <s v="F"/>
    <x v="1"/>
    <x v="0"/>
    <x v="0"/>
    <x v="7"/>
    <x v="6"/>
    <x v="6"/>
    <x v="2"/>
  </r>
  <r>
    <s v="TX501043"/>
    <x v="0"/>
    <x v="12"/>
    <n v="26.9"/>
    <n v="107.6"/>
    <x v="40"/>
    <d v="2025-02-11T00:00:00"/>
    <s v="M"/>
    <x v="1"/>
    <x v="0"/>
    <x v="0"/>
    <x v="7"/>
    <x v="3"/>
    <x v="6"/>
    <x v="1"/>
  </r>
  <r>
    <s v="TX501044"/>
    <x v="2"/>
    <x v="0"/>
    <n v="55.1"/>
    <n v="55.1"/>
    <x v="40"/>
    <d v="2025-02-11T00:00:00"/>
    <s v="F"/>
    <x v="0"/>
    <x v="0"/>
    <x v="0"/>
    <x v="7"/>
    <x v="3"/>
    <x v="6"/>
    <x v="2"/>
  </r>
  <r>
    <s v="TX501045"/>
    <x v="4"/>
    <x v="1"/>
    <n v="23.9"/>
    <n v="47.8"/>
    <x v="40"/>
    <d v="2025-02-11T00:00:00"/>
    <s v="M"/>
    <x v="0"/>
    <x v="2"/>
    <x v="0"/>
    <x v="8"/>
    <x v="3"/>
    <x v="6"/>
    <x v="1"/>
  </r>
  <r>
    <s v="TX501046"/>
    <x v="9"/>
    <x v="15"/>
    <n v="21.1"/>
    <n v="274.3"/>
    <x v="40"/>
    <d v="2025-02-18T00:00:00"/>
    <s v="F"/>
    <x v="0"/>
    <x v="1"/>
    <x v="0"/>
    <x v="8"/>
    <x v="9"/>
    <x v="6"/>
    <x v="2"/>
  </r>
  <r>
    <s v="TX501047"/>
    <x v="8"/>
    <x v="9"/>
    <n v="33.799999999999997"/>
    <n v="169"/>
    <x v="40"/>
    <d v="2025-02-12T00:00:00"/>
    <s v="F"/>
    <x v="0"/>
    <x v="0"/>
    <x v="0"/>
    <x v="8"/>
    <x v="1"/>
    <x v="6"/>
    <x v="2"/>
  </r>
  <r>
    <s v="TX501048"/>
    <x v="2"/>
    <x v="12"/>
    <n v="56.1"/>
    <n v="224.4"/>
    <x v="40"/>
    <d v="2025-02-10T00:00:00"/>
    <s v="F"/>
    <x v="3"/>
    <x v="2"/>
    <x v="0"/>
    <x v="9"/>
    <x v="7"/>
    <x v="6"/>
    <x v="2"/>
  </r>
  <r>
    <s v="TX501049"/>
    <x v="3"/>
    <x v="0"/>
    <n v="58.5"/>
    <n v="58.5"/>
    <x v="41"/>
    <d v="2025-02-15T00:00:00"/>
    <s v="F"/>
    <x v="1"/>
    <x v="2"/>
    <x v="0"/>
    <x v="9"/>
    <x v="5"/>
    <x v="6"/>
    <x v="2"/>
  </r>
  <r>
    <s v="TX501050"/>
    <x v="6"/>
    <x v="0"/>
    <n v="84.2"/>
    <n v="84.2"/>
    <x v="41"/>
    <d v="2025-02-13T00:00:00"/>
    <s v="M"/>
    <x v="3"/>
    <x v="0"/>
    <x v="0"/>
    <x v="11"/>
    <x v="1"/>
    <x v="6"/>
    <x v="1"/>
  </r>
  <r>
    <s v="TX501051"/>
    <x v="11"/>
    <x v="12"/>
    <n v="52"/>
    <n v="208"/>
    <x v="41"/>
    <d v="2025-02-14T00:00:00"/>
    <s v="M"/>
    <x v="0"/>
    <x v="0"/>
    <x v="0"/>
    <x v="11"/>
    <x v="2"/>
    <x v="6"/>
    <x v="1"/>
  </r>
  <r>
    <s v="TX501052"/>
    <x v="4"/>
    <x v="9"/>
    <n v="31.5"/>
    <n v="157.5"/>
    <x v="41"/>
    <d v="2025-02-12T00:00:00"/>
    <s v="F"/>
    <x v="0"/>
    <x v="2"/>
    <x v="0"/>
    <x v="11"/>
    <x v="3"/>
    <x v="6"/>
    <x v="2"/>
  </r>
  <r>
    <s v="TX501053"/>
    <x v="16"/>
    <x v="2"/>
    <n v="46.2"/>
    <n v="138.60000000000002"/>
    <x v="41"/>
    <d v="2025-02-12T00:00:00"/>
    <s v="M"/>
    <x v="0"/>
    <x v="0"/>
    <x v="0"/>
    <x v="53"/>
    <x v="3"/>
    <x v="6"/>
    <x v="1"/>
  </r>
  <r>
    <s v="TX501054"/>
    <x v="2"/>
    <x v="13"/>
    <n v="135"/>
    <n v="810"/>
    <x v="41"/>
    <d v="2025-02-12T00:00:00"/>
    <s v="F"/>
    <x v="1"/>
    <x v="2"/>
    <x v="0"/>
    <x v="18"/>
    <x v="3"/>
    <x v="6"/>
    <x v="2"/>
  </r>
  <r>
    <s v="TX501055"/>
    <x v="12"/>
    <x v="2"/>
    <n v="92.2"/>
    <n v="276.60000000000002"/>
    <x v="41"/>
    <d v="2025-02-15T00:00:00"/>
    <s v="M"/>
    <x v="0"/>
    <x v="0"/>
    <x v="0"/>
    <x v="21"/>
    <x v="5"/>
    <x v="6"/>
    <x v="1"/>
  </r>
  <r>
    <s v="TX501056"/>
    <x v="8"/>
    <x v="0"/>
    <n v="36.6"/>
    <n v="36.6"/>
    <x v="41"/>
    <d v="2025-02-13T00:00:00"/>
    <s v="M"/>
    <x v="2"/>
    <x v="2"/>
    <x v="0"/>
    <x v="21"/>
    <x v="1"/>
    <x v="6"/>
    <x v="1"/>
  </r>
  <r>
    <s v="TX501057"/>
    <x v="9"/>
    <x v="1"/>
    <n v="50.6"/>
    <n v="101.2"/>
    <x v="41"/>
    <d v="2025-02-14T00:00:00"/>
    <s v="F"/>
    <x v="0"/>
    <x v="0"/>
    <x v="0"/>
    <x v="2"/>
    <x v="2"/>
    <x v="6"/>
    <x v="2"/>
  </r>
  <r>
    <s v="TX501058"/>
    <x v="18"/>
    <x v="3"/>
    <n v="56.7"/>
    <n v="396.90000000000003"/>
    <x v="41"/>
    <d v="2025-02-14T00:00:00"/>
    <s v="F"/>
    <x v="0"/>
    <x v="0"/>
    <x v="0"/>
    <x v="2"/>
    <x v="2"/>
    <x v="6"/>
    <x v="2"/>
  </r>
  <r>
    <s v="TX501059"/>
    <x v="9"/>
    <x v="15"/>
    <n v="22.9"/>
    <n v="297.7"/>
    <x v="41"/>
    <d v="2025-02-12T00:00:00"/>
    <s v="F"/>
    <x v="0"/>
    <x v="1"/>
    <x v="0"/>
    <x v="44"/>
    <x v="3"/>
    <x v="6"/>
    <x v="2"/>
  </r>
  <r>
    <s v="TX501060"/>
    <x v="15"/>
    <x v="10"/>
    <n v="53.6"/>
    <n v="1018.4"/>
    <x v="41"/>
    <d v="2025-02-12T00:00:00"/>
    <s v="M"/>
    <x v="0"/>
    <x v="0"/>
    <x v="0"/>
    <x v="22"/>
    <x v="3"/>
    <x v="6"/>
    <x v="1"/>
  </r>
  <r>
    <s v="TX501061"/>
    <x v="18"/>
    <x v="1"/>
    <n v="30.2"/>
    <n v="60.4"/>
    <x v="41"/>
    <d v="2025-02-13T00:00:00"/>
    <m/>
    <x v="2"/>
    <x v="2"/>
    <x v="0"/>
    <x v="3"/>
    <x v="1"/>
    <x v="6"/>
    <x v="0"/>
  </r>
  <r>
    <s v="TX501062"/>
    <x v="15"/>
    <x v="13"/>
    <n v="83.4"/>
    <n v="500.40000000000003"/>
    <x v="41"/>
    <d v="2025-02-12T00:00:00"/>
    <s v="M"/>
    <x v="1"/>
    <x v="2"/>
    <x v="0"/>
    <x v="3"/>
    <x v="3"/>
    <x v="6"/>
    <x v="1"/>
  </r>
  <r>
    <s v="TX501063"/>
    <x v="13"/>
    <x v="4"/>
    <n v="16.600000000000001"/>
    <n v="199.20000000000002"/>
    <x v="41"/>
    <d v="2025-02-13T00:00:00"/>
    <s v="M"/>
    <x v="1"/>
    <x v="0"/>
    <x v="0"/>
    <x v="3"/>
    <x v="1"/>
    <x v="6"/>
    <x v="1"/>
  </r>
  <r>
    <s v="TX501064"/>
    <x v="8"/>
    <x v="14"/>
    <n v="21.9"/>
    <n v="372.29999999999995"/>
    <x v="41"/>
    <d v="2025-02-13T00:00:00"/>
    <s v="F"/>
    <x v="4"/>
    <x v="1"/>
    <x v="0"/>
    <x v="3"/>
    <x v="1"/>
    <x v="6"/>
    <x v="2"/>
  </r>
  <r>
    <s v="TX501065"/>
    <x v="8"/>
    <x v="31"/>
    <n v="33.799999999999997"/>
    <n v="946.39999999999986"/>
    <x v="41"/>
    <d v="2025-02-13T00:00:00"/>
    <s v="M"/>
    <x v="2"/>
    <x v="4"/>
    <x v="0"/>
    <x v="3"/>
    <x v="1"/>
    <x v="6"/>
    <x v="1"/>
  </r>
  <r>
    <s v="TX501066"/>
    <x v="18"/>
    <x v="1"/>
    <n v="53.2"/>
    <n v="106.4"/>
    <x v="41"/>
    <d v="2025-02-11T00:00:00"/>
    <s v="M"/>
    <x v="1"/>
    <x v="0"/>
    <x v="0"/>
    <x v="3"/>
    <x v="7"/>
    <x v="6"/>
    <x v="1"/>
  </r>
  <r>
    <s v="TX501067"/>
    <x v="2"/>
    <x v="1"/>
    <n v="176.7"/>
    <n v="353.4"/>
    <x v="41"/>
    <d v="2025-02-14T00:00:00"/>
    <s v="F"/>
    <x v="2"/>
    <x v="0"/>
    <x v="0"/>
    <x v="3"/>
    <x v="2"/>
    <x v="6"/>
    <x v="2"/>
  </r>
  <r>
    <s v="TX501068"/>
    <x v="12"/>
    <x v="2"/>
    <n v="54"/>
    <n v="162"/>
    <x v="41"/>
    <d v="2025-02-14T00:00:00"/>
    <s v="M"/>
    <x v="0"/>
    <x v="1"/>
    <x v="0"/>
    <x v="3"/>
    <x v="2"/>
    <x v="6"/>
    <x v="1"/>
  </r>
  <r>
    <s v="TX501069"/>
    <x v="9"/>
    <x v="1"/>
    <n v="70.099999999999994"/>
    <n v="140.19999999999999"/>
    <x v="41"/>
    <d v="2025-02-19T00:00:00"/>
    <s v="F"/>
    <x v="3"/>
    <x v="2"/>
    <x v="0"/>
    <x v="3"/>
    <x v="9"/>
    <x v="6"/>
    <x v="2"/>
  </r>
  <r>
    <s v="TX501070"/>
    <x v="8"/>
    <x v="0"/>
    <n v="26.5"/>
    <n v="26.5"/>
    <x v="41"/>
    <d v="2025-02-13T00:00:00"/>
    <s v="F"/>
    <x v="1"/>
    <x v="0"/>
    <x v="0"/>
    <x v="3"/>
    <x v="1"/>
    <x v="6"/>
    <x v="2"/>
  </r>
  <r>
    <s v="TX501071"/>
    <x v="7"/>
    <x v="9"/>
    <n v="89"/>
    <n v="445"/>
    <x v="41"/>
    <d v="2025-02-13T00:00:00"/>
    <s v="M"/>
    <x v="2"/>
    <x v="4"/>
    <x v="0"/>
    <x v="3"/>
    <x v="1"/>
    <x v="6"/>
    <x v="1"/>
  </r>
  <r>
    <s v="TX501072"/>
    <x v="1"/>
    <x v="13"/>
    <n v="47"/>
    <n v="282"/>
    <x v="41"/>
    <d v="2025-02-14T00:00:00"/>
    <s v="F"/>
    <x v="3"/>
    <x v="0"/>
    <x v="0"/>
    <x v="24"/>
    <x v="2"/>
    <x v="6"/>
    <x v="2"/>
  </r>
  <r>
    <s v="TX501073"/>
    <x v="3"/>
    <x v="1"/>
    <n v="55.2"/>
    <n v="110.4"/>
    <x v="41"/>
    <d v="2025-02-14T00:00:00"/>
    <s v="M"/>
    <x v="1"/>
    <x v="1"/>
    <x v="0"/>
    <x v="6"/>
    <x v="2"/>
    <x v="6"/>
    <x v="1"/>
  </r>
  <r>
    <s v="TX501074"/>
    <x v="8"/>
    <x v="39"/>
    <n v="33.299999999999997"/>
    <n v="1398.6"/>
    <x v="41"/>
    <d v="2025-02-25T00:00:00"/>
    <s v="M"/>
    <x v="1"/>
    <x v="2"/>
    <x v="0"/>
    <x v="6"/>
    <x v="12"/>
    <x v="6"/>
    <x v="1"/>
  </r>
  <r>
    <s v="TX501075"/>
    <x v="2"/>
    <x v="12"/>
    <n v="110.9"/>
    <n v="443.6"/>
    <x v="42"/>
    <d v="2025-02-12T00:00:00"/>
    <s v="M"/>
    <x v="2"/>
    <x v="4"/>
    <x v="0"/>
    <x v="6"/>
    <x v="7"/>
    <x v="6"/>
    <x v="1"/>
  </r>
  <r>
    <s v="TX501076"/>
    <x v="2"/>
    <x v="13"/>
    <n v="67.3"/>
    <n v="403.79999999999995"/>
    <x v="42"/>
    <d v="2025-02-13T00:00:00"/>
    <s v="M"/>
    <x v="0"/>
    <x v="0"/>
    <x v="0"/>
    <x v="8"/>
    <x v="3"/>
    <x v="6"/>
    <x v="1"/>
  </r>
  <r>
    <s v="TX501077"/>
    <x v="6"/>
    <x v="2"/>
    <n v="69.7"/>
    <n v="209.10000000000002"/>
    <x v="42"/>
    <d v="2025-02-13T00:00:00"/>
    <s v="M"/>
    <x v="2"/>
    <x v="1"/>
    <x v="0"/>
    <x v="8"/>
    <x v="3"/>
    <x v="6"/>
    <x v="1"/>
  </r>
  <r>
    <s v="TX501078"/>
    <x v="5"/>
    <x v="0"/>
    <n v="39.1"/>
    <n v="39.1"/>
    <x v="42"/>
    <d v="2025-02-17T00:00:00"/>
    <s v="M"/>
    <x v="0"/>
    <x v="1"/>
    <x v="0"/>
    <x v="17"/>
    <x v="0"/>
    <x v="6"/>
    <x v="1"/>
  </r>
  <r>
    <s v="TX501079"/>
    <x v="2"/>
    <x v="2"/>
    <n v="208.6"/>
    <n v="625.79999999999995"/>
    <x v="42"/>
    <d v="2025-02-12T00:00:00"/>
    <s v="M"/>
    <x v="4"/>
    <x v="2"/>
    <x v="0"/>
    <x v="17"/>
    <x v="7"/>
    <x v="6"/>
    <x v="1"/>
  </r>
  <r>
    <s v="TX501080"/>
    <x v="15"/>
    <x v="2"/>
    <n v="27.8"/>
    <n v="83.4"/>
    <x v="42"/>
    <d v="2025-02-13T00:00:00"/>
    <s v="M"/>
    <x v="3"/>
    <x v="1"/>
    <x v="0"/>
    <x v="11"/>
    <x v="3"/>
    <x v="6"/>
    <x v="1"/>
  </r>
  <r>
    <s v="TX501081"/>
    <x v="10"/>
    <x v="9"/>
    <n v="29.4"/>
    <n v="147"/>
    <x v="42"/>
    <d v="2025-02-14T00:00:00"/>
    <s v="F"/>
    <x v="0"/>
    <x v="0"/>
    <x v="0"/>
    <x v="11"/>
    <x v="1"/>
    <x v="6"/>
    <x v="2"/>
  </r>
  <r>
    <s v="TX501082"/>
    <x v="9"/>
    <x v="1"/>
    <n v="29.2"/>
    <n v="58.4"/>
    <x v="42"/>
    <d v="2025-02-14T00:00:00"/>
    <s v="F"/>
    <x v="1"/>
    <x v="2"/>
    <x v="0"/>
    <x v="20"/>
    <x v="1"/>
    <x v="6"/>
    <x v="2"/>
  </r>
  <r>
    <s v="TX501083"/>
    <x v="10"/>
    <x v="9"/>
    <n v="26.5"/>
    <n v="132.5"/>
    <x v="42"/>
    <d v="2025-02-14T00:00:00"/>
    <s v="F"/>
    <x v="0"/>
    <x v="0"/>
    <x v="0"/>
    <x v="52"/>
    <x v="1"/>
    <x v="6"/>
    <x v="2"/>
  </r>
  <r>
    <s v="TX501084"/>
    <x v="5"/>
    <x v="0"/>
    <n v="30.3"/>
    <n v="30.3"/>
    <x v="42"/>
    <d v="2025-02-13T00:00:00"/>
    <s v="F"/>
    <x v="4"/>
    <x v="1"/>
    <x v="0"/>
    <x v="13"/>
    <x v="3"/>
    <x v="6"/>
    <x v="2"/>
  </r>
  <r>
    <s v="TX501085"/>
    <x v="16"/>
    <x v="4"/>
    <n v="39.700000000000003"/>
    <n v="476.40000000000003"/>
    <x v="42"/>
    <d v="2025-02-13T00:00:00"/>
    <s v="F"/>
    <x v="0"/>
    <x v="0"/>
    <x v="0"/>
    <x v="21"/>
    <x v="3"/>
    <x v="6"/>
    <x v="2"/>
  </r>
  <r>
    <s v="TX501086"/>
    <x v="7"/>
    <x v="7"/>
    <n v="58.9"/>
    <n v="589"/>
    <x v="42"/>
    <d v="2025-02-14T00:00:00"/>
    <s v="F"/>
    <x v="1"/>
    <x v="4"/>
    <x v="0"/>
    <x v="21"/>
    <x v="1"/>
    <x v="6"/>
    <x v="2"/>
  </r>
  <r>
    <s v="TX501087"/>
    <x v="2"/>
    <x v="1"/>
    <n v="174.1"/>
    <n v="348.2"/>
    <x v="42"/>
    <d v="2025-02-14T00:00:00"/>
    <s v="F"/>
    <x v="0"/>
    <x v="1"/>
    <x v="0"/>
    <x v="46"/>
    <x v="1"/>
    <x v="6"/>
    <x v="2"/>
  </r>
  <r>
    <s v="TX501088"/>
    <x v="6"/>
    <x v="1"/>
    <n v="70.8"/>
    <n v="141.6"/>
    <x v="42"/>
    <d v="2025-02-15T00:00:00"/>
    <s v="M"/>
    <x v="2"/>
    <x v="0"/>
    <x v="0"/>
    <x v="22"/>
    <x v="2"/>
    <x v="6"/>
    <x v="1"/>
  </r>
  <r>
    <s v="TX501089"/>
    <x v="7"/>
    <x v="1"/>
    <n v="57.4"/>
    <n v="114.8"/>
    <x v="42"/>
    <d v="2025-02-14T00:00:00"/>
    <s v="F"/>
    <x v="1"/>
    <x v="1"/>
    <x v="0"/>
    <x v="34"/>
    <x v="1"/>
    <x v="6"/>
    <x v="2"/>
  </r>
  <r>
    <s v="TX501090"/>
    <x v="0"/>
    <x v="1"/>
    <n v="28.5"/>
    <n v="57"/>
    <x v="42"/>
    <d v="2025-02-14T00:00:00"/>
    <s v="M"/>
    <x v="3"/>
    <x v="1"/>
    <x v="0"/>
    <x v="3"/>
    <x v="1"/>
    <x v="6"/>
    <x v="1"/>
  </r>
  <r>
    <s v="TX501091"/>
    <x v="2"/>
    <x v="28"/>
    <n v="106.6"/>
    <n v="2132"/>
    <x v="42"/>
    <d v="2025-02-13T00:00:00"/>
    <m/>
    <x v="1"/>
    <x v="4"/>
    <x v="0"/>
    <x v="3"/>
    <x v="3"/>
    <x v="6"/>
    <x v="0"/>
  </r>
  <r>
    <s v="TX501092"/>
    <x v="2"/>
    <x v="2"/>
    <n v="119.7"/>
    <n v="359.1"/>
    <x v="42"/>
    <d v="2025-02-13T00:00:00"/>
    <s v="F"/>
    <x v="1"/>
    <x v="4"/>
    <x v="0"/>
    <x v="3"/>
    <x v="3"/>
    <x v="6"/>
    <x v="2"/>
  </r>
  <r>
    <s v="TX501093"/>
    <x v="18"/>
    <x v="0"/>
    <n v="73.3"/>
    <n v="73.3"/>
    <x v="42"/>
    <d v="2025-02-17T00:00:00"/>
    <s v="F"/>
    <x v="0"/>
    <x v="2"/>
    <x v="0"/>
    <x v="3"/>
    <x v="0"/>
    <x v="6"/>
    <x v="2"/>
  </r>
  <r>
    <s v="TX501094"/>
    <x v="0"/>
    <x v="1"/>
    <n v="25.8"/>
    <n v="51.6"/>
    <x v="42"/>
    <d v="2025-02-26T00:00:00"/>
    <s v="M"/>
    <x v="2"/>
    <x v="0"/>
    <x v="0"/>
    <x v="3"/>
    <x v="12"/>
    <x v="6"/>
    <x v="1"/>
  </r>
  <r>
    <s v="TX501095"/>
    <x v="17"/>
    <x v="2"/>
    <n v="49.1"/>
    <n v="147.30000000000001"/>
    <x v="42"/>
    <d v="2025-02-14T00:00:00"/>
    <s v="F"/>
    <x v="0"/>
    <x v="0"/>
    <x v="0"/>
    <x v="24"/>
    <x v="1"/>
    <x v="6"/>
    <x v="2"/>
  </r>
  <r>
    <s v="TX501096"/>
    <x v="1"/>
    <x v="0"/>
    <n v="44.9"/>
    <n v="44.9"/>
    <x v="42"/>
    <d v="2025-02-15T00:00:00"/>
    <s v="F"/>
    <x v="3"/>
    <x v="2"/>
    <x v="0"/>
    <x v="6"/>
    <x v="2"/>
    <x v="6"/>
    <x v="2"/>
  </r>
  <r>
    <s v="TX501097"/>
    <x v="15"/>
    <x v="3"/>
    <n v="29.9"/>
    <n v="209.29999999999998"/>
    <x v="42"/>
    <d v="2025-02-13T00:00:00"/>
    <s v="F"/>
    <x v="0"/>
    <x v="0"/>
    <x v="0"/>
    <x v="6"/>
    <x v="3"/>
    <x v="6"/>
    <x v="2"/>
  </r>
  <r>
    <s v="TX501098"/>
    <x v="7"/>
    <x v="1"/>
    <n v="54.3"/>
    <n v="108.6"/>
    <x v="43"/>
    <d v="2025-02-14T00:00:00"/>
    <s v="M"/>
    <x v="3"/>
    <x v="0"/>
    <x v="0"/>
    <x v="36"/>
    <x v="3"/>
    <x v="6"/>
    <x v="1"/>
  </r>
  <r>
    <s v="TX501099"/>
    <x v="9"/>
    <x v="12"/>
    <n v="57"/>
    <n v="228"/>
    <x v="43"/>
    <d v="2025-02-15T00:00:00"/>
    <s v="F"/>
    <x v="0"/>
    <x v="0"/>
    <x v="0"/>
    <x v="8"/>
    <x v="1"/>
    <x v="6"/>
    <x v="2"/>
  </r>
  <r>
    <s v="TX501100"/>
    <x v="2"/>
    <x v="0"/>
    <n v="139.19999999999999"/>
    <n v="139.19999999999999"/>
    <x v="43"/>
    <d v="2025-02-14T00:00:00"/>
    <s v="F"/>
    <x v="3"/>
    <x v="2"/>
    <x v="0"/>
    <x v="8"/>
    <x v="3"/>
    <x v="6"/>
    <x v="2"/>
  </r>
  <r>
    <s v="TX501101"/>
    <x v="10"/>
    <x v="0"/>
    <n v="33"/>
    <n v="33"/>
    <x v="43"/>
    <d v="2025-02-16T00:00:00"/>
    <s v="F"/>
    <x v="0"/>
    <x v="2"/>
    <x v="0"/>
    <x v="8"/>
    <x v="2"/>
    <x v="6"/>
    <x v="2"/>
  </r>
  <r>
    <s v="TX501102"/>
    <x v="11"/>
    <x v="13"/>
    <n v="80.2"/>
    <n v="481.20000000000005"/>
    <x v="43"/>
    <d v="2025-02-15T00:00:00"/>
    <s v="M"/>
    <x v="1"/>
    <x v="4"/>
    <x v="0"/>
    <x v="8"/>
    <x v="1"/>
    <x v="6"/>
    <x v="1"/>
  </r>
  <r>
    <s v="TX501103"/>
    <x v="18"/>
    <x v="8"/>
    <n v="49"/>
    <n v="392"/>
    <x v="43"/>
    <d v="2025-02-14T00:00:00"/>
    <m/>
    <x v="2"/>
    <x v="1"/>
    <x v="0"/>
    <x v="9"/>
    <x v="3"/>
    <x v="6"/>
    <x v="0"/>
  </r>
  <r>
    <s v="TX501104"/>
    <x v="1"/>
    <x v="12"/>
    <n v="104.4"/>
    <n v="417.6"/>
    <x v="43"/>
    <d v="2025-02-13T00:00:00"/>
    <s v="F"/>
    <x v="0"/>
    <x v="0"/>
    <x v="0"/>
    <x v="9"/>
    <x v="7"/>
    <x v="6"/>
    <x v="2"/>
  </r>
  <r>
    <s v="TX501105"/>
    <x v="3"/>
    <x v="0"/>
    <n v="41.6"/>
    <n v="41.6"/>
    <x v="43"/>
    <d v="2025-02-16T00:00:00"/>
    <s v="M"/>
    <x v="3"/>
    <x v="0"/>
    <x v="0"/>
    <x v="11"/>
    <x v="2"/>
    <x v="6"/>
    <x v="1"/>
  </r>
  <r>
    <s v="TX501106"/>
    <x v="19"/>
    <x v="1"/>
    <n v="16.399999999999999"/>
    <n v="32.799999999999997"/>
    <x v="43"/>
    <d v="2025-02-14T00:00:00"/>
    <s v="O"/>
    <x v="0"/>
    <x v="2"/>
    <x v="0"/>
    <x v="11"/>
    <x v="3"/>
    <x v="6"/>
    <x v="3"/>
  </r>
  <r>
    <s v="TX501107"/>
    <x v="8"/>
    <x v="1"/>
    <n v="22"/>
    <n v="44"/>
    <x v="43"/>
    <d v="2025-02-14T00:00:00"/>
    <s v="M"/>
    <x v="2"/>
    <x v="2"/>
    <x v="0"/>
    <x v="53"/>
    <x v="3"/>
    <x v="6"/>
    <x v="1"/>
  </r>
  <r>
    <s v="TX501108"/>
    <x v="15"/>
    <x v="1"/>
    <n v="33.6"/>
    <n v="67.2"/>
    <x v="43"/>
    <d v="2025-02-18T00:00:00"/>
    <s v="F"/>
    <x v="0"/>
    <x v="0"/>
    <x v="0"/>
    <x v="21"/>
    <x v="0"/>
    <x v="6"/>
    <x v="2"/>
  </r>
  <r>
    <s v="TX501109"/>
    <x v="11"/>
    <x v="13"/>
    <n v="43"/>
    <n v="258"/>
    <x v="43"/>
    <d v="2025-02-14T00:00:00"/>
    <s v="F"/>
    <x v="2"/>
    <x v="0"/>
    <x v="0"/>
    <x v="21"/>
    <x v="3"/>
    <x v="6"/>
    <x v="2"/>
  </r>
  <r>
    <s v="TX501110"/>
    <x v="6"/>
    <x v="9"/>
    <n v="108.8"/>
    <n v="544"/>
    <x v="43"/>
    <d v="2025-02-16T00:00:00"/>
    <s v="F"/>
    <x v="4"/>
    <x v="2"/>
    <x v="0"/>
    <x v="21"/>
    <x v="2"/>
    <x v="6"/>
    <x v="2"/>
  </r>
  <r>
    <s v="TX501111"/>
    <x v="0"/>
    <x v="11"/>
    <n v="29.3"/>
    <n v="263.7"/>
    <x v="43"/>
    <d v="2025-02-15T00:00:00"/>
    <s v="M"/>
    <x v="4"/>
    <x v="2"/>
    <x v="0"/>
    <x v="21"/>
    <x v="1"/>
    <x v="6"/>
    <x v="1"/>
  </r>
  <r>
    <s v="TX501112"/>
    <x v="2"/>
    <x v="0"/>
    <n v="122.7"/>
    <n v="122.7"/>
    <x v="43"/>
    <d v="2025-02-16T00:00:00"/>
    <s v="O"/>
    <x v="0"/>
    <x v="2"/>
    <x v="0"/>
    <x v="1"/>
    <x v="2"/>
    <x v="6"/>
    <x v="3"/>
  </r>
  <r>
    <s v="TX501113"/>
    <x v="4"/>
    <x v="3"/>
    <n v="22.9"/>
    <n v="160.29999999999998"/>
    <x v="43"/>
    <d v="2025-02-14T00:00:00"/>
    <s v="F"/>
    <x v="0"/>
    <x v="0"/>
    <x v="0"/>
    <x v="42"/>
    <x v="3"/>
    <x v="6"/>
    <x v="2"/>
  </r>
  <r>
    <s v="TX501114"/>
    <x v="8"/>
    <x v="7"/>
    <n v="25.5"/>
    <n v="255"/>
    <x v="43"/>
    <d v="2025-02-20T00:00:00"/>
    <s v="F"/>
    <x v="0"/>
    <x v="0"/>
    <x v="0"/>
    <x v="33"/>
    <x v="6"/>
    <x v="6"/>
    <x v="2"/>
  </r>
  <r>
    <s v="TX501115"/>
    <x v="17"/>
    <x v="2"/>
    <n v="23.4"/>
    <n v="70.199999999999989"/>
    <x v="43"/>
    <d v="2025-02-17T00:00:00"/>
    <s v="F"/>
    <x v="0"/>
    <x v="2"/>
    <x v="0"/>
    <x v="3"/>
    <x v="5"/>
    <x v="6"/>
    <x v="2"/>
  </r>
  <r>
    <s v="TX501116"/>
    <x v="5"/>
    <x v="8"/>
    <n v="27.4"/>
    <n v="219.2"/>
    <x v="43"/>
    <d v="2025-02-16T00:00:00"/>
    <s v="F"/>
    <x v="2"/>
    <x v="0"/>
    <x v="0"/>
    <x v="3"/>
    <x v="2"/>
    <x v="6"/>
    <x v="2"/>
  </r>
  <r>
    <s v="TX501117"/>
    <x v="5"/>
    <x v="9"/>
    <n v="68.400000000000006"/>
    <n v="342"/>
    <x v="43"/>
    <d v="2025-02-14T00:00:00"/>
    <s v="F"/>
    <x v="0"/>
    <x v="0"/>
    <x v="0"/>
    <x v="3"/>
    <x v="3"/>
    <x v="6"/>
    <x v="2"/>
  </r>
  <r>
    <s v="TX501118"/>
    <x v="6"/>
    <x v="0"/>
    <n v="51.9"/>
    <n v="51.9"/>
    <x v="43"/>
    <d v="2025-02-13T00:00:00"/>
    <s v="F"/>
    <x v="0"/>
    <x v="0"/>
    <x v="0"/>
    <x v="3"/>
    <x v="7"/>
    <x v="6"/>
    <x v="2"/>
  </r>
  <r>
    <s v="TX501119"/>
    <x v="0"/>
    <x v="9"/>
    <n v="26.4"/>
    <n v="132"/>
    <x v="43"/>
    <d v="2025-02-16T00:00:00"/>
    <s v="F"/>
    <x v="0"/>
    <x v="2"/>
    <x v="0"/>
    <x v="3"/>
    <x v="2"/>
    <x v="6"/>
    <x v="2"/>
  </r>
  <r>
    <s v="TX501120"/>
    <x v="12"/>
    <x v="1"/>
    <n v="117"/>
    <n v="234"/>
    <x v="43"/>
    <d v="2025-02-14T00:00:00"/>
    <s v="F"/>
    <x v="1"/>
    <x v="1"/>
    <x v="0"/>
    <x v="3"/>
    <x v="3"/>
    <x v="6"/>
    <x v="2"/>
  </r>
  <r>
    <s v="TX501121"/>
    <x v="7"/>
    <x v="2"/>
    <n v="49.6"/>
    <n v="148.80000000000001"/>
    <x v="44"/>
    <d v="2025-02-16T00:00:00"/>
    <s v="F"/>
    <x v="0"/>
    <x v="0"/>
    <x v="0"/>
    <x v="3"/>
    <x v="1"/>
    <x v="6"/>
    <x v="2"/>
  </r>
  <r>
    <s v="TX501122"/>
    <x v="4"/>
    <x v="2"/>
    <n v="38"/>
    <n v="114"/>
    <x v="44"/>
    <d v="2025-02-17T00:00:00"/>
    <s v="M"/>
    <x v="2"/>
    <x v="4"/>
    <x v="0"/>
    <x v="3"/>
    <x v="2"/>
    <x v="6"/>
    <x v="1"/>
  </r>
  <r>
    <s v="TX501123"/>
    <x v="0"/>
    <x v="2"/>
    <n v="20.6"/>
    <n v="61.800000000000004"/>
    <x v="44"/>
    <d v="2025-02-16T00:00:00"/>
    <s v="F"/>
    <x v="4"/>
    <x v="2"/>
    <x v="0"/>
    <x v="3"/>
    <x v="1"/>
    <x v="6"/>
    <x v="2"/>
  </r>
  <r>
    <s v="TX501124"/>
    <x v="0"/>
    <x v="1"/>
    <n v="16"/>
    <n v="32"/>
    <x v="44"/>
    <d v="2025-02-15T00:00:00"/>
    <s v="M"/>
    <x v="1"/>
    <x v="1"/>
    <x v="0"/>
    <x v="49"/>
    <x v="3"/>
    <x v="6"/>
    <x v="1"/>
  </r>
  <r>
    <s v="TX501125"/>
    <x v="15"/>
    <x v="12"/>
    <n v="49.3"/>
    <n v="197.2"/>
    <x v="44"/>
    <d v="2025-02-15T00:00:00"/>
    <s v="F"/>
    <x v="2"/>
    <x v="0"/>
    <x v="0"/>
    <x v="23"/>
    <x v="3"/>
    <x v="6"/>
    <x v="2"/>
  </r>
  <r>
    <s v="TX501126"/>
    <x v="9"/>
    <x v="1"/>
    <n v="24.1"/>
    <n v="48.2"/>
    <x v="44"/>
    <d v="2025-02-18T00:00:00"/>
    <s v="F"/>
    <x v="0"/>
    <x v="0"/>
    <x v="0"/>
    <x v="6"/>
    <x v="5"/>
    <x v="6"/>
    <x v="2"/>
  </r>
  <r>
    <s v="TX501127"/>
    <x v="15"/>
    <x v="8"/>
    <n v="32.700000000000003"/>
    <n v="261.60000000000002"/>
    <x v="44"/>
    <d v="2025-02-15T00:00:00"/>
    <s v="F"/>
    <x v="1"/>
    <x v="0"/>
    <x v="0"/>
    <x v="6"/>
    <x v="3"/>
    <x v="6"/>
    <x v="2"/>
  </r>
  <r>
    <s v="TX501128"/>
    <x v="6"/>
    <x v="2"/>
    <n v="74.400000000000006"/>
    <n v="223.20000000000002"/>
    <x v="44"/>
    <d v="2025-02-15T00:00:00"/>
    <s v="F"/>
    <x v="3"/>
    <x v="2"/>
    <x v="0"/>
    <x v="8"/>
    <x v="3"/>
    <x v="6"/>
    <x v="2"/>
  </r>
  <r>
    <s v="TX501129"/>
    <x v="12"/>
    <x v="0"/>
    <n v="45.6"/>
    <n v="45.6"/>
    <x v="44"/>
    <d v="2025-02-18T00:00:00"/>
    <s v="F"/>
    <x v="4"/>
    <x v="0"/>
    <x v="0"/>
    <x v="8"/>
    <x v="5"/>
    <x v="6"/>
    <x v="2"/>
  </r>
  <r>
    <s v="TX501130"/>
    <x v="8"/>
    <x v="8"/>
    <n v="19.600000000000001"/>
    <n v="156.80000000000001"/>
    <x v="44"/>
    <d v="2025-02-27T00:00:00"/>
    <s v="F"/>
    <x v="0"/>
    <x v="0"/>
    <x v="0"/>
    <x v="8"/>
    <x v="10"/>
    <x v="6"/>
    <x v="2"/>
  </r>
  <r>
    <s v="TX501131"/>
    <x v="9"/>
    <x v="0"/>
    <n v="51.8"/>
    <n v="51.8"/>
    <x v="44"/>
    <d v="2025-02-15T00:00:00"/>
    <s v="F"/>
    <x v="1"/>
    <x v="0"/>
    <x v="0"/>
    <x v="8"/>
    <x v="3"/>
    <x v="6"/>
    <x v="2"/>
  </r>
  <r>
    <s v="TX501132"/>
    <x v="6"/>
    <x v="0"/>
    <n v="74.7"/>
    <n v="74.7"/>
    <x v="44"/>
    <d v="2025-02-15T00:00:00"/>
    <s v="M"/>
    <x v="0"/>
    <x v="1"/>
    <x v="0"/>
    <x v="8"/>
    <x v="3"/>
    <x v="6"/>
    <x v="1"/>
  </r>
  <r>
    <s v="TX501133"/>
    <x v="19"/>
    <x v="2"/>
    <n v="22.4"/>
    <n v="67.199999999999989"/>
    <x v="44"/>
    <d v="2025-02-15T00:00:00"/>
    <s v="F"/>
    <x v="1"/>
    <x v="2"/>
    <x v="0"/>
    <x v="9"/>
    <x v="3"/>
    <x v="6"/>
    <x v="2"/>
  </r>
  <r>
    <s v="TX501134"/>
    <x v="1"/>
    <x v="12"/>
    <n v="31.4"/>
    <n v="125.6"/>
    <x v="44"/>
    <d v="2025-02-15T00:00:00"/>
    <s v="F"/>
    <x v="1"/>
    <x v="0"/>
    <x v="0"/>
    <x v="9"/>
    <x v="3"/>
    <x v="6"/>
    <x v="2"/>
  </r>
  <r>
    <s v="TX501135"/>
    <x v="6"/>
    <x v="0"/>
    <n v="94"/>
    <n v="94"/>
    <x v="44"/>
    <d v="2025-02-14T00:00:00"/>
    <s v="F"/>
    <x v="1"/>
    <x v="2"/>
    <x v="0"/>
    <x v="10"/>
    <x v="7"/>
    <x v="6"/>
    <x v="2"/>
  </r>
  <r>
    <s v="TX501136"/>
    <x v="10"/>
    <x v="0"/>
    <n v="22.3"/>
    <n v="22.3"/>
    <x v="44"/>
    <d v="2025-02-15T00:00:00"/>
    <s v="M"/>
    <x v="4"/>
    <x v="0"/>
    <x v="0"/>
    <x v="20"/>
    <x v="3"/>
    <x v="6"/>
    <x v="1"/>
  </r>
  <r>
    <s v="TX501137"/>
    <x v="0"/>
    <x v="0"/>
    <n v="21.9"/>
    <n v="21.9"/>
    <x v="44"/>
    <d v="2025-02-17T00:00:00"/>
    <s v="F"/>
    <x v="2"/>
    <x v="0"/>
    <x v="0"/>
    <x v="21"/>
    <x v="2"/>
    <x v="6"/>
    <x v="2"/>
  </r>
  <r>
    <s v="TX501138"/>
    <x v="17"/>
    <x v="2"/>
    <n v="27"/>
    <n v="81"/>
    <x v="44"/>
    <d v="2025-02-16T00:00:00"/>
    <s v="F"/>
    <x v="4"/>
    <x v="2"/>
    <x v="0"/>
    <x v="2"/>
    <x v="1"/>
    <x v="6"/>
    <x v="2"/>
  </r>
  <r>
    <s v="TX501139"/>
    <x v="2"/>
    <x v="12"/>
    <n v="149.6"/>
    <n v="598.4"/>
    <x v="44"/>
    <d v="2025-02-14T00:00:00"/>
    <s v="F"/>
    <x v="4"/>
    <x v="0"/>
    <x v="0"/>
    <x v="22"/>
    <x v="7"/>
    <x v="6"/>
    <x v="2"/>
  </r>
  <r>
    <s v="TX501140"/>
    <x v="2"/>
    <x v="12"/>
    <n v="129.1"/>
    <n v="516.4"/>
    <x v="44"/>
    <d v="2025-02-24T00:00:00"/>
    <s v="M"/>
    <x v="0"/>
    <x v="1"/>
    <x v="0"/>
    <x v="3"/>
    <x v="14"/>
    <x v="6"/>
    <x v="1"/>
  </r>
  <r>
    <s v="TX501141"/>
    <x v="1"/>
    <x v="4"/>
    <n v="40.4"/>
    <n v="484.79999999999995"/>
    <x v="44"/>
    <d v="2025-02-15T00:00:00"/>
    <s v="M"/>
    <x v="1"/>
    <x v="1"/>
    <x v="0"/>
    <x v="3"/>
    <x v="3"/>
    <x v="6"/>
    <x v="1"/>
  </r>
  <r>
    <s v="TX501142"/>
    <x v="4"/>
    <x v="2"/>
    <n v="48.5"/>
    <n v="145.5"/>
    <x v="44"/>
    <d v="2025-02-16T00:00:00"/>
    <s v="F"/>
    <x v="0"/>
    <x v="4"/>
    <x v="0"/>
    <x v="3"/>
    <x v="1"/>
    <x v="6"/>
    <x v="2"/>
  </r>
  <r>
    <s v="TX501143"/>
    <x v="9"/>
    <x v="1"/>
    <n v="37.6"/>
    <n v="75.2"/>
    <x v="44"/>
    <d v="2025-02-16T00:00:00"/>
    <s v="F"/>
    <x v="1"/>
    <x v="2"/>
    <x v="0"/>
    <x v="3"/>
    <x v="1"/>
    <x v="6"/>
    <x v="2"/>
  </r>
  <r>
    <s v="TX501144"/>
    <x v="8"/>
    <x v="1"/>
    <n v="19.600000000000001"/>
    <n v="39.200000000000003"/>
    <x v="44"/>
    <d v="2025-02-15T00:00:00"/>
    <s v="M"/>
    <x v="3"/>
    <x v="4"/>
    <x v="0"/>
    <x v="43"/>
    <x v="3"/>
    <x v="6"/>
    <x v="1"/>
  </r>
  <r>
    <s v="TX501145"/>
    <x v="8"/>
    <x v="9"/>
    <n v="18.5"/>
    <n v="92.5"/>
    <x v="44"/>
    <d v="2025-02-15T00:00:00"/>
    <s v="F"/>
    <x v="2"/>
    <x v="1"/>
    <x v="0"/>
    <x v="6"/>
    <x v="3"/>
    <x v="6"/>
    <x v="2"/>
  </r>
  <r>
    <s v="TX501146"/>
    <x v="5"/>
    <x v="2"/>
    <n v="25.5"/>
    <n v="76.5"/>
    <x v="44"/>
    <d v="2025-02-16T00:00:00"/>
    <s v="F"/>
    <x v="4"/>
    <x v="1"/>
    <x v="0"/>
    <x v="6"/>
    <x v="1"/>
    <x v="6"/>
    <x v="2"/>
  </r>
  <r>
    <s v="TX501147"/>
    <x v="2"/>
    <x v="1"/>
    <n v="94.7"/>
    <n v="189.4"/>
    <x v="44"/>
    <d v="2025-02-15T00:00:00"/>
    <s v="F"/>
    <x v="2"/>
    <x v="0"/>
    <x v="0"/>
    <x v="36"/>
    <x v="3"/>
    <x v="6"/>
    <x v="2"/>
  </r>
  <r>
    <s v="TX501148"/>
    <x v="1"/>
    <x v="13"/>
    <n v="38.799999999999997"/>
    <n v="232.79999999999998"/>
    <x v="44"/>
    <d v="2025-02-19T00:00:00"/>
    <s v="F"/>
    <x v="2"/>
    <x v="2"/>
    <x v="0"/>
    <x v="8"/>
    <x v="0"/>
    <x v="6"/>
    <x v="2"/>
  </r>
  <r>
    <s v="TX501149"/>
    <x v="9"/>
    <x v="1"/>
    <n v="49.4"/>
    <n v="98.8"/>
    <x v="45"/>
    <d v="2025-02-23T00:00:00"/>
    <s v="M"/>
    <x v="4"/>
    <x v="1"/>
    <x v="0"/>
    <x v="8"/>
    <x v="9"/>
    <x v="6"/>
    <x v="1"/>
  </r>
  <r>
    <s v="TX501150"/>
    <x v="7"/>
    <x v="2"/>
    <n v="68"/>
    <n v="204"/>
    <x v="45"/>
    <d v="2025-02-18T00:00:00"/>
    <s v="M"/>
    <x v="0"/>
    <x v="2"/>
    <x v="0"/>
    <x v="8"/>
    <x v="2"/>
    <x v="6"/>
    <x v="1"/>
  </r>
  <r>
    <s v="TX501151"/>
    <x v="15"/>
    <x v="3"/>
    <n v="63.7"/>
    <n v="445.90000000000003"/>
    <x v="45"/>
    <d v="2025-02-16T00:00:00"/>
    <s v="F"/>
    <x v="2"/>
    <x v="2"/>
    <x v="0"/>
    <x v="8"/>
    <x v="3"/>
    <x v="6"/>
    <x v="2"/>
  </r>
  <r>
    <s v="TX501152"/>
    <x v="10"/>
    <x v="1"/>
    <n v="66.2"/>
    <n v="132.4"/>
    <x v="45"/>
    <d v="2025-02-16T00:00:00"/>
    <s v="F"/>
    <x v="4"/>
    <x v="2"/>
    <x v="0"/>
    <x v="17"/>
    <x v="3"/>
    <x v="6"/>
    <x v="2"/>
  </r>
  <r>
    <s v="TX501153"/>
    <x v="12"/>
    <x v="2"/>
    <n v="32.299999999999997"/>
    <n v="96.899999999999991"/>
    <x v="45"/>
    <d v="2025-02-16T00:00:00"/>
    <s v="O"/>
    <x v="2"/>
    <x v="1"/>
    <x v="0"/>
    <x v="9"/>
    <x v="3"/>
    <x v="6"/>
    <x v="3"/>
  </r>
  <r>
    <s v="TX501154"/>
    <x v="4"/>
    <x v="1"/>
    <n v="66.900000000000006"/>
    <n v="133.80000000000001"/>
    <x v="45"/>
    <d v="2025-02-18T00:00:00"/>
    <s v="M"/>
    <x v="1"/>
    <x v="0"/>
    <x v="0"/>
    <x v="11"/>
    <x v="2"/>
    <x v="6"/>
    <x v="1"/>
  </r>
  <r>
    <s v="TX501155"/>
    <x v="4"/>
    <x v="4"/>
    <n v="25.2"/>
    <n v="302.39999999999998"/>
    <x v="45"/>
    <d v="2025-02-19T00:00:00"/>
    <s v="F"/>
    <x v="0"/>
    <x v="1"/>
    <x v="0"/>
    <x v="11"/>
    <x v="5"/>
    <x v="6"/>
    <x v="2"/>
  </r>
  <r>
    <s v="TX501156"/>
    <x v="10"/>
    <x v="13"/>
    <n v="29.5"/>
    <n v="177"/>
    <x v="45"/>
    <d v="2025-02-16T00:00:00"/>
    <s v="M"/>
    <x v="2"/>
    <x v="0"/>
    <x v="0"/>
    <x v="11"/>
    <x v="3"/>
    <x v="6"/>
    <x v="1"/>
  </r>
  <r>
    <s v="TX501157"/>
    <x v="8"/>
    <x v="9"/>
    <n v="21.6"/>
    <n v="108"/>
    <x v="45"/>
    <d v="2025-02-17T00:00:00"/>
    <s v="F"/>
    <x v="0"/>
    <x v="2"/>
    <x v="0"/>
    <x v="32"/>
    <x v="1"/>
    <x v="6"/>
    <x v="2"/>
  </r>
  <r>
    <s v="TX501158"/>
    <x v="12"/>
    <x v="2"/>
    <n v="69"/>
    <n v="207"/>
    <x v="45"/>
    <d v="2025-02-16T00:00:00"/>
    <s v="F"/>
    <x v="0"/>
    <x v="0"/>
    <x v="0"/>
    <x v="18"/>
    <x v="3"/>
    <x v="6"/>
    <x v="2"/>
  </r>
  <r>
    <s v="TX501159"/>
    <x v="7"/>
    <x v="1"/>
    <n v="115"/>
    <n v="230"/>
    <x v="45"/>
    <d v="2025-02-19T00:00:00"/>
    <s v="M"/>
    <x v="0"/>
    <x v="2"/>
    <x v="0"/>
    <x v="18"/>
    <x v="5"/>
    <x v="6"/>
    <x v="1"/>
  </r>
  <r>
    <s v="TX501160"/>
    <x v="2"/>
    <x v="1"/>
    <n v="109.3"/>
    <n v="218.6"/>
    <x v="45"/>
    <d v="2025-02-17T00:00:00"/>
    <m/>
    <x v="3"/>
    <x v="1"/>
    <x v="0"/>
    <x v="19"/>
    <x v="1"/>
    <x v="6"/>
    <x v="0"/>
  </r>
  <r>
    <s v="TX501161"/>
    <x v="9"/>
    <x v="1"/>
    <n v="66.599999999999994"/>
    <n v="133.19999999999999"/>
    <x v="45"/>
    <d v="2025-02-18T00:00:00"/>
    <m/>
    <x v="4"/>
    <x v="1"/>
    <x v="0"/>
    <x v="19"/>
    <x v="2"/>
    <x v="6"/>
    <x v="0"/>
  </r>
  <r>
    <s v="TX501162"/>
    <x v="12"/>
    <x v="9"/>
    <n v="47.7"/>
    <n v="238.5"/>
    <x v="45"/>
    <d v="2025-02-16T00:00:00"/>
    <s v="M"/>
    <x v="3"/>
    <x v="2"/>
    <x v="0"/>
    <x v="21"/>
    <x v="3"/>
    <x v="6"/>
    <x v="1"/>
  </r>
  <r>
    <s v="TX501163"/>
    <x v="8"/>
    <x v="1"/>
    <n v="46"/>
    <n v="92"/>
    <x v="45"/>
    <d v="2025-02-16T00:00:00"/>
    <s v="F"/>
    <x v="4"/>
    <x v="4"/>
    <x v="0"/>
    <x v="22"/>
    <x v="3"/>
    <x v="6"/>
    <x v="2"/>
  </r>
  <r>
    <s v="TX501164"/>
    <x v="1"/>
    <x v="13"/>
    <n v="39.299999999999997"/>
    <n v="235.79999999999998"/>
    <x v="45"/>
    <d v="2025-02-17T00:00:00"/>
    <s v="M"/>
    <x v="3"/>
    <x v="2"/>
    <x v="0"/>
    <x v="3"/>
    <x v="1"/>
    <x v="6"/>
    <x v="1"/>
  </r>
  <r>
    <s v="TX501165"/>
    <x v="9"/>
    <x v="0"/>
    <n v="70.2"/>
    <n v="70.2"/>
    <x v="45"/>
    <d v="2025-02-16T00:00:00"/>
    <s v="F"/>
    <x v="0"/>
    <x v="4"/>
    <x v="0"/>
    <x v="3"/>
    <x v="3"/>
    <x v="6"/>
    <x v="2"/>
  </r>
  <r>
    <s v="TX501166"/>
    <x v="3"/>
    <x v="12"/>
    <n v="71.5"/>
    <n v="286"/>
    <x v="45"/>
    <d v="2025-02-15T00:00:00"/>
    <s v="F"/>
    <x v="1"/>
    <x v="2"/>
    <x v="0"/>
    <x v="3"/>
    <x v="7"/>
    <x v="6"/>
    <x v="2"/>
  </r>
  <r>
    <s v="TX501167"/>
    <x v="10"/>
    <x v="3"/>
    <n v="31"/>
    <n v="217"/>
    <x v="45"/>
    <d v="2025-02-22T00:00:00"/>
    <s v="F"/>
    <x v="3"/>
    <x v="2"/>
    <x v="0"/>
    <x v="3"/>
    <x v="6"/>
    <x v="6"/>
    <x v="2"/>
  </r>
  <r>
    <s v="TX501168"/>
    <x v="2"/>
    <x v="9"/>
    <n v="68.2"/>
    <n v="341"/>
    <x v="45"/>
    <d v="2025-02-20T00:00:00"/>
    <s v="F"/>
    <x v="0"/>
    <x v="2"/>
    <x v="0"/>
    <x v="3"/>
    <x v="0"/>
    <x v="6"/>
    <x v="2"/>
  </r>
  <r>
    <s v="TX501169"/>
    <x v="2"/>
    <x v="0"/>
    <n v="91.4"/>
    <n v="91.4"/>
    <x v="45"/>
    <d v="2025-02-19T00:00:00"/>
    <s v="F"/>
    <x v="1"/>
    <x v="2"/>
    <x v="0"/>
    <x v="6"/>
    <x v="5"/>
    <x v="6"/>
    <x v="2"/>
  </r>
  <r>
    <s v="TX501170"/>
    <x v="6"/>
    <x v="7"/>
    <n v="112.9"/>
    <n v="1129"/>
    <x v="45"/>
    <d v="2025-02-16T00:00:00"/>
    <s v="F"/>
    <x v="0"/>
    <x v="0"/>
    <x v="0"/>
    <x v="6"/>
    <x v="3"/>
    <x v="6"/>
    <x v="2"/>
  </r>
  <r>
    <s v="TX501171"/>
    <x v="17"/>
    <x v="11"/>
    <n v="33.700000000000003"/>
    <n v="303.3"/>
    <x v="45"/>
    <d v="2025-02-16T00:00:00"/>
    <s v="F"/>
    <x v="1"/>
    <x v="2"/>
    <x v="0"/>
    <x v="8"/>
    <x v="3"/>
    <x v="6"/>
    <x v="2"/>
  </r>
  <r>
    <s v="TX501172"/>
    <x v="15"/>
    <x v="7"/>
    <n v="35.299999999999997"/>
    <n v="353"/>
    <x v="45"/>
    <d v="2025-02-17T00:00:00"/>
    <s v="M"/>
    <x v="2"/>
    <x v="0"/>
    <x v="0"/>
    <x v="8"/>
    <x v="1"/>
    <x v="6"/>
    <x v="1"/>
  </r>
  <r>
    <s v="TX501173"/>
    <x v="18"/>
    <x v="2"/>
    <n v="45.6"/>
    <n v="136.80000000000001"/>
    <x v="45"/>
    <d v="2025-02-19T00:00:00"/>
    <s v="M"/>
    <x v="3"/>
    <x v="0"/>
    <x v="0"/>
    <x v="8"/>
    <x v="5"/>
    <x v="6"/>
    <x v="1"/>
  </r>
  <r>
    <s v="TX501174"/>
    <x v="7"/>
    <x v="3"/>
    <n v="47.1"/>
    <n v="329.7"/>
    <x v="45"/>
    <d v="2025-02-16T00:00:00"/>
    <s v="F"/>
    <x v="4"/>
    <x v="2"/>
    <x v="0"/>
    <x v="9"/>
    <x v="3"/>
    <x v="6"/>
    <x v="2"/>
  </r>
  <r>
    <s v="TX501175"/>
    <x v="8"/>
    <x v="9"/>
    <n v="16.2"/>
    <n v="81"/>
    <x v="45"/>
    <d v="2025-02-17T00:00:00"/>
    <s v="F"/>
    <x v="3"/>
    <x v="2"/>
    <x v="0"/>
    <x v="19"/>
    <x v="1"/>
    <x v="6"/>
    <x v="2"/>
  </r>
  <r>
    <s v="TX501176"/>
    <x v="1"/>
    <x v="1"/>
    <n v="159.69999999999999"/>
    <n v="319.39999999999998"/>
    <x v="46"/>
    <d v="2025-02-17T00:00:00"/>
    <s v="M"/>
    <x v="4"/>
    <x v="0"/>
    <x v="0"/>
    <x v="13"/>
    <x v="3"/>
    <x v="7"/>
    <x v="1"/>
  </r>
  <r>
    <s v="TX501177"/>
    <x v="8"/>
    <x v="12"/>
    <n v="19"/>
    <n v="76"/>
    <x v="46"/>
    <d v="2025-02-23T00:00:00"/>
    <s v="F"/>
    <x v="2"/>
    <x v="2"/>
    <x v="0"/>
    <x v="21"/>
    <x v="6"/>
    <x v="7"/>
    <x v="2"/>
  </r>
  <r>
    <s v="TX501178"/>
    <x v="6"/>
    <x v="13"/>
    <n v="91.1"/>
    <n v="546.59999999999991"/>
    <x v="46"/>
    <d v="2025-02-25T00:00:00"/>
    <s v="F"/>
    <x v="4"/>
    <x v="0"/>
    <x v="0"/>
    <x v="21"/>
    <x v="8"/>
    <x v="7"/>
    <x v="2"/>
  </r>
  <r>
    <s v="TX501179"/>
    <x v="2"/>
    <x v="9"/>
    <n v="94.1"/>
    <n v="470.5"/>
    <x v="46"/>
    <d v="2025-02-19T00:00:00"/>
    <m/>
    <x v="1"/>
    <x v="1"/>
    <x v="0"/>
    <x v="21"/>
    <x v="2"/>
    <x v="7"/>
    <x v="0"/>
  </r>
  <r>
    <s v="TX501180"/>
    <x v="9"/>
    <x v="11"/>
    <n v="21.1"/>
    <n v="189.9"/>
    <x v="46"/>
    <d v="2025-02-17T00:00:00"/>
    <s v="F"/>
    <x v="4"/>
    <x v="2"/>
    <x v="0"/>
    <x v="51"/>
    <x v="3"/>
    <x v="7"/>
    <x v="2"/>
  </r>
  <r>
    <s v="TX501181"/>
    <x v="8"/>
    <x v="3"/>
    <n v="15.3"/>
    <n v="107.10000000000001"/>
    <x v="46"/>
    <d v="2025-02-24T00:00:00"/>
    <s v="F"/>
    <x v="2"/>
    <x v="0"/>
    <x v="0"/>
    <x v="1"/>
    <x v="9"/>
    <x v="7"/>
    <x v="2"/>
  </r>
  <r>
    <s v="TX501182"/>
    <x v="15"/>
    <x v="12"/>
    <n v="21.3"/>
    <n v="85.2"/>
    <x v="46"/>
    <d v="2025-02-19T00:00:00"/>
    <s v="M"/>
    <x v="1"/>
    <x v="0"/>
    <x v="0"/>
    <x v="3"/>
    <x v="2"/>
    <x v="7"/>
    <x v="1"/>
  </r>
  <r>
    <s v="TX501183"/>
    <x v="0"/>
    <x v="1"/>
    <n v="23.2"/>
    <n v="46.4"/>
    <x v="46"/>
    <d v="2025-02-16T00:00:00"/>
    <m/>
    <x v="3"/>
    <x v="1"/>
    <x v="0"/>
    <x v="3"/>
    <x v="7"/>
    <x v="7"/>
    <x v="0"/>
  </r>
  <r>
    <s v="TX501184"/>
    <x v="4"/>
    <x v="2"/>
    <n v="25.7"/>
    <n v="77.099999999999994"/>
    <x v="46"/>
    <d v="2025-02-17T00:00:00"/>
    <s v="M"/>
    <x v="4"/>
    <x v="0"/>
    <x v="0"/>
    <x v="3"/>
    <x v="3"/>
    <x v="7"/>
    <x v="1"/>
  </r>
  <r>
    <s v="TX501185"/>
    <x v="0"/>
    <x v="11"/>
    <n v="31.6"/>
    <n v="284.40000000000003"/>
    <x v="46"/>
    <d v="2025-02-18T00:00:00"/>
    <s v="F"/>
    <x v="0"/>
    <x v="0"/>
    <x v="0"/>
    <x v="3"/>
    <x v="1"/>
    <x v="7"/>
    <x v="2"/>
  </r>
  <r>
    <s v="TX501186"/>
    <x v="6"/>
    <x v="0"/>
    <n v="64.2"/>
    <n v="64.2"/>
    <x v="46"/>
    <d v="2025-02-21T00:00:00"/>
    <s v="M"/>
    <x v="0"/>
    <x v="0"/>
    <x v="0"/>
    <x v="3"/>
    <x v="0"/>
    <x v="7"/>
    <x v="1"/>
  </r>
  <r>
    <s v="TX501187"/>
    <x v="8"/>
    <x v="1"/>
    <n v="55.8"/>
    <n v="111.6"/>
    <x v="46"/>
    <d v="2025-02-18T00:00:00"/>
    <m/>
    <x v="0"/>
    <x v="0"/>
    <x v="0"/>
    <x v="3"/>
    <x v="1"/>
    <x v="7"/>
    <x v="0"/>
  </r>
  <r>
    <s v="TX501188"/>
    <x v="8"/>
    <x v="1"/>
    <n v="28.1"/>
    <n v="56.2"/>
    <x v="46"/>
    <d v="2025-02-17T00:00:00"/>
    <s v="F"/>
    <x v="4"/>
    <x v="1"/>
    <x v="0"/>
    <x v="3"/>
    <x v="3"/>
    <x v="7"/>
    <x v="2"/>
  </r>
  <r>
    <s v="TX501189"/>
    <x v="0"/>
    <x v="1"/>
    <n v="11.6"/>
    <n v="23.2"/>
    <x v="46"/>
    <d v="2025-02-18T00:00:00"/>
    <s v="F"/>
    <x v="1"/>
    <x v="0"/>
    <x v="0"/>
    <x v="24"/>
    <x v="1"/>
    <x v="7"/>
    <x v="2"/>
  </r>
  <r>
    <s v="TX501190"/>
    <x v="5"/>
    <x v="2"/>
    <n v="50.4"/>
    <n v="151.19999999999999"/>
    <x v="46"/>
    <d v="2025-02-17T00:00:00"/>
    <s v="M"/>
    <x v="4"/>
    <x v="2"/>
    <x v="0"/>
    <x v="25"/>
    <x v="3"/>
    <x v="7"/>
    <x v="1"/>
  </r>
  <r>
    <s v="TX501191"/>
    <x v="6"/>
    <x v="13"/>
    <n v="48.3"/>
    <n v="289.79999999999995"/>
    <x v="46"/>
    <d v="2025-02-20T00:00:00"/>
    <s v="F"/>
    <x v="0"/>
    <x v="0"/>
    <x v="0"/>
    <x v="25"/>
    <x v="5"/>
    <x v="7"/>
    <x v="2"/>
  </r>
  <r>
    <s v="TX501192"/>
    <x v="17"/>
    <x v="3"/>
    <n v="32.200000000000003"/>
    <n v="225.40000000000003"/>
    <x v="46"/>
    <d v="2025-02-18T00:00:00"/>
    <s v="F"/>
    <x v="2"/>
    <x v="0"/>
    <x v="0"/>
    <x v="25"/>
    <x v="1"/>
    <x v="7"/>
    <x v="2"/>
  </r>
  <r>
    <s v="TX501193"/>
    <x v="7"/>
    <x v="31"/>
    <n v="48.5"/>
    <n v="1358"/>
    <x v="46"/>
    <d v="2025-02-17T00:00:00"/>
    <s v="M"/>
    <x v="0"/>
    <x v="0"/>
    <x v="0"/>
    <x v="5"/>
    <x v="3"/>
    <x v="7"/>
    <x v="1"/>
  </r>
  <r>
    <s v="TX501194"/>
    <x v="2"/>
    <x v="9"/>
    <n v="62"/>
    <n v="310"/>
    <x v="46"/>
    <d v="2025-02-19T00:00:00"/>
    <s v="F"/>
    <x v="1"/>
    <x v="0"/>
    <x v="0"/>
    <x v="6"/>
    <x v="2"/>
    <x v="7"/>
    <x v="2"/>
  </r>
  <r>
    <s v="TX501195"/>
    <x v="8"/>
    <x v="2"/>
    <n v="32.1"/>
    <n v="96.300000000000011"/>
    <x v="47"/>
    <d v="2025-02-19T00:00:00"/>
    <s v="M"/>
    <x v="0"/>
    <x v="0"/>
    <x v="0"/>
    <x v="6"/>
    <x v="1"/>
    <x v="7"/>
    <x v="1"/>
  </r>
  <r>
    <s v="TX501196"/>
    <x v="12"/>
    <x v="2"/>
    <n v="106.1"/>
    <n v="318.29999999999995"/>
    <x v="47"/>
    <d v="2025-02-19T00:00:00"/>
    <s v="M"/>
    <x v="0"/>
    <x v="1"/>
    <x v="0"/>
    <x v="7"/>
    <x v="1"/>
    <x v="7"/>
    <x v="1"/>
  </r>
  <r>
    <s v="TX501197"/>
    <x v="10"/>
    <x v="2"/>
    <n v="23.5"/>
    <n v="70.5"/>
    <x v="47"/>
    <d v="2025-02-20T00:00:00"/>
    <s v="M"/>
    <x v="0"/>
    <x v="4"/>
    <x v="0"/>
    <x v="7"/>
    <x v="2"/>
    <x v="7"/>
    <x v="1"/>
  </r>
  <r>
    <s v="TX501198"/>
    <x v="1"/>
    <x v="1"/>
    <n v="35.6"/>
    <n v="71.2"/>
    <x v="47"/>
    <d v="2025-02-22T00:00:00"/>
    <s v="M"/>
    <x v="4"/>
    <x v="0"/>
    <x v="0"/>
    <x v="8"/>
    <x v="0"/>
    <x v="7"/>
    <x v="1"/>
  </r>
  <r>
    <s v="TX501199"/>
    <x v="1"/>
    <x v="1"/>
    <n v="63.5"/>
    <n v="127"/>
    <x v="47"/>
    <d v="2025-02-17T00:00:00"/>
    <s v="F"/>
    <x v="1"/>
    <x v="2"/>
    <x v="0"/>
    <x v="8"/>
    <x v="7"/>
    <x v="7"/>
    <x v="2"/>
  </r>
  <r>
    <s v="TX501200"/>
    <x v="6"/>
    <x v="3"/>
    <n v="82.9"/>
    <n v="580.30000000000007"/>
    <x v="47"/>
    <d v="2025-02-22T00:00:00"/>
    <s v="F"/>
    <x v="4"/>
    <x v="0"/>
    <x v="0"/>
    <x v="9"/>
    <x v="0"/>
    <x v="7"/>
    <x v="2"/>
  </r>
  <r>
    <s v="TX501201"/>
    <x v="6"/>
    <x v="1"/>
    <n v="83.6"/>
    <n v="167.2"/>
    <x v="47"/>
    <d v="2025-02-22T00:00:00"/>
    <s v="F"/>
    <x v="0"/>
    <x v="0"/>
    <x v="0"/>
    <x v="11"/>
    <x v="0"/>
    <x v="7"/>
    <x v="2"/>
  </r>
  <r>
    <s v="TX501202"/>
    <x v="4"/>
    <x v="1"/>
    <n v="29.4"/>
    <n v="58.8"/>
    <x v="47"/>
    <d v="2025-02-17T00:00:00"/>
    <s v="F"/>
    <x v="0"/>
    <x v="1"/>
    <x v="0"/>
    <x v="30"/>
    <x v="7"/>
    <x v="7"/>
    <x v="2"/>
  </r>
  <r>
    <s v="TX501203"/>
    <x v="2"/>
    <x v="2"/>
    <n v="107.1"/>
    <n v="321.29999999999995"/>
    <x v="47"/>
    <d v="2025-02-21T00:00:00"/>
    <s v="F"/>
    <x v="2"/>
    <x v="0"/>
    <x v="0"/>
    <x v="20"/>
    <x v="5"/>
    <x v="7"/>
    <x v="2"/>
  </r>
  <r>
    <s v="TX501204"/>
    <x v="2"/>
    <x v="0"/>
    <n v="62.7"/>
    <n v="62.7"/>
    <x v="47"/>
    <d v="2025-02-21T00:00:00"/>
    <s v="M"/>
    <x v="1"/>
    <x v="0"/>
    <x v="0"/>
    <x v="21"/>
    <x v="5"/>
    <x v="7"/>
    <x v="1"/>
  </r>
  <r>
    <s v="TX501205"/>
    <x v="11"/>
    <x v="0"/>
    <n v="41.6"/>
    <n v="41.6"/>
    <x v="47"/>
    <d v="2025-02-18T00:00:00"/>
    <s v="M"/>
    <x v="0"/>
    <x v="1"/>
    <x v="0"/>
    <x v="1"/>
    <x v="3"/>
    <x v="7"/>
    <x v="1"/>
  </r>
  <r>
    <s v="TX501206"/>
    <x v="6"/>
    <x v="0"/>
    <n v="44.2"/>
    <n v="44.2"/>
    <x v="47"/>
    <d v="2025-02-18T00:00:00"/>
    <s v="O"/>
    <x v="0"/>
    <x v="1"/>
    <x v="0"/>
    <x v="1"/>
    <x v="3"/>
    <x v="7"/>
    <x v="3"/>
  </r>
  <r>
    <s v="TX501207"/>
    <x v="4"/>
    <x v="13"/>
    <n v="40.4"/>
    <n v="242.39999999999998"/>
    <x v="47"/>
    <d v="2025-03-02T00:00:00"/>
    <s v="F"/>
    <x v="2"/>
    <x v="0"/>
    <x v="0"/>
    <x v="22"/>
    <x v="10"/>
    <x v="7"/>
    <x v="2"/>
  </r>
  <r>
    <s v="TX501208"/>
    <x v="15"/>
    <x v="13"/>
    <n v="59.6"/>
    <n v="357.6"/>
    <x v="47"/>
    <d v="2025-02-18T00:00:00"/>
    <s v="F"/>
    <x v="4"/>
    <x v="0"/>
    <x v="0"/>
    <x v="34"/>
    <x v="3"/>
    <x v="7"/>
    <x v="2"/>
  </r>
  <r>
    <s v="TX501209"/>
    <x v="17"/>
    <x v="4"/>
    <n v="63.8"/>
    <n v="765.59999999999991"/>
    <x v="47"/>
    <d v="2025-02-18T00:00:00"/>
    <s v="M"/>
    <x v="1"/>
    <x v="0"/>
    <x v="0"/>
    <x v="3"/>
    <x v="3"/>
    <x v="7"/>
    <x v="1"/>
  </r>
  <r>
    <s v="TX501210"/>
    <x v="9"/>
    <x v="13"/>
    <n v="30.8"/>
    <n v="184.8"/>
    <x v="47"/>
    <d v="2025-02-19T00:00:00"/>
    <s v="M"/>
    <x v="4"/>
    <x v="0"/>
    <x v="0"/>
    <x v="3"/>
    <x v="1"/>
    <x v="7"/>
    <x v="1"/>
  </r>
  <r>
    <s v="TX501211"/>
    <x v="1"/>
    <x v="1"/>
    <n v="41.5"/>
    <n v="83"/>
    <x v="47"/>
    <d v="2025-02-20T00:00:00"/>
    <s v="O"/>
    <x v="0"/>
    <x v="0"/>
    <x v="0"/>
    <x v="3"/>
    <x v="2"/>
    <x v="7"/>
    <x v="3"/>
  </r>
  <r>
    <s v="TX501212"/>
    <x v="10"/>
    <x v="12"/>
    <n v="44.7"/>
    <n v="178.8"/>
    <x v="47"/>
    <d v="2025-02-19T00:00:00"/>
    <s v="F"/>
    <x v="2"/>
    <x v="1"/>
    <x v="0"/>
    <x v="3"/>
    <x v="1"/>
    <x v="7"/>
    <x v="2"/>
  </r>
  <r>
    <s v="TX501213"/>
    <x v="12"/>
    <x v="1"/>
    <n v="64.099999999999994"/>
    <n v="128.19999999999999"/>
    <x v="47"/>
    <d v="2025-02-21T00:00:00"/>
    <s v="F"/>
    <x v="1"/>
    <x v="4"/>
    <x v="0"/>
    <x v="3"/>
    <x v="5"/>
    <x v="7"/>
    <x v="2"/>
  </r>
  <r>
    <s v="TX501214"/>
    <x v="8"/>
    <x v="0"/>
    <n v="15.9"/>
    <n v="15.9"/>
    <x v="47"/>
    <d v="2025-02-20T00:00:00"/>
    <m/>
    <x v="1"/>
    <x v="0"/>
    <x v="0"/>
    <x v="3"/>
    <x v="2"/>
    <x v="7"/>
    <x v="0"/>
  </r>
  <r>
    <s v="TX501215"/>
    <x v="6"/>
    <x v="1"/>
    <n v="78.7"/>
    <n v="157.4"/>
    <x v="47"/>
    <d v="2025-02-17T00:00:00"/>
    <s v="F"/>
    <x v="2"/>
    <x v="1"/>
    <x v="0"/>
    <x v="3"/>
    <x v="7"/>
    <x v="7"/>
    <x v="2"/>
  </r>
  <r>
    <s v="TX501216"/>
    <x v="5"/>
    <x v="4"/>
    <n v="29.6"/>
    <n v="355.20000000000005"/>
    <x v="47"/>
    <d v="2025-02-21T00:00:00"/>
    <s v="M"/>
    <x v="2"/>
    <x v="4"/>
    <x v="0"/>
    <x v="3"/>
    <x v="5"/>
    <x v="7"/>
    <x v="1"/>
  </r>
  <r>
    <s v="TX501217"/>
    <x v="8"/>
    <x v="12"/>
    <n v="21.5"/>
    <n v="86"/>
    <x v="47"/>
    <d v="2025-02-20T00:00:00"/>
    <s v="M"/>
    <x v="1"/>
    <x v="0"/>
    <x v="0"/>
    <x v="3"/>
    <x v="2"/>
    <x v="7"/>
    <x v="1"/>
  </r>
  <r>
    <s v="TX501218"/>
    <x v="9"/>
    <x v="2"/>
    <n v="74.900000000000006"/>
    <n v="224.70000000000002"/>
    <x v="47"/>
    <d v="2025-02-26T00:00:00"/>
    <s v="M"/>
    <x v="3"/>
    <x v="1"/>
    <x v="0"/>
    <x v="3"/>
    <x v="8"/>
    <x v="7"/>
    <x v="1"/>
  </r>
  <r>
    <s v="TX501219"/>
    <x v="10"/>
    <x v="13"/>
    <n v="45"/>
    <n v="270"/>
    <x v="47"/>
    <d v="2025-02-22T00:00:00"/>
    <s v="F"/>
    <x v="2"/>
    <x v="0"/>
    <x v="0"/>
    <x v="3"/>
    <x v="0"/>
    <x v="7"/>
    <x v="2"/>
  </r>
  <r>
    <s v="TX501220"/>
    <x v="7"/>
    <x v="33"/>
    <n v="37.9"/>
    <n v="1288.5999999999999"/>
    <x v="47"/>
    <d v="2025-02-18T00:00:00"/>
    <s v="M"/>
    <x v="0"/>
    <x v="0"/>
    <x v="0"/>
    <x v="3"/>
    <x v="3"/>
    <x v="7"/>
    <x v="1"/>
  </r>
  <r>
    <s v="TX501221"/>
    <x v="6"/>
    <x v="2"/>
    <n v="56.6"/>
    <n v="169.8"/>
    <x v="47"/>
    <d v="2025-02-18T00:00:00"/>
    <s v="M"/>
    <x v="3"/>
    <x v="0"/>
    <x v="0"/>
    <x v="3"/>
    <x v="3"/>
    <x v="7"/>
    <x v="1"/>
  </r>
  <r>
    <s v="TX501222"/>
    <x v="3"/>
    <x v="15"/>
    <n v="84.5"/>
    <n v="1098.5"/>
    <x v="47"/>
    <d v="2025-02-20T00:00:00"/>
    <s v="F"/>
    <x v="1"/>
    <x v="4"/>
    <x v="0"/>
    <x v="3"/>
    <x v="2"/>
    <x v="7"/>
    <x v="2"/>
  </r>
  <r>
    <s v="TX501223"/>
    <x v="2"/>
    <x v="9"/>
    <n v="105.4"/>
    <n v="527"/>
    <x v="47"/>
    <d v="2025-02-19T00:00:00"/>
    <s v="F"/>
    <x v="1"/>
    <x v="1"/>
    <x v="0"/>
    <x v="3"/>
    <x v="1"/>
    <x v="7"/>
    <x v="2"/>
  </r>
  <r>
    <s v="TX501224"/>
    <x v="18"/>
    <x v="3"/>
    <n v="39.4"/>
    <n v="275.8"/>
    <x v="48"/>
    <d v="2025-02-18T00:00:00"/>
    <s v="M"/>
    <x v="1"/>
    <x v="0"/>
    <x v="0"/>
    <x v="37"/>
    <x v="7"/>
    <x v="7"/>
    <x v="1"/>
  </r>
  <r>
    <s v="TX501225"/>
    <x v="19"/>
    <x v="2"/>
    <n v="38"/>
    <n v="114"/>
    <x v="48"/>
    <d v="2025-02-21T00:00:00"/>
    <s v="M"/>
    <x v="4"/>
    <x v="1"/>
    <x v="0"/>
    <x v="6"/>
    <x v="2"/>
    <x v="7"/>
    <x v="1"/>
  </r>
  <r>
    <s v="TX501226"/>
    <x v="17"/>
    <x v="12"/>
    <n v="42.5"/>
    <n v="170"/>
    <x v="48"/>
    <d v="2025-02-20T00:00:00"/>
    <m/>
    <x v="0"/>
    <x v="0"/>
    <x v="0"/>
    <x v="6"/>
    <x v="1"/>
    <x v="7"/>
    <x v="0"/>
  </r>
  <r>
    <s v="TX501227"/>
    <x v="15"/>
    <x v="0"/>
    <n v="62.3"/>
    <n v="62.3"/>
    <x v="48"/>
    <d v="2025-02-27T00:00:00"/>
    <s v="M"/>
    <x v="0"/>
    <x v="2"/>
    <x v="0"/>
    <x v="6"/>
    <x v="8"/>
    <x v="7"/>
    <x v="1"/>
  </r>
  <r>
    <s v="TX501228"/>
    <x v="6"/>
    <x v="9"/>
    <n v="49.1"/>
    <n v="245.5"/>
    <x v="48"/>
    <d v="2025-02-20T00:00:00"/>
    <s v="F"/>
    <x v="1"/>
    <x v="2"/>
    <x v="0"/>
    <x v="7"/>
    <x v="1"/>
    <x v="7"/>
    <x v="2"/>
  </r>
  <r>
    <s v="TX501229"/>
    <x v="3"/>
    <x v="1"/>
    <n v="30.5"/>
    <n v="61"/>
    <x v="48"/>
    <d v="2025-02-21T00:00:00"/>
    <s v="M"/>
    <x v="0"/>
    <x v="2"/>
    <x v="0"/>
    <x v="8"/>
    <x v="2"/>
    <x v="7"/>
    <x v="1"/>
  </r>
  <r>
    <s v="TX501230"/>
    <x v="2"/>
    <x v="1"/>
    <n v="154.80000000000001"/>
    <n v="309.60000000000002"/>
    <x v="48"/>
    <d v="2025-02-21T00:00:00"/>
    <s v="F"/>
    <x v="1"/>
    <x v="4"/>
    <x v="0"/>
    <x v="8"/>
    <x v="2"/>
    <x v="7"/>
    <x v="2"/>
  </r>
  <r>
    <s v="TX501231"/>
    <x v="6"/>
    <x v="0"/>
    <n v="45"/>
    <n v="45"/>
    <x v="48"/>
    <d v="2025-02-22T00:00:00"/>
    <s v="M"/>
    <x v="3"/>
    <x v="1"/>
    <x v="0"/>
    <x v="8"/>
    <x v="5"/>
    <x v="7"/>
    <x v="1"/>
  </r>
  <r>
    <s v="TX501232"/>
    <x v="0"/>
    <x v="3"/>
    <n v="15.3"/>
    <n v="107.10000000000001"/>
    <x v="48"/>
    <d v="2025-02-19T00:00:00"/>
    <s v="M"/>
    <x v="0"/>
    <x v="2"/>
    <x v="0"/>
    <x v="8"/>
    <x v="3"/>
    <x v="7"/>
    <x v="1"/>
  </r>
  <r>
    <s v="TX501233"/>
    <x v="2"/>
    <x v="5"/>
    <n v="88.6"/>
    <n v="974.59999999999991"/>
    <x v="48"/>
    <d v="2025-02-21T00:00:00"/>
    <s v="F"/>
    <x v="0"/>
    <x v="4"/>
    <x v="0"/>
    <x v="17"/>
    <x v="2"/>
    <x v="7"/>
    <x v="2"/>
  </r>
  <r>
    <s v="TX501234"/>
    <x v="9"/>
    <x v="1"/>
    <n v="49.7"/>
    <n v="99.4"/>
    <x v="48"/>
    <d v="2025-02-20T00:00:00"/>
    <s v="O"/>
    <x v="4"/>
    <x v="0"/>
    <x v="0"/>
    <x v="10"/>
    <x v="1"/>
    <x v="7"/>
    <x v="3"/>
  </r>
  <r>
    <s v="TX501235"/>
    <x v="10"/>
    <x v="0"/>
    <n v="29"/>
    <n v="29"/>
    <x v="48"/>
    <d v="2025-02-19T00:00:00"/>
    <s v="M"/>
    <x v="0"/>
    <x v="0"/>
    <x v="0"/>
    <x v="11"/>
    <x v="3"/>
    <x v="7"/>
    <x v="1"/>
  </r>
  <r>
    <s v="TX501236"/>
    <x v="1"/>
    <x v="0"/>
    <n v="60.7"/>
    <n v="60.7"/>
    <x v="48"/>
    <d v="2025-02-19T00:00:00"/>
    <s v="O"/>
    <x v="0"/>
    <x v="1"/>
    <x v="0"/>
    <x v="11"/>
    <x v="3"/>
    <x v="7"/>
    <x v="3"/>
  </r>
  <r>
    <s v="TX501237"/>
    <x v="17"/>
    <x v="12"/>
    <n v="87.4"/>
    <n v="349.6"/>
    <x v="48"/>
    <d v="2025-02-20T00:00:00"/>
    <m/>
    <x v="0"/>
    <x v="0"/>
    <x v="0"/>
    <x v="11"/>
    <x v="1"/>
    <x v="7"/>
    <x v="0"/>
  </r>
  <r>
    <s v="TX501238"/>
    <x v="4"/>
    <x v="3"/>
    <n v="44.5"/>
    <n v="311.5"/>
    <x v="48"/>
    <d v="2025-02-22T00:00:00"/>
    <s v="F"/>
    <x v="2"/>
    <x v="2"/>
    <x v="0"/>
    <x v="19"/>
    <x v="5"/>
    <x v="7"/>
    <x v="2"/>
  </r>
  <r>
    <s v="TX501239"/>
    <x v="2"/>
    <x v="0"/>
    <n v="141"/>
    <n v="141"/>
    <x v="48"/>
    <d v="2025-02-19T00:00:00"/>
    <s v="M"/>
    <x v="4"/>
    <x v="2"/>
    <x v="0"/>
    <x v="19"/>
    <x v="3"/>
    <x v="7"/>
    <x v="1"/>
  </r>
  <r>
    <s v="TX501240"/>
    <x v="0"/>
    <x v="2"/>
    <n v="16.7"/>
    <n v="50.099999999999994"/>
    <x v="48"/>
    <d v="2025-02-26T00:00:00"/>
    <s v="F"/>
    <x v="0"/>
    <x v="0"/>
    <x v="0"/>
    <x v="20"/>
    <x v="9"/>
    <x v="7"/>
    <x v="2"/>
  </r>
  <r>
    <s v="TX501241"/>
    <x v="1"/>
    <x v="1"/>
    <n v="77.5"/>
    <n v="155"/>
    <x v="48"/>
    <d v="2025-02-19T00:00:00"/>
    <m/>
    <x v="2"/>
    <x v="2"/>
    <x v="0"/>
    <x v="13"/>
    <x v="3"/>
    <x v="7"/>
    <x v="0"/>
  </r>
  <r>
    <s v="TX501242"/>
    <x v="2"/>
    <x v="1"/>
    <n v="163"/>
    <n v="326"/>
    <x v="48"/>
    <d v="2025-02-24T00:00:00"/>
    <s v="F"/>
    <x v="4"/>
    <x v="0"/>
    <x v="0"/>
    <x v="21"/>
    <x v="4"/>
    <x v="7"/>
    <x v="2"/>
  </r>
  <r>
    <s v="TX501243"/>
    <x v="4"/>
    <x v="11"/>
    <n v="21.4"/>
    <n v="192.6"/>
    <x v="48"/>
    <d v="2025-02-21T00:00:00"/>
    <s v="F"/>
    <x v="0"/>
    <x v="0"/>
    <x v="0"/>
    <x v="51"/>
    <x v="2"/>
    <x v="7"/>
    <x v="2"/>
  </r>
  <r>
    <s v="TX501244"/>
    <x v="10"/>
    <x v="5"/>
    <n v="31"/>
    <n v="341"/>
    <x v="48"/>
    <d v="2025-02-20T00:00:00"/>
    <s v="F"/>
    <x v="3"/>
    <x v="2"/>
    <x v="0"/>
    <x v="1"/>
    <x v="1"/>
    <x v="7"/>
    <x v="2"/>
  </r>
  <r>
    <s v="TX501245"/>
    <x v="7"/>
    <x v="1"/>
    <n v="34.299999999999997"/>
    <n v="68.599999999999994"/>
    <x v="48"/>
    <d v="2025-02-20T00:00:00"/>
    <s v="F"/>
    <x v="0"/>
    <x v="3"/>
    <x v="0"/>
    <x v="1"/>
    <x v="1"/>
    <x v="7"/>
    <x v="2"/>
  </r>
  <r>
    <s v="TX501246"/>
    <x v="17"/>
    <x v="9"/>
    <n v="48.2"/>
    <n v="241"/>
    <x v="48"/>
    <d v="2025-02-19T00:00:00"/>
    <s v="M"/>
    <x v="1"/>
    <x v="1"/>
    <x v="0"/>
    <x v="2"/>
    <x v="3"/>
    <x v="7"/>
    <x v="1"/>
  </r>
  <r>
    <s v="TX501247"/>
    <x v="10"/>
    <x v="0"/>
    <n v="51.4"/>
    <n v="51.4"/>
    <x v="48"/>
    <d v="2025-02-19T00:00:00"/>
    <s v="M"/>
    <x v="0"/>
    <x v="0"/>
    <x v="0"/>
    <x v="3"/>
    <x v="3"/>
    <x v="7"/>
    <x v="1"/>
  </r>
  <r>
    <s v="TX501248"/>
    <x v="2"/>
    <x v="9"/>
    <n v="117.2"/>
    <n v="586"/>
    <x v="48"/>
    <d v="2025-02-21T00:00:00"/>
    <s v="F"/>
    <x v="4"/>
    <x v="4"/>
    <x v="0"/>
    <x v="3"/>
    <x v="2"/>
    <x v="7"/>
    <x v="2"/>
  </r>
  <r>
    <s v="TX501249"/>
    <x v="8"/>
    <x v="0"/>
    <n v="38.1"/>
    <n v="38.1"/>
    <x v="48"/>
    <d v="2025-02-18T00:00:00"/>
    <s v="M"/>
    <x v="4"/>
    <x v="1"/>
    <x v="0"/>
    <x v="3"/>
    <x v="7"/>
    <x v="7"/>
    <x v="1"/>
  </r>
  <r>
    <s v="TX501250"/>
    <x v="0"/>
    <x v="1"/>
    <n v="44.1"/>
    <n v="88.2"/>
    <x v="48"/>
    <d v="2025-02-20T00:00:00"/>
    <s v="F"/>
    <x v="2"/>
    <x v="0"/>
    <x v="0"/>
    <x v="3"/>
    <x v="1"/>
    <x v="7"/>
    <x v="2"/>
  </r>
  <r>
    <s v="TX501251"/>
    <x v="15"/>
    <x v="12"/>
    <n v="80.5"/>
    <n v="322"/>
    <x v="48"/>
    <d v="2025-02-23T00:00:00"/>
    <s v="M"/>
    <x v="0"/>
    <x v="0"/>
    <x v="0"/>
    <x v="3"/>
    <x v="0"/>
    <x v="7"/>
    <x v="1"/>
  </r>
  <r>
    <s v="TX501252"/>
    <x v="18"/>
    <x v="12"/>
    <n v="33.6"/>
    <n v="134.4"/>
    <x v="48"/>
    <d v="2025-02-23T00:00:00"/>
    <m/>
    <x v="0"/>
    <x v="2"/>
    <x v="0"/>
    <x v="3"/>
    <x v="0"/>
    <x v="7"/>
    <x v="0"/>
  </r>
  <r>
    <s v="TX501253"/>
    <x v="9"/>
    <x v="11"/>
    <n v="41.8"/>
    <n v="376.2"/>
    <x v="48"/>
    <d v="2025-02-19T00:00:00"/>
    <s v="F"/>
    <x v="0"/>
    <x v="1"/>
    <x v="0"/>
    <x v="3"/>
    <x v="3"/>
    <x v="7"/>
    <x v="2"/>
  </r>
  <r>
    <s v="TX501254"/>
    <x v="1"/>
    <x v="1"/>
    <n v="106.2"/>
    <n v="212.4"/>
    <x v="48"/>
    <d v="2025-02-18T00:00:00"/>
    <s v="F"/>
    <x v="4"/>
    <x v="2"/>
    <x v="0"/>
    <x v="3"/>
    <x v="7"/>
    <x v="7"/>
    <x v="2"/>
  </r>
  <r>
    <s v="TX501255"/>
    <x v="1"/>
    <x v="1"/>
    <n v="52.6"/>
    <n v="105.2"/>
    <x v="48"/>
    <d v="2025-02-19T00:00:00"/>
    <s v="F"/>
    <x v="0"/>
    <x v="2"/>
    <x v="0"/>
    <x v="5"/>
    <x v="3"/>
    <x v="7"/>
    <x v="2"/>
  </r>
  <r>
    <s v="TX501256"/>
    <x v="11"/>
    <x v="3"/>
    <n v="68.5"/>
    <n v="479.5"/>
    <x v="48"/>
    <d v="2025-02-19T00:00:00"/>
    <s v="F"/>
    <x v="1"/>
    <x v="0"/>
    <x v="0"/>
    <x v="5"/>
    <x v="3"/>
    <x v="7"/>
    <x v="2"/>
  </r>
  <r>
    <s v="TX501257"/>
    <x v="1"/>
    <x v="1"/>
    <n v="55.6"/>
    <n v="111.2"/>
    <x v="48"/>
    <d v="2025-02-20T00:00:00"/>
    <s v="M"/>
    <x v="1"/>
    <x v="2"/>
    <x v="0"/>
    <x v="6"/>
    <x v="1"/>
    <x v="7"/>
    <x v="1"/>
  </r>
  <r>
    <s v="TX501258"/>
    <x v="2"/>
    <x v="2"/>
    <n v="134.9"/>
    <n v="404.70000000000005"/>
    <x v="48"/>
    <d v="2025-02-19T00:00:00"/>
    <s v="M"/>
    <x v="1"/>
    <x v="1"/>
    <x v="0"/>
    <x v="6"/>
    <x v="3"/>
    <x v="7"/>
    <x v="1"/>
  </r>
  <r>
    <s v="TX501259"/>
    <x v="10"/>
    <x v="9"/>
    <n v="42.6"/>
    <n v="213"/>
    <x v="48"/>
    <d v="2025-02-19T00:00:00"/>
    <s v="M"/>
    <x v="0"/>
    <x v="0"/>
    <x v="0"/>
    <x v="6"/>
    <x v="3"/>
    <x v="7"/>
    <x v="1"/>
  </r>
  <r>
    <s v="TX501260"/>
    <x v="7"/>
    <x v="9"/>
    <n v="60.6"/>
    <n v="303"/>
    <x v="48"/>
    <d v="2025-02-20T00:00:00"/>
    <s v="M"/>
    <x v="4"/>
    <x v="0"/>
    <x v="0"/>
    <x v="6"/>
    <x v="1"/>
    <x v="7"/>
    <x v="1"/>
  </r>
  <r>
    <s v="TX501261"/>
    <x v="8"/>
    <x v="1"/>
    <n v="43.5"/>
    <n v="87"/>
    <x v="48"/>
    <d v="2025-02-19T00:00:00"/>
    <s v="M"/>
    <x v="4"/>
    <x v="0"/>
    <x v="0"/>
    <x v="7"/>
    <x v="3"/>
    <x v="7"/>
    <x v="1"/>
  </r>
  <r>
    <s v="TX501262"/>
    <x v="2"/>
    <x v="1"/>
    <n v="187.1"/>
    <n v="374.2"/>
    <x v="48"/>
    <d v="2025-02-19T00:00:00"/>
    <s v="M"/>
    <x v="1"/>
    <x v="2"/>
    <x v="0"/>
    <x v="8"/>
    <x v="3"/>
    <x v="7"/>
    <x v="1"/>
  </r>
  <r>
    <s v="TX501263"/>
    <x v="9"/>
    <x v="2"/>
    <n v="32"/>
    <n v="96"/>
    <x v="48"/>
    <d v="2025-02-20T00:00:00"/>
    <s v="M"/>
    <x v="0"/>
    <x v="0"/>
    <x v="0"/>
    <x v="8"/>
    <x v="1"/>
    <x v="7"/>
    <x v="1"/>
  </r>
  <r>
    <s v="TX501264"/>
    <x v="9"/>
    <x v="1"/>
    <n v="110.8"/>
    <n v="221.6"/>
    <x v="48"/>
    <d v="2025-02-18T00:00:00"/>
    <s v="M"/>
    <x v="0"/>
    <x v="2"/>
    <x v="0"/>
    <x v="8"/>
    <x v="7"/>
    <x v="7"/>
    <x v="1"/>
  </r>
  <r>
    <s v="TX501265"/>
    <x v="10"/>
    <x v="15"/>
    <n v="36.1"/>
    <n v="469.3"/>
    <x v="48"/>
    <d v="2025-02-21T00:00:00"/>
    <s v="F"/>
    <x v="0"/>
    <x v="1"/>
    <x v="0"/>
    <x v="8"/>
    <x v="2"/>
    <x v="7"/>
    <x v="2"/>
  </r>
  <r>
    <s v="TX501266"/>
    <x v="0"/>
    <x v="0"/>
    <n v="24.1"/>
    <n v="24.1"/>
    <x v="48"/>
    <d v="2025-02-20T00:00:00"/>
    <s v="F"/>
    <x v="4"/>
    <x v="2"/>
    <x v="0"/>
    <x v="8"/>
    <x v="1"/>
    <x v="7"/>
    <x v="2"/>
  </r>
  <r>
    <s v="TX501267"/>
    <x v="19"/>
    <x v="2"/>
    <n v="30.5"/>
    <n v="91.5"/>
    <x v="48"/>
    <d v="2025-02-20T00:00:00"/>
    <s v="M"/>
    <x v="1"/>
    <x v="0"/>
    <x v="0"/>
    <x v="8"/>
    <x v="1"/>
    <x v="7"/>
    <x v="1"/>
  </r>
  <r>
    <s v="TX501268"/>
    <x v="18"/>
    <x v="13"/>
    <n v="68.3"/>
    <n v="409.79999999999995"/>
    <x v="48"/>
    <d v="2025-02-21T00:00:00"/>
    <s v="M"/>
    <x v="0"/>
    <x v="0"/>
    <x v="0"/>
    <x v="8"/>
    <x v="2"/>
    <x v="7"/>
    <x v="1"/>
  </r>
  <r>
    <s v="TX501269"/>
    <x v="7"/>
    <x v="2"/>
    <n v="43.3"/>
    <n v="129.89999999999998"/>
    <x v="48"/>
    <d v="2025-02-22T00:00:00"/>
    <s v="F"/>
    <x v="0"/>
    <x v="0"/>
    <x v="0"/>
    <x v="17"/>
    <x v="5"/>
    <x v="7"/>
    <x v="2"/>
  </r>
  <r>
    <s v="TX501270"/>
    <x v="3"/>
    <x v="0"/>
    <n v="101.7"/>
    <n v="101.7"/>
    <x v="48"/>
    <d v="2025-02-21T00:00:00"/>
    <s v="F"/>
    <x v="0"/>
    <x v="1"/>
    <x v="0"/>
    <x v="17"/>
    <x v="2"/>
    <x v="7"/>
    <x v="2"/>
  </r>
  <r>
    <s v="TX501271"/>
    <x v="11"/>
    <x v="1"/>
    <n v="54.2"/>
    <n v="108.4"/>
    <x v="48"/>
    <d v="2025-02-19T00:00:00"/>
    <s v="F"/>
    <x v="0"/>
    <x v="1"/>
    <x v="0"/>
    <x v="17"/>
    <x v="3"/>
    <x v="7"/>
    <x v="2"/>
  </r>
  <r>
    <s v="TX501272"/>
    <x v="16"/>
    <x v="1"/>
    <n v="51"/>
    <n v="102"/>
    <x v="48"/>
    <d v="2025-02-18T00:00:00"/>
    <s v="M"/>
    <x v="1"/>
    <x v="0"/>
    <x v="0"/>
    <x v="26"/>
    <x v="7"/>
    <x v="7"/>
    <x v="1"/>
  </r>
  <r>
    <s v="TX501273"/>
    <x v="4"/>
    <x v="1"/>
    <n v="23.1"/>
    <n v="46.2"/>
    <x v="48"/>
    <d v="2025-02-21T00:00:00"/>
    <s v="M"/>
    <x v="1"/>
    <x v="0"/>
    <x v="0"/>
    <x v="10"/>
    <x v="2"/>
    <x v="7"/>
    <x v="1"/>
  </r>
  <r>
    <s v="TX501274"/>
    <x v="12"/>
    <x v="13"/>
    <n v="60.1"/>
    <n v="360.6"/>
    <x v="48"/>
    <d v="2025-02-18T00:00:00"/>
    <s v="F"/>
    <x v="3"/>
    <x v="0"/>
    <x v="0"/>
    <x v="11"/>
    <x v="7"/>
    <x v="7"/>
    <x v="2"/>
  </r>
  <r>
    <s v="TX501275"/>
    <x v="2"/>
    <x v="3"/>
    <n v="87.5"/>
    <n v="612.5"/>
    <x v="48"/>
    <d v="2025-02-20T00:00:00"/>
    <s v="F"/>
    <x v="0"/>
    <x v="1"/>
    <x v="0"/>
    <x v="11"/>
    <x v="1"/>
    <x v="7"/>
    <x v="2"/>
  </r>
  <r>
    <s v="TX501276"/>
    <x v="1"/>
    <x v="2"/>
    <n v="51"/>
    <n v="153"/>
    <x v="48"/>
    <d v="2025-02-19T00:00:00"/>
    <s v="F"/>
    <x v="1"/>
    <x v="0"/>
    <x v="0"/>
    <x v="11"/>
    <x v="3"/>
    <x v="7"/>
    <x v="2"/>
  </r>
  <r>
    <s v="TX501277"/>
    <x v="8"/>
    <x v="12"/>
    <n v="19.2"/>
    <n v="76.8"/>
    <x v="48"/>
    <d v="2025-02-20T00:00:00"/>
    <s v="F"/>
    <x v="0"/>
    <x v="0"/>
    <x v="0"/>
    <x v="11"/>
    <x v="1"/>
    <x v="7"/>
    <x v="2"/>
  </r>
  <r>
    <s v="TX501278"/>
    <x v="5"/>
    <x v="8"/>
    <n v="26.5"/>
    <n v="212"/>
    <x v="48"/>
    <d v="2025-02-19T00:00:00"/>
    <m/>
    <x v="3"/>
    <x v="2"/>
    <x v="0"/>
    <x v="11"/>
    <x v="3"/>
    <x v="7"/>
    <x v="0"/>
  </r>
  <r>
    <s v="TX501279"/>
    <x v="2"/>
    <x v="1"/>
    <n v="220.3"/>
    <n v="440.6"/>
    <x v="48"/>
    <d v="2025-02-19T00:00:00"/>
    <s v="F"/>
    <x v="1"/>
    <x v="4"/>
    <x v="0"/>
    <x v="53"/>
    <x v="3"/>
    <x v="7"/>
    <x v="2"/>
  </r>
  <r>
    <s v="TX501280"/>
    <x v="8"/>
    <x v="2"/>
    <n v="45.7"/>
    <n v="137.10000000000002"/>
    <x v="48"/>
    <d v="2025-02-19T00:00:00"/>
    <s v="F"/>
    <x v="4"/>
    <x v="0"/>
    <x v="0"/>
    <x v="30"/>
    <x v="3"/>
    <x v="7"/>
    <x v="2"/>
  </r>
  <r>
    <s v="TX501281"/>
    <x v="5"/>
    <x v="9"/>
    <n v="47.1"/>
    <n v="235.5"/>
    <x v="48"/>
    <d v="2025-02-22T00:00:00"/>
    <s v="F"/>
    <x v="3"/>
    <x v="0"/>
    <x v="0"/>
    <x v="13"/>
    <x v="5"/>
    <x v="7"/>
    <x v="2"/>
  </r>
  <r>
    <s v="TX501282"/>
    <x v="1"/>
    <x v="9"/>
    <n v="81.7"/>
    <n v="408.5"/>
    <x v="48"/>
    <d v="2025-02-19T00:00:00"/>
    <s v="F"/>
    <x v="0"/>
    <x v="2"/>
    <x v="0"/>
    <x v="21"/>
    <x v="3"/>
    <x v="7"/>
    <x v="2"/>
  </r>
  <r>
    <s v="TX501283"/>
    <x v="6"/>
    <x v="7"/>
    <n v="97.8"/>
    <n v="978"/>
    <x v="48"/>
    <d v="2025-02-18T00:00:00"/>
    <s v="M"/>
    <x v="1"/>
    <x v="1"/>
    <x v="0"/>
    <x v="21"/>
    <x v="7"/>
    <x v="7"/>
    <x v="1"/>
  </r>
  <r>
    <s v="TX501284"/>
    <x v="6"/>
    <x v="2"/>
    <n v="42.4"/>
    <n v="127.19999999999999"/>
    <x v="48"/>
    <d v="2025-02-19T00:00:00"/>
    <s v="F"/>
    <x v="0"/>
    <x v="2"/>
    <x v="0"/>
    <x v="54"/>
    <x v="3"/>
    <x v="7"/>
    <x v="2"/>
  </r>
  <r>
    <s v="TX501285"/>
    <x v="2"/>
    <x v="7"/>
    <n v="74.5"/>
    <n v="745"/>
    <x v="48"/>
    <d v="2025-02-19T00:00:00"/>
    <s v="M"/>
    <x v="2"/>
    <x v="1"/>
    <x v="0"/>
    <x v="1"/>
    <x v="3"/>
    <x v="7"/>
    <x v="1"/>
  </r>
  <r>
    <s v="TX501286"/>
    <x v="17"/>
    <x v="13"/>
    <n v="47.4"/>
    <n v="284.39999999999998"/>
    <x v="48"/>
    <d v="2025-02-19T00:00:00"/>
    <s v="M"/>
    <x v="1"/>
    <x v="0"/>
    <x v="0"/>
    <x v="1"/>
    <x v="3"/>
    <x v="7"/>
    <x v="1"/>
  </r>
  <r>
    <s v="TX501287"/>
    <x v="14"/>
    <x v="2"/>
    <n v="17.3"/>
    <n v="51.900000000000006"/>
    <x v="49"/>
    <d v="2025-02-22T00:00:00"/>
    <s v="M"/>
    <x v="2"/>
    <x v="2"/>
    <x v="0"/>
    <x v="1"/>
    <x v="2"/>
    <x v="7"/>
    <x v="1"/>
  </r>
  <r>
    <s v="TX501288"/>
    <x v="12"/>
    <x v="12"/>
    <n v="77.900000000000006"/>
    <n v="311.60000000000002"/>
    <x v="49"/>
    <d v="2025-02-20T00:00:00"/>
    <s v="M"/>
    <x v="1"/>
    <x v="0"/>
    <x v="0"/>
    <x v="2"/>
    <x v="3"/>
    <x v="7"/>
    <x v="1"/>
  </r>
  <r>
    <s v="TX501289"/>
    <x v="8"/>
    <x v="0"/>
    <n v="29.1"/>
    <n v="29.1"/>
    <x v="49"/>
    <d v="2025-02-22T00:00:00"/>
    <s v="M"/>
    <x v="0"/>
    <x v="2"/>
    <x v="0"/>
    <x v="50"/>
    <x v="2"/>
    <x v="7"/>
    <x v="1"/>
  </r>
  <r>
    <s v="TX501290"/>
    <x v="8"/>
    <x v="0"/>
    <n v="49"/>
    <n v="49"/>
    <x v="49"/>
    <d v="2025-02-20T00:00:00"/>
    <s v="M"/>
    <x v="1"/>
    <x v="0"/>
    <x v="0"/>
    <x v="3"/>
    <x v="3"/>
    <x v="7"/>
    <x v="1"/>
  </r>
  <r>
    <s v="TX501291"/>
    <x v="8"/>
    <x v="13"/>
    <n v="21.1"/>
    <n v="126.60000000000001"/>
    <x v="49"/>
    <d v="2025-02-26T00:00:00"/>
    <s v="M"/>
    <x v="0"/>
    <x v="2"/>
    <x v="0"/>
    <x v="3"/>
    <x v="6"/>
    <x v="7"/>
    <x v="1"/>
  </r>
  <r>
    <s v="TX501292"/>
    <x v="4"/>
    <x v="10"/>
    <n v="36.9"/>
    <n v="701.1"/>
    <x v="49"/>
    <d v="2025-02-19T00:00:00"/>
    <s v="F"/>
    <x v="0"/>
    <x v="0"/>
    <x v="0"/>
    <x v="3"/>
    <x v="7"/>
    <x v="7"/>
    <x v="2"/>
  </r>
  <r>
    <s v="TX501293"/>
    <x v="1"/>
    <x v="7"/>
    <n v="92.6"/>
    <n v="926"/>
    <x v="49"/>
    <d v="2025-02-24T00:00:00"/>
    <s v="M"/>
    <x v="4"/>
    <x v="2"/>
    <x v="0"/>
    <x v="3"/>
    <x v="0"/>
    <x v="7"/>
    <x v="1"/>
  </r>
  <r>
    <s v="TX501294"/>
    <x v="10"/>
    <x v="1"/>
    <n v="38"/>
    <n v="76"/>
    <x v="49"/>
    <d v="2025-02-20T00:00:00"/>
    <s v="M"/>
    <x v="1"/>
    <x v="1"/>
    <x v="0"/>
    <x v="3"/>
    <x v="3"/>
    <x v="7"/>
    <x v="1"/>
  </r>
  <r>
    <s v="TX501295"/>
    <x v="5"/>
    <x v="2"/>
    <n v="54.8"/>
    <n v="164.39999999999998"/>
    <x v="49"/>
    <d v="2025-02-23T00:00:00"/>
    <m/>
    <x v="0"/>
    <x v="1"/>
    <x v="0"/>
    <x v="3"/>
    <x v="5"/>
    <x v="7"/>
    <x v="0"/>
  </r>
  <r>
    <s v="TX501296"/>
    <x v="10"/>
    <x v="4"/>
    <n v="56.8"/>
    <n v="681.59999999999991"/>
    <x v="49"/>
    <d v="2025-02-21T00:00:00"/>
    <s v="M"/>
    <x v="1"/>
    <x v="0"/>
    <x v="0"/>
    <x v="3"/>
    <x v="1"/>
    <x v="7"/>
    <x v="1"/>
  </r>
  <r>
    <s v="TX501297"/>
    <x v="11"/>
    <x v="40"/>
    <n v="47.2"/>
    <n v="1557.6000000000001"/>
    <x v="49"/>
    <d v="2025-02-22T00:00:00"/>
    <s v="F"/>
    <x v="1"/>
    <x v="0"/>
    <x v="0"/>
    <x v="3"/>
    <x v="2"/>
    <x v="7"/>
    <x v="2"/>
  </r>
  <r>
    <s v="TX501298"/>
    <x v="7"/>
    <x v="13"/>
    <n v="45.1"/>
    <n v="270.60000000000002"/>
    <x v="49"/>
    <d v="2025-02-20T00:00:00"/>
    <s v="F"/>
    <x v="2"/>
    <x v="0"/>
    <x v="0"/>
    <x v="43"/>
    <x v="3"/>
    <x v="7"/>
    <x v="2"/>
  </r>
  <r>
    <s v="TX501299"/>
    <x v="4"/>
    <x v="4"/>
    <n v="25.2"/>
    <n v="302.39999999999998"/>
    <x v="49"/>
    <d v="2025-02-24T00:00:00"/>
    <s v="F"/>
    <x v="2"/>
    <x v="0"/>
    <x v="0"/>
    <x v="16"/>
    <x v="0"/>
    <x v="7"/>
    <x v="2"/>
  </r>
  <r>
    <s v="TX501300"/>
    <x v="8"/>
    <x v="0"/>
    <n v="22"/>
    <n v="22"/>
    <x v="49"/>
    <d v="2025-02-20T00:00:00"/>
    <s v="F"/>
    <x v="0"/>
    <x v="0"/>
    <x v="0"/>
    <x v="5"/>
    <x v="3"/>
    <x v="7"/>
    <x v="2"/>
  </r>
  <r>
    <s v="TX501301"/>
    <x v="6"/>
    <x v="1"/>
    <n v="42.2"/>
    <n v="84.4"/>
    <x v="49"/>
    <d v="2025-02-20T00:00:00"/>
    <s v="F"/>
    <x v="1"/>
    <x v="1"/>
    <x v="0"/>
    <x v="23"/>
    <x v="3"/>
    <x v="7"/>
    <x v="2"/>
  </r>
  <r>
    <s v="TX501302"/>
    <x v="13"/>
    <x v="2"/>
    <n v="20.5"/>
    <n v="61.5"/>
    <x v="49"/>
    <d v="2025-02-20T00:00:00"/>
    <s v="M"/>
    <x v="0"/>
    <x v="1"/>
    <x v="0"/>
    <x v="6"/>
    <x v="3"/>
    <x v="7"/>
    <x v="1"/>
  </r>
  <r>
    <s v="TX501303"/>
    <x v="2"/>
    <x v="0"/>
    <n v="190.4"/>
    <n v="190.4"/>
    <x v="49"/>
    <d v="2025-02-24T00:00:00"/>
    <s v="M"/>
    <x v="1"/>
    <x v="4"/>
    <x v="0"/>
    <x v="6"/>
    <x v="0"/>
    <x v="7"/>
    <x v="1"/>
  </r>
  <r>
    <s v="TX501304"/>
    <x v="2"/>
    <x v="0"/>
    <n v="121.9"/>
    <n v="121.9"/>
    <x v="49"/>
    <d v="2025-02-21T00:00:00"/>
    <s v="F"/>
    <x v="1"/>
    <x v="2"/>
    <x v="0"/>
    <x v="6"/>
    <x v="1"/>
    <x v="7"/>
    <x v="2"/>
  </r>
  <r>
    <s v="TX501305"/>
    <x v="2"/>
    <x v="13"/>
    <n v="149.19999999999999"/>
    <n v="895.19999999999993"/>
    <x v="49"/>
    <d v="2025-02-20T00:00:00"/>
    <s v="F"/>
    <x v="2"/>
    <x v="2"/>
    <x v="0"/>
    <x v="7"/>
    <x v="3"/>
    <x v="7"/>
    <x v="2"/>
  </r>
  <r>
    <s v="TX501306"/>
    <x v="2"/>
    <x v="0"/>
    <n v="54.1"/>
    <n v="54.1"/>
    <x v="49"/>
    <d v="2025-02-28T00:00:00"/>
    <s v="F"/>
    <x v="2"/>
    <x v="2"/>
    <x v="0"/>
    <x v="7"/>
    <x v="8"/>
    <x v="7"/>
    <x v="2"/>
  </r>
  <r>
    <s v="TX501307"/>
    <x v="5"/>
    <x v="1"/>
    <n v="27.4"/>
    <n v="54.8"/>
    <x v="49"/>
    <d v="2025-02-21T00:00:00"/>
    <s v="M"/>
    <x v="1"/>
    <x v="0"/>
    <x v="0"/>
    <x v="8"/>
    <x v="1"/>
    <x v="7"/>
    <x v="1"/>
  </r>
  <r>
    <s v="TX501308"/>
    <x v="0"/>
    <x v="15"/>
    <n v="30.4"/>
    <n v="395.2"/>
    <x v="49"/>
    <d v="2025-02-20T00:00:00"/>
    <s v="F"/>
    <x v="0"/>
    <x v="2"/>
    <x v="0"/>
    <x v="8"/>
    <x v="3"/>
    <x v="7"/>
    <x v="2"/>
  </r>
  <r>
    <s v="TX501309"/>
    <x v="12"/>
    <x v="2"/>
    <n v="46.2"/>
    <n v="138.60000000000002"/>
    <x v="49"/>
    <d v="2025-02-21T00:00:00"/>
    <s v="M"/>
    <x v="2"/>
    <x v="1"/>
    <x v="0"/>
    <x v="17"/>
    <x v="1"/>
    <x v="7"/>
    <x v="1"/>
  </r>
  <r>
    <s v="TX501310"/>
    <x v="7"/>
    <x v="8"/>
    <n v="78.599999999999994"/>
    <n v="628.79999999999995"/>
    <x v="49"/>
    <d v="2025-02-23T00:00:00"/>
    <s v="M"/>
    <x v="3"/>
    <x v="0"/>
    <x v="0"/>
    <x v="17"/>
    <x v="5"/>
    <x v="7"/>
    <x v="1"/>
  </r>
  <r>
    <s v="TX501311"/>
    <x v="17"/>
    <x v="7"/>
    <n v="25.9"/>
    <n v="259"/>
    <x v="49"/>
    <d v="2025-02-25T00:00:00"/>
    <s v="M"/>
    <x v="4"/>
    <x v="0"/>
    <x v="0"/>
    <x v="9"/>
    <x v="4"/>
    <x v="7"/>
    <x v="1"/>
  </r>
  <r>
    <s v="TX501312"/>
    <x v="6"/>
    <x v="0"/>
    <n v="134.80000000000001"/>
    <n v="134.80000000000001"/>
    <x v="49"/>
    <d v="2025-02-21T00:00:00"/>
    <s v="M"/>
    <x v="2"/>
    <x v="2"/>
    <x v="0"/>
    <x v="9"/>
    <x v="1"/>
    <x v="7"/>
    <x v="1"/>
  </r>
  <r>
    <s v="TX501313"/>
    <x v="15"/>
    <x v="9"/>
    <n v="43.1"/>
    <n v="215.5"/>
    <x v="49"/>
    <d v="2025-02-21T00:00:00"/>
    <s v="F"/>
    <x v="0"/>
    <x v="0"/>
    <x v="0"/>
    <x v="11"/>
    <x v="1"/>
    <x v="7"/>
    <x v="2"/>
  </r>
  <r>
    <s v="TX501314"/>
    <x v="2"/>
    <x v="1"/>
    <n v="215.6"/>
    <n v="431.2"/>
    <x v="49"/>
    <d v="2025-02-20T00:00:00"/>
    <s v="F"/>
    <x v="2"/>
    <x v="0"/>
    <x v="0"/>
    <x v="18"/>
    <x v="3"/>
    <x v="7"/>
    <x v="2"/>
  </r>
  <r>
    <s v="TX501315"/>
    <x v="6"/>
    <x v="1"/>
    <n v="80.7"/>
    <n v="161.4"/>
    <x v="49"/>
    <d v="2025-02-22T00:00:00"/>
    <s v="F"/>
    <x v="3"/>
    <x v="0"/>
    <x v="0"/>
    <x v="18"/>
    <x v="2"/>
    <x v="7"/>
    <x v="2"/>
  </r>
  <r>
    <s v="TX501316"/>
    <x v="10"/>
    <x v="3"/>
    <n v="20.6"/>
    <n v="144.20000000000002"/>
    <x v="49"/>
    <d v="2025-02-24T00:00:00"/>
    <m/>
    <x v="2"/>
    <x v="1"/>
    <x v="0"/>
    <x v="19"/>
    <x v="0"/>
    <x v="7"/>
    <x v="0"/>
  </r>
  <r>
    <s v="TX501317"/>
    <x v="12"/>
    <x v="2"/>
    <n v="37.1"/>
    <n v="111.30000000000001"/>
    <x v="49"/>
    <d v="2025-02-20T00:00:00"/>
    <s v="F"/>
    <x v="0"/>
    <x v="0"/>
    <x v="0"/>
    <x v="52"/>
    <x v="3"/>
    <x v="7"/>
    <x v="2"/>
  </r>
  <r>
    <s v="TX501318"/>
    <x v="12"/>
    <x v="0"/>
    <n v="104.8"/>
    <n v="104.8"/>
    <x v="50"/>
    <d v="2025-02-22T00:00:00"/>
    <s v="F"/>
    <x v="0"/>
    <x v="0"/>
    <x v="0"/>
    <x v="13"/>
    <x v="1"/>
    <x v="7"/>
    <x v="2"/>
  </r>
  <r>
    <s v="TX501319"/>
    <x v="8"/>
    <x v="1"/>
    <n v="59"/>
    <n v="118"/>
    <x v="50"/>
    <d v="2025-02-21T00:00:00"/>
    <s v="M"/>
    <x v="1"/>
    <x v="0"/>
    <x v="0"/>
    <x v="21"/>
    <x v="3"/>
    <x v="7"/>
    <x v="1"/>
  </r>
  <r>
    <s v="TX501320"/>
    <x v="8"/>
    <x v="1"/>
    <n v="32.299999999999997"/>
    <n v="64.599999999999994"/>
    <x v="50"/>
    <d v="2025-02-21T00:00:00"/>
    <s v="M"/>
    <x v="0"/>
    <x v="2"/>
    <x v="0"/>
    <x v="21"/>
    <x v="3"/>
    <x v="7"/>
    <x v="1"/>
  </r>
  <r>
    <s v="TX501321"/>
    <x v="8"/>
    <x v="12"/>
    <n v="28.9"/>
    <n v="115.6"/>
    <x v="50"/>
    <d v="2025-02-27T00:00:00"/>
    <s v="M"/>
    <x v="0"/>
    <x v="0"/>
    <x v="0"/>
    <x v="1"/>
    <x v="6"/>
    <x v="7"/>
    <x v="1"/>
  </r>
  <r>
    <s v="TX501322"/>
    <x v="0"/>
    <x v="1"/>
    <n v="29.6"/>
    <n v="59.2"/>
    <x v="50"/>
    <d v="2025-02-22T00:00:00"/>
    <s v="M"/>
    <x v="0"/>
    <x v="0"/>
    <x v="0"/>
    <x v="1"/>
    <x v="1"/>
    <x v="7"/>
    <x v="1"/>
  </r>
  <r>
    <s v="TX501323"/>
    <x v="0"/>
    <x v="9"/>
    <n v="29.4"/>
    <n v="147"/>
    <x v="50"/>
    <d v="2025-02-23T00:00:00"/>
    <s v="F"/>
    <x v="0"/>
    <x v="0"/>
    <x v="0"/>
    <x v="1"/>
    <x v="2"/>
    <x v="7"/>
    <x v="2"/>
  </r>
  <r>
    <s v="TX501324"/>
    <x v="1"/>
    <x v="1"/>
    <n v="40.6"/>
    <n v="81.2"/>
    <x v="50"/>
    <d v="2025-02-21T00:00:00"/>
    <s v="M"/>
    <x v="0"/>
    <x v="4"/>
    <x v="0"/>
    <x v="2"/>
    <x v="3"/>
    <x v="7"/>
    <x v="1"/>
  </r>
  <r>
    <s v="TX501325"/>
    <x v="0"/>
    <x v="2"/>
    <n v="32.5"/>
    <n v="97.5"/>
    <x v="50"/>
    <d v="2025-02-21T00:00:00"/>
    <s v="M"/>
    <x v="3"/>
    <x v="2"/>
    <x v="0"/>
    <x v="22"/>
    <x v="3"/>
    <x v="7"/>
    <x v="1"/>
  </r>
  <r>
    <s v="TX501326"/>
    <x v="15"/>
    <x v="0"/>
    <n v="26.2"/>
    <n v="26.2"/>
    <x v="50"/>
    <d v="2025-02-22T00:00:00"/>
    <s v="M"/>
    <x v="2"/>
    <x v="0"/>
    <x v="0"/>
    <x v="55"/>
    <x v="1"/>
    <x v="7"/>
    <x v="1"/>
  </r>
  <r>
    <s v="TX501327"/>
    <x v="10"/>
    <x v="17"/>
    <n v="44"/>
    <n v="1320"/>
    <x v="50"/>
    <d v="2025-02-26T00:00:00"/>
    <s v="M"/>
    <x v="4"/>
    <x v="0"/>
    <x v="0"/>
    <x v="3"/>
    <x v="4"/>
    <x v="7"/>
    <x v="1"/>
  </r>
  <r>
    <s v="TX501328"/>
    <x v="7"/>
    <x v="12"/>
    <n v="65.599999999999994"/>
    <n v="262.39999999999998"/>
    <x v="50"/>
    <d v="2025-02-21T00:00:00"/>
    <s v="F"/>
    <x v="1"/>
    <x v="1"/>
    <x v="0"/>
    <x v="3"/>
    <x v="3"/>
    <x v="7"/>
    <x v="2"/>
  </r>
  <r>
    <s v="TX501329"/>
    <x v="5"/>
    <x v="4"/>
    <n v="32.6"/>
    <n v="391.20000000000005"/>
    <x v="50"/>
    <d v="2025-02-21T00:00:00"/>
    <s v="M"/>
    <x v="4"/>
    <x v="0"/>
    <x v="0"/>
    <x v="3"/>
    <x v="3"/>
    <x v="7"/>
    <x v="1"/>
  </r>
  <r>
    <s v="TX501330"/>
    <x v="16"/>
    <x v="1"/>
    <n v="88.7"/>
    <n v="177.4"/>
    <x v="50"/>
    <d v="2025-02-21T00:00:00"/>
    <m/>
    <x v="3"/>
    <x v="2"/>
    <x v="0"/>
    <x v="3"/>
    <x v="3"/>
    <x v="7"/>
    <x v="0"/>
  </r>
  <r>
    <s v="TX501331"/>
    <x v="4"/>
    <x v="1"/>
    <n v="21.3"/>
    <n v="42.6"/>
    <x v="50"/>
    <d v="2025-02-21T00:00:00"/>
    <s v="M"/>
    <x v="0"/>
    <x v="0"/>
    <x v="0"/>
    <x v="3"/>
    <x v="3"/>
    <x v="7"/>
    <x v="1"/>
  </r>
  <r>
    <s v="TX501332"/>
    <x v="4"/>
    <x v="13"/>
    <n v="50.6"/>
    <n v="303.60000000000002"/>
    <x v="50"/>
    <d v="2025-02-24T00:00:00"/>
    <s v="F"/>
    <x v="2"/>
    <x v="0"/>
    <x v="0"/>
    <x v="3"/>
    <x v="5"/>
    <x v="7"/>
    <x v="2"/>
  </r>
  <r>
    <s v="TX501333"/>
    <x v="9"/>
    <x v="38"/>
    <n v="86.9"/>
    <n v="1824.9"/>
    <x v="50"/>
    <d v="2025-02-23T00:00:00"/>
    <s v="F"/>
    <x v="0"/>
    <x v="1"/>
    <x v="0"/>
    <x v="3"/>
    <x v="2"/>
    <x v="7"/>
    <x v="2"/>
  </r>
  <r>
    <s v="TX501334"/>
    <x v="11"/>
    <x v="2"/>
    <n v="31.8"/>
    <n v="95.4"/>
    <x v="50"/>
    <d v="2025-02-22T00:00:00"/>
    <s v="M"/>
    <x v="0"/>
    <x v="2"/>
    <x v="0"/>
    <x v="3"/>
    <x v="1"/>
    <x v="7"/>
    <x v="1"/>
  </r>
  <r>
    <s v="TX501335"/>
    <x v="8"/>
    <x v="0"/>
    <n v="19"/>
    <n v="19"/>
    <x v="50"/>
    <d v="2025-02-21T00:00:00"/>
    <s v="F"/>
    <x v="0"/>
    <x v="2"/>
    <x v="0"/>
    <x v="3"/>
    <x v="3"/>
    <x v="7"/>
    <x v="2"/>
  </r>
  <r>
    <s v="TX501336"/>
    <x v="5"/>
    <x v="0"/>
    <n v="54.5"/>
    <n v="54.5"/>
    <x v="50"/>
    <d v="2025-02-22T00:00:00"/>
    <s v="M"/>
    <x v="0"/>
    <x v="0"/>
    <x v="0"/>
    <x v="3"/>
    <x v="1"/>
    <x v="7"/>
    <x v="1"/>
  </r>
  <r>
    <s v="TX501337"/>
    <x v="9"/>
    <x v="9"/>
    <n v="68.900000000000006"/>
    <n v="344.5"/>
    <x v="50"/>
    <d v="2025-02-22T00:00:00"/>
    <s v="M"/>
    <x v="4"/>
    <x v="1"/>
    <x v="0"/>
    <x v="3"/>
    <x v="1"/>
    <x v="7"/>
    <x v="1"/>
  </r>
  <r>
    <s v="TX501338"/>
    <x v="6"/>
    <x v="2"/>
    <n v="84"/>
    <n v="252"/>
    <x v="50"/>
    <d v="2025-02-21T00:00:00"/>
    <s v="M"/>
    <x v="1"/>
    <x v="4"/>
    <x v="0"/>
    <x v="16"/>
    <x v="3"/>
    <x v="7"/>
    <x v="1"/>
  </r>
  <r>
    <s v="TX501339"/>
    <x v="15"/>
    <x v="8"/>
    <n v="23.1"/>
    <n v="184.8"/>
    <x v="50"/>
    <d v="2025-02-25T00:00:00"/>
    <s v="M"/>
    <x v="0"/>
    <x v="2"/>
    <x v="0"/>
    <x v="23"/>
    <x v="0"/>
    <x v="7"/>
    <x v="1"/>
  </r>
  <r>
    <s v="TX501340"/>
    <x v="7"/>
    <x v="1"/>
    <n v="62.4"/>
    <n v="124.8"/>
    <x v="50"/>
    <d v="2025-02-21T00:00:00"/>
    <s v="F"/>
    <x v="0"/>
    <x v="1"/>
    <x v="0"/>
    <x v="6"/>
    <x v="3"/>
    <x v="7"/>
    <x v="2"/>
  </r>
  <r>
    <s v="TX501341"/>
    <x v="6"/>
    <x v="4"/>
    <n v="40.700000000000003"/>
    <n v="488.40000000000003"/>
    <x v="50"/>
    <d v="2025-02-22T00:00:00"/>
    <s v="M"/>
    <x v="1"/>
    <x v="2"/>
    <x v="0"/>
    <x v="6"/>
    <x v="1"/>
    <x v="7"/>
    <x v="1"/>
  </r>
  <r>
    <s v="TX501342"/>
    <x v="6"/>
    <x v="0"/>
    <n v="49.6"/>
    <n v="49.6"/>
    <x v="50"/>
    <d v="2025-02-23T00:00:00"/>
    <s v="M"/>
    <x v="2"/>
    <x v="0"/>
    <x v="0"/>
    <x v="7"/>
    <x v="2"/>
    <x v="7"/>
    <x v="1"/>
  </r>
  <r>
    <s v="TX501343"/>
    <x v="7"/>
    <x v="41"/>
    <n v="66.599999999999994"/>
    <n v="2996.9999999999995"/>
    <x v="50"/>
    <d v="2025-02-23T00:00:00"/>
    <s v="M"/>
    <x v="2"/>
    <x v="0"/>
    <x v="0"/>
    <x v="8"/>
    <x v="2"/>
    <x v="7"/>
    <x v="1"/>
  </r>
  <r>
    <s v="TX501344"/>
    <x v="8"/>
    <x v="2"/>
    <n v="26.4"/>
    <n v="79.199999999999989"/>
    <x v="50"/>
    <d v="2025-02-21T00:00:00"/>
    <s v="F"/>
    <x v="1"/>
    <x v="1"/>
    <x v="0"/>
    <x v="8"/>
    <x v="3"/>
    <x v="7"/>
    <x v="2"/>
  </r>
  <r>
    <s v="TX501345"/>
    <x v="0"/>
    <x v="1"/>
    <n v="17.2"/>
    <n v="34.4"/>
    <x v="50"/>
    <d v="2025-02-23T00:00:00"/>
    <s v="M"/>
    <x v="2"/>
    <x v="1"/>
    <x v="0"/>
    <x v="8"/>
    <x v="2"/>
    <x v="7"/>
    <x v="1"/>
  </r>
  <r>
    <s v="TX501346"/>
    <x v="5"/>
    <x v="8"/>
    <n v="58.1"/>
    <n v="464.8"/>
    <x v="50"/>
    <d v="2025-02-23T00:00:00"/>
    <s v="F"/>
    <x v="4"/>
    <x v="0"/>
    <x v="0"/>
    <x v="8"/>
    <x v="2"/>
    <x v="7"/>
    <x v="2"/>
  </r>
  <r>
    <s v="TX501347"/>
    <x v="15"/>
    <x v="12"/>
    <n v="31.5"/>
    <n v="126"/>
    <x v="50"/>
    <d v="2025-02-23T00:00:00"/>
    <s v="F"/>
    <x v="4"/>
    <x v="4"/>
    <x v="0"/>
    <x v="8"/>
    <x v="2"/>
    <x v="7"/>
    <x v="2"/>
  </r>
  <r>
    <s v="TX501348"/>
    <x v="0"/>
    <x v="0"/>
    <n v="27.1"/>
    <n v="27.1"/>
    <x v="50"/>
    <d v="2025-02-22T00:00:00"/>
    <s v="F"/>
    <x v="0"/>
    <x v="1"/>
    <x v="0"/>
    <x v="17"/>
    <x v="1"/>
    <x v="7"/>
    <x v="2"/>
  </r>
  <r>
    <s v="TX501349"/>
    <x v="18"/>
    <x v="12"/>
    <n v="28.5"/>
    <n v="114"/>
    <x v="50"/>
    <d v="2025-02-22T00:00:00"/>
    <s v="M"/>
    <x v="1"/>
    <x v="2"/>
    <x v="0"/>
    <x v="9"/>
    <x v="1"/>
    <x v="7"/>
    <x v="1"/>
  </r>
  <r>
    <s v="TX501350"/>
    <x v="10"/>
    <x v="0"/>
    <n v="40.5"/>
    <n v="40.5"/>
    <x v="51"/>
    <d v="2025-02-23T00:00:00"/>
    <s v="O"/>
    <x v="2"/>
    <x v="0"/>
    <x v="0"/>
    <x v="9"/>
    <x v="1"/>
    <x v="7"/>
    <x v="3"/>
  </r>
  <r>
    <s v="TX501351"/>
    <x v="2"/>
    <x v="2"/>
    <n v="77.900000000000006"/>
    <n v="233.70000000000002"/>
    <x v="51"/>
    <d v="2025-02-25T00:00:00"/>
    <s v="F"/>
    <x v="1"/>
    <x v="2"/>
    <x v="0"/>
    <x v="19"/>
    <x v="5"/>
    <x v="7"/>
    <x v="2"/>
  </r>
  <r>
    <s v="TX501352"/>
    <x v="18"/>
    <x v="12"/>
    <n v="37.1"/>
    <n v="148.4"/>
    <x v="51"/>
    <d v="2025-02-23T00:00:00"/>
    <s v="M"/>
    <x v="4"/>
    <x v="2"/>
    <x v="0"/>
    <x v="19"/>
    <x v="1"/>
    <x v="7"/>
    <x v="1"/>
  </r>
  <r>
    <s v="TX501353"/>
    <x v="16"/>
    <x v="2"/>
    <n v="51.6"/>
    <n v="154.80000000000001"/>
    <x v="51"/>
    <d v="2025-03-01T00:00:00"/>
    <s v="F"/>
    <x v="0"/>
    <x v="4"/>
    <x v="0"/>
    <x v="19"/>
    <x v="9"/>
    <x v="7"/>
    <x v="2"/>
  </r>
  <r>
    <s v="TX501354"/>
    <x v="7"/>
    <x v="2"/>
    <n v="98"/>
    <n v="294"/>
    <x v="51"/>
    <d v="2025-02-22T00:00:00"/>
    <s v="M"/>
    <x v="1"/>
    <x v="1"/>
    <x v="0"/>
    <x v="19"/>
    <x v="3"/>
    <x v="7"/>
    <x v="1"/>
  </r>
  <r>
    <s v="TX501355"/>
    <x v="6"/>
    <x v="3"/>
    <n v="41.4"/>
    <n v="289.8"/>
    <x v="51"/>
    <d v="2025-02-22T00:00:00"/>
    <s v="M"/>
    <x v="1"/>
    <x v="0"/>
    <x v="0"/>
    <x v="20"/>
    <x v="3"/>
    <x v="7"/>
    <x v="1"/>
  </r>
  <r>
    <s v="TX501356"/>
    <x v="11"/>
    <x v="8"/>
    <n v="34"/>
    <n v="272"/>
    <x v="51"/>
    <d v="2025-02-26T00:00:00"/>
    <s v="F"/>
    <x v="0"/>
    <x v="2"/>
    <x v="0"/>
    <x v="52"/>
    <x v="0"/>
    <x v="7"/>
    <x v="2"/>
  </r>
  <r>
    <s v="TX501357"/>
    <x v="6"/>
    <x v="0"/>
    <n v="66.3"/>
    <n v="66.3"/>
    <x v="51"/>
    <d v="2025-02-22T00:00:00"/>
    <s v="F"/>
    <x v="1"/>
    <x v="0"/>
    <x v="0"/>
    <x v="13"/>
    <x v="3"/>
    <x v="7"/>
    <x v="2"/>
  </r>
  <r>
    <s v="TX501358"/>
    <x v="7"/>
    <x v="0"/>
    <n v="33.5"/>
    <n v="33.5"/>
    <x v="51"/>
    <d v="2025-02-25T00:00:00"/>
    <s v="M"/>
    <x v="2"/>
    <x v="0"/>
    <x v="0"/>
    <x v="13"/>
    <x v="5"/>
    <x v="7"/>
    <x v="1"/>
  </r>
  <r>
    <s v="TX501359"/>
    <x v="12"/>
    <x v="1"/>
    <n v="70.8"/>
    <n v="141.6"/>
    <x v="51"/>
    <d v="2025-02-22T00:00:00"/>
    <m/>
    <x v="0"/>
    <x v="0"/>
    <x v="0"/>
    <x v="28"/>
    <x v="3"/>
    <x v="7"/>
    <x v="0"/>
  </r>
  <r>
    <s v="TX501360"/>
    <x v="6"/>
    <x v="1"/>
    <n v="127.6"/>
    <n v="255.2"/>
    <x v="51"/>
    <d v="2025-02-22T00:00:00"/>
    <s v="M"/>
    <x v="0"/>
    <x v="0"/>
    <x v="0"/>
    <x v="21"/>
    <x v="3"/>
    <x v="7"/>
    <x v="1"/>
  </r>
  <r>
    <s v="TX501361"/>
    <x v="6"/>
    <x v="2"/>
    <n v="95.9"/>
    <n v="287.70000000000005"/>
    <x v="51"/>
    <d v="2025-02-22T00:00:00"/>
    <s v="F"/>
    <x v="1"/>
    <x v="1"/>
    <x v="0"/>
    <x v="21"/>
    <x v="3"/>
    <x v="7"/>
    <x v="2"/>
  </r>
  <r>
    <s v="TX501362"/>
    <x v="2"/>
    <x v="1"/>
    <n v="78.099999999999994"/>
    <n v="156.19999999999999"/>
    <x v="51"/>
    <d v="2025-02-22T00:00:00"/>
    <s v="M"/>
    <x v="0"/>
    <x v="0"/>
    <x v="0"/>
    <x v="1"/>
    <x v="3"/>
    <x v="7"/>
    <x v="1"/>
  </r>
  <r>
    <s v="TX501363"/>
    <x v="13"/>
    <x v="1"/>
    <n v="43.2"/>
    <n v="86.4"/>
    <x v="51"/>
    <d v="2025-02-22T00:00:00"/>
    <m/>
    <x v="1"/>
    <x v="1"/>
    <x v="0"/>
    <x v="1"/>
    <x v="3"/>
    <x v="7"/>
    <x v="0"/>
  </r>
  <r>
    <s v="TX501364"/>
    <x v="8"/>
    <x v="12"/>
    <n v="28.4"/>
    <n v="113.6"/>
    <x v="51"/>
    <d v="2025-02-27T00:00:00"/>
    <s v="M"/>
    <x v="2"/>
    <x v="0"/>
    <x v="0"/>
    <x v="3"/>
    <x v="4"/>
    <x v="7"/>
    <x v="1"/>
  </r>
  <r>
    <s v="TX501365"/>
    <x v="2"/>
    <x v="1"/>
    <n v="81.7"/>
    <n v="163.4"/>
    <x v="51"/>
    <d v="2025-02-21T00:00:00"/>
    <s v="M"/>
    <x v="0"/>
    <x v="0"/>
    <x v="0"/>
    <x v="3"/>
    <x v="7"/>
    <x v="7"/>
    <x v="1"/>
  </r>
  <r>
    <s v="TX501366"/>
    <x v="18"/>
    <x v="1"/>
    <n v="56.7"/>
    <n v="113.4"/>
    <x v="51"/>
    <d v="2025-02-23T00:00:00"/>
    <m/>
    <x v="0"/>
    <x v="2"/>
    <x v="0"/>
    <x v="3"/>
    <x v="1"/>
    <x v="7"/>
    <x v="0"/>
  </r>
  <r>
    <s v="TX501367"/>
    <x v="3"/>
    <x v="12"/>
    <n v="66.5"/>
    <n v="266"/>
    <x v="51"/>
    <d v="2025-02-21T00:00:00"/>
    <s v="F"/>
    <x v="0"/>
    <x v="2"/>
    <x v="0"/>
    <x v="3"/>
    <x v="7"/>
    <x v="7"/>
    <x v="2"/>
  </r>
  <r>
    <s v="TX501368"/>
    <x v="1"/>
    <x v="1"/>
    <n v="105.3"/>
    <n v="210.6"/>
    <x v="51"/>
    <d v="2025-02-25T00:00:00"/>
    <s v="M"/>
    <x v="0"/>
    <x v="1"/>
    <x v="0"/>
    <x v="3"/>
    <x v="5"/>
    <x v="7"/>
    <x v="1"/>
  </r>
  <r>
    <s v="TX501369"/>
    <x v="10"/>
    <x v="9"/>
    <n v="33.799999999999997"/>
    <n v="169"/>
    <x v="51"/>
    <d v="2025-02-26T00:00:00"/>
    <s v="M"/>
    <x v="0"/>
    <x v="0"/>
    <x v="0"/>
    <x v="3"/>
    <x v="0"/>
    <x v="7"/>
    <x v="1"/>
  </r>
  <r>
    <s v="TX501370"/>
    <x v="6"/>
    <x v="2"/>
    <n v="63.4"/>
    <n v="190.2"/>
    <x v="51"/>
    <d v="2025-02-26T00:00:00"/>
    <s v="M"/>
    <x v="3"/>
    <x v="1"/>
    <x v="0"/>
    <x v="24"/>
    <x v="0"/>
    <x v="7"/>
    <x v="1"/>
  </r>
  <r>
    <s v="TX501371"/>
    <x v="6"/>
    <x v="2"/>
    <n v="49"/>
    <n v="147"/>
    <x v="51"/>
    <d v="2025-02-25T00:00:00"/>
    <s v="M"/>
    <x v="3"/>
    <x v="0"/>
    <x v="0"/>
    <x v="49"/>
    <x v="5"/>
    <x v="7"/>
    <x v="1"/>
  </r>
  <r>
    <s v="TX501372"/>
    <x v="1"/>
    <x v="1"/>
    <n v="40"/>
    <n v="80"/>
    <x v="51"/>
    <d v="2025-02-22T00:00:00"/>
    <s v="F"/>
    <x v="4"/>
    <x v="1"/>
    <x v="0"/>
    <x v="23"/>
    <x v="3"/>
    <x v="7"/>
    <x v="2"/>
  </r>
  <r>
    <s v="TX501373"/>
    <x v="6"/>
    <x v="12"/>
    <n v="86.3"/>
    <n v="345.2"/>
    <x v="51"/>
    <d v="2025-02-22T00:00:00"/>
    <s v="O"/>
    <x v="0"/>
    <x v="0"/>
    <x v="0"/>
    <x v="6"/>
    <x v="3"/>
    <x v="7"/>
    <x v="3"/>
  </r>
  <r>
    <s v="TX501374"/>
    <x v="6"/>
    <x v="0"/>
    <n v="51.6"/>
    <n v="51.6"/>
    <x v="51"/>
    <d v="2025-02-23T00:00:00"/>
    <s v="F"/>
    <x v="2"/>
    <x v="2"/>
    <x v="0"/>
    <x v="6"/>
    <x v="1"/>
    <x v="7"/>
    <x v="2"/>
  </r>
  <r>
    <s v="TX501375"/>
    <x v="10"/>
    <x v="2"/>
    <n v="26.7"/>
    <n v="80.099999999999994"/>
    <x v="51"/>
    <d v="2025-02-26T00:00:00"/>
    <s v="F"/>
    <x v="2"/>
    <x v="1"/>
    <x v="0"/>
    <x v="6"/>
    <x v="0"/>
    <x v="7"/>
    <x v="2"/>
  </r>
  <r>
    <s v="TX501376"/>
    <x v="18"/>
    <x v="1"/>
    <n v="68.099999999999994"/>
    <n v="136.19999999999999"/>
    <x v="51"/>
    <d v="2025-02-22T00:00:00"/>
    <s v="M"/>
    <x v="0"/>
    <x v="1"/>
    <x v="0"/>
    <x v="6"/>
    <x v="3"/>
    <x v="7"/>
    <x v="1"/>
  </r>
  <r>
    <s v="TX501377"/>
    <x v="1"/>
    <x v="0"/>
    <n v="81.7"/>
    <n v="81.7"/>
    <x v="51"/>
    <d v="2025-02-22T00:00:00"/>
    <s v="M"/>
    <x v="0"/>
    <x v="0"/>
    <x v="0"/>
    <x v="7"/>
    <x v="3"/>
    <x v="7"/>
    <x v="1"/>
  </r>
  <r>
    <s v="TX501378"/>
    <x v="18"/>
    <x v="7"/>
    <n v="25.1"/>
    <n v="251"/>
    <x v="51"/>
    <d v="2025-02-24T00:00:00"/>
    <s v="M"/>
    <x v="3"/>
    <x v="1"/>
    <x v="0"/>
    <x v="8"/>
    <x v="2"/>
    <x v="7"/>
    <x v="1"/>
  </r>
  <r>
    <s v="TX501379"/>
    <x v="8"/>
    <x v="0"/>
    <n v="20.2"/>
    <n v="20.2"/>
    <x v="51"/>
    <d v="2025-02-25T00:00:00"/>
    <s v="F"/>
    <x v="0"/>
    <x v="0"/>
    <x v="0"/>
    <x v="8"/>
    <x v="5"/>
    <x v="7"/>
    <x v="2"/>
  </r>
  <r>
    <s v="TX501380"/>
    <x v="8"/>
    <x v="2"/>
    <n v="15.4"/>
    <n v="46.2"/>
    <x v="51"/>
    <d v="2025-02-22T00:00:00"/>
    <s v="M"/>
    <x v="1"/>
    <x v="2"/>
    <x v="0"/>
    <x v="8"/>
    <x v="3"/>
    <x v="7"/>
    <x v="1"/>
  </r>
  <r>
    <s v="TX501381"/>
    <x v="10"/>
    <x v="0"/>
    <n v="59.2"/>
    <n v="59.2"/>
    <x v="51"/>
    <d v="2025-02-22T00:00:00"/>
    <s v="M"/>
    <x v="2"/>
    <x v="2"/>
    <x v="0"/>
    <x v="17"/>
    <x v="3"/>
    <x v="7"/>
    <x v="1"/>
  </r>
  <r>
    <s v="TX501382"/>
    <x v="0"/>
    <x v="0"/>
    <n v="46.7"/>
    <n v="46.7"/>
    <x v="51"/>
    <d v="2025-02-26T00:00:00"/>
    <s v="M"/>
    <x v="0"/>
    <x v="0"/>
    <x v="0"/>
    <x v="17"/>
    <x v="0"/>
    <x v="7"/>
    <x v="1"/>
  </r>
  <r>
    <s v="TX501383"/>
    <x v="6"/>
    <x v="20"/>
    <n v="41.6"/>
    <n v="624"/>
    <x v="51"/>
    <d v="2025-02-23T00:00:00"/>
    <s v="M"/>
    <x v="1"/>
    <x v="0"/>
    <x v="0"/>
    <x v="26"/>
    <x v="1"/>
    <x v="7"/>
    <x v="1"/>
  </r>
  <r>
    <s v="TX501384"/>
    <x v="8"/>
    <x v="1"/>
    <n v="19.2"/>
    <n v="38.4"/>
    <x v="51"/>
    <d v="2025-02-24T00:00:00"/>
    <s v="M"/>
    <x v="4"/>
    <x v="2"/>
    <x v="0"/>
    <x v="9"/>
    <x v="2"/>
    <x v="7"/>
    <x v="1"/>
  </r>
  <r>
    <s v="TX501385"/>
    <x v="17"/>
    <x v="3"/>
    <n v="41.8"/>
    <n v="292.59999999999997"/>
    <x v="51"/>
    <d v="2025-02-23T00:00:00"/>
    <s v="F"/>
    <x v="2"/>
    <x v="0"/>
    <x v="0"/>
    <x v="11"/>
    <x v="1"/>
    <x v="7"/>
    <x v="2"/>
  </r>
  <r>
    <s v="TX501386"/>
    <x v="8"/>
    <x v="13"/>
    <n v="37.4"/>
    <n v="224.39999999999998"/>
    <x v="51"/>
    <d v="2025-02-23T00:00:00"/>
    <s v="M"/>
    <x v="0"/>
    <x v="2"/>
    <x v="0"/>
    <x v="11"/>
    <x v="1"/>
    <x v="7"/>
    <x v="1"/>
  </r>
  <r>
    <s v="TX501387"/>
    <x v="10"/>
    <x v="2"/>
    <n v="60.2"/>
    <n v="180.60000000000002"/>
    <x v="51"/>
    <d v="2025-02-24T00:00:00"/>
    <s v="M"/>
    <x v="4"/>
    <x v="1"/>
    <x v="0"/>
    <x v="38"/>
    <x v="2"/>
    <x v="7"/>
    <x v="1"/>
  </r>
  <r>
    <s v="TX501388"/>
    <x v="9"/>
    <x v="1"/>
    <n v="91.5"/>
    <n v="183"/>
    <x v="52"/>
    <d v="2025-02-23T00:00:00"/>
    <s v="M"/>
    <x v="0"/>
    <x v="0"/>
    <x v="0"/>
    <x v="13"/>
    <x v="3"/>
    <x v="7"/>
    <x v="1"/>
  </r>
  <r>
    <s v="TX501389"/>
    <x v="3"/>
    <x v="9"/>
    <n v="55.7"/>
    <n v="278.5"/>
    <x v="52"/>
    <d v="2025-02-24T00:00:00"/>
    <m/>
    <x v="1"/>
    <x v="2"/>
    <x v="0"/>
    <x v="21"/>
    <x v="1"/>
    <x v="7"/>
    <x v="0"/>
  </r>
  <r>
    <s v="TX501390"/>
    <x v="7"/>
    <x v="1"/>
    <n v="76.7"/>
    <n v="153.4"/>
    <x v="52"/>
    <d v="2025-02-24T00:00:00"/>
    <s v="M"/>
    <x v="0"/>
    <x v="1"/>
    <x v="0"/>
    <x v="21"/>
    <x v="1"/>
    <x v="7"/>
    <x v="1"/>
  </r>
  <r>
    <s v="TX501391"/>
    <x v="8"/>
    <x v="38"/>
    <n v="28.2"/>
    <n v="592.19999999999993"/>
    <x v="52"/>
    <d v="2025-02-27T00:00:00"/>
    <s v="M"/>
    <x v="2"/>
    <x v="0"/>
    <x v="0"/>
    <x v="1"/>
    <x v="0"/>
    <x v="7"/>
    <x v="1"/>
  </r>
  <r>
    <s v="TX501392"/>
    <x v="7"/>
    <x v="9"/>
    <n v="93.2"/>
    <n v="466"/>
    <x v="52"/>
    <d v="2025-02-24T00:00:00"/>
    <s v="F"/>
    <x v="4"/>
    <x v="2"/>
    <x v="0"/>
    <x v="1"/>
    <x v="1"/>
    <x v="7"/>
    <x v="2"/>
  </r>
  <r>
    <s v="TX501393"/>
    <x v="17"/>
    <x v="0"/>
    <n v="33.299999999999997"/>
    <n v="33.299999999999997"/>
    <x v="52"/>
    <d v="2025-02-23T00:00:00"/>
    <s v="M"/>
    <x v="4"/>
    <x v="0"/>
    <x v="0"/>
    <x v="2"/>
    <x v="3"/>
    <x v="7"/>
    <x v="1"/>
  </r>
  <r>
    <s v="TX501394"/>
    <x v="10"/>
    <x v="1"/>
    <n v="39.1"/>
    <n v="78.2"/>
    <x v="52"/>
    <d v="2025-02-25T00:00:00"/>
    <s v="M"/>
    <x v="0"/>
    <x v="0"/>
    <x v="0"/>
    <x v="44"/>
    <x v="2"/>
    <x v="7"/>
    <x v="1"/>
  </r>
  <r>
    <s v="TX501395"/>
    <x v="7"/>
    <x v="4"/>
    <n v="45.3"/>
    <n v="543.59999999999991"/>
    <x v="52"/>
    <d v="2025-02-23T00:00:00"/>
    <s v="M"/>
    <x v="2"/>
    <x v="0"/>
    <x v="0"/>
    <x v="33"/>
    <x v="3"/>
    <x v="7"/>
    <x v="1"/>
  </r>
  <r>
    <s v="TX501396"/>
    <x v="9"/>
    <x v="3"/>
    <n v="33.9"/>
    <n v="237.29999999999998"/>
    <x v="52"/>
    <d v="2025-02-23T00:00:00"/>
    <s v="M"/>
    <x v="4"/>
    <x v="0"/>
    <x v="0"/>
    <x v="33"/>
    <x v="3"/>
    <x v="7"/>
    <x v="1"/>
  </r>
  <r>
    <s v="TX501397"/>
    <x v="8"/>
    <x v="2"/>
    <n v="19"/>
    <n v="57"/>
    <x v="52"/>
    <d v="2025-02-23T00:00:00"/>
    <s v="M"/>
    <x v="0"/>
    <x v="2"/>
    <x v="0"/>
    <x v="15"/>
    <x v="3"/>
    <x v="7"/>
    <x v="1"/>
  </r>
  <r>
    <s v="TX501398"/>
    <x v="4"/>
    <x v="0"/>
    <n v="41.9"/>
    <n v="41.9"/>
    <x v="52"/>
    <d v="2025-02-25T00:00:00"/>
    <s v="F"/>
    <x v="2"/>
    <x v="0"/>
    <x v="0"/>
    <x v="22"/>
    <x v="2"/>
    <x v="7"/>
    <x v="2"/>
  </r>
  <r>
    <s v="TX501399"/>
    <x v="1"/>
    <x v="12"/>
    <n v="37.5"/>
    <n v="150"/>
    <x v="52"/>
    <d v="2025-02-22T00:00:00"/>
    <s v="F"/>
    <x v="0"/>
    <x v="0"/>
    <x v="0"/>
    <x v="3"/>
    <x v="7"/>
    <x v="7"/>
    <x v="2"/>
  </r>
  <r>
    <s v="TX501400"/>
    <x v="0"/>
    <x v="1"/>
    <n v="40.799999999999997"/>
    <n v="81.599999999999994"/>
    <x v="52"/>
    <d v="2025-02-25T00:00:00"/>
    <s v="M"/>
    <x v="0"/>
    <x v="0"/>
    <x v="0"/>
    <x v="3"/>
    <x v="2"/>
    <x v="7"/>
    <x v="1"/>
  </r>
  <r>
    <s v="TX501401"/>
    <x v="0"/>
    <x v="12"/>
    <n v="23.1"/>
    <n v="92.4"/>
    <x v="52"/>
    <d v="2025-02-23T00:00:00"/>
    <s v="F"/>
    <x v="4"/>
    <x v="0"/>
    <x v="0"/>
    <x v="3"/>
    <x v="3"/>
    <x v="7"/>
    <x v="2"/>
  </r>
  <r>
    <s v="TX501402"/>
    <x v="8"/>
    <x v="9"/>
    <n v="39.299999999999997"/>
    <n v="196.5"/>
    <x v="52"/>
    <d v="2025-02-23T00:00:00"/>
    <s v="F"/>
    <x v="0"/>
    <x v="0"/>
    <x v="0"/>
    <x v="3"/>
    <x v="3"/>
    <x v="7"/>
    <x v="2"/>
  </r>
  <r>
    <s v="TX501403"/>
    <x v="2"/>
    <x v="12"/>
    <n v="85.2"/>
    <n v="340.8"/>
    <x v="52"/>
    <d v="2025-02-27T00:00:00"/>
    <s v="M"/>
    <x v="2"/>
    <x v="0"/>
    <x v="0"/>
    <x v="3"/>
    <x v="0"/>
    <x v="7"/>
    <x v="1"/>
  </r>
  <r>
    <s v="TX501404"/>
    <x v="8"/>
    <x v="13"/>
    <n v="16"/>
    <n v="96"/>
    <x v="52"/>
    <d v="2025-02-25T00:00:00"/>
    <s v="M"/>
    <x v="1"/>
    <x v="0"/>
    <x v="0"/>
    <x v="3"/>
    <x v="2"/>
    <x v="7"/>
    <x v="1"/>
  </r>
  <r>
    <s v="TX501405"/>
    <x v="1"/>
    <x v="1"/>
    <n v="33.799999999999997"/>
    <n v="67.599999999999994"/>
    <x v="52"/>
    <d v="2025-02-26T00:00:00"/>
    <s v="F"/>
    <x v="1"/>
    <x v="0"/>
    <x v="0"/>
    <x v="3"/>
    <x v="5"/>
    <x v="7"/>
    <x v="2"/>
  </r>
  <r>
    <s v="TX501406"/>
    <x v="3"/>
    <x v="0"/>
    <n v="70"/>
    <n v="70"/>
    <x v="52"/>
    <d v="2025-02-23T00:00:00"/>
    <s v="F"/>
    <x v="0"/>
    <x v="0"/>
    <x v="0"/>
    <x v="3"/>
    <x v="3"/>
    <x v="7"/>
    <x v="2"/>
  </r>
  <r>
    <s v="TX501407"/>
    <x v="9"/>
    <x v="0"/>
    <n v="88"/>
    <n v="88"/>
    <x v="52"/>
    <d v="2025-02-27T00:00:00"/>
    <s v="F"/>
    <x v="3"/>
    <x v="0"/>
    <x v="0"/>
    <x v="3"/>
    <x v="0"/>
    <x v="7"/>
    <x v="2"/>
  </r>
  <r>
    <s v="TX501408"/>
    <x v="2"/>
    <x v="2"/>
    <n v="74.099999999999994"/>
    <n v="222.29999999999998"/>
    <x v="52"/>
    <d v="2025-02-22T00:00:00"/>
    <s v="M"/>
    <x v="4"/>
    <x v="1"/>
    <x v="0"/>
    <x v="3"/>
    <x v="7"/>
    <x v="7"/>
    <x v="1"/>
  </r>
  <r>
    <s v="TX501409"/>
    <x v="2"/>
    <x v="0"/>
    <n v="161.9"/>
    <n v="161.9"/>
    <x v="52"/>
    <d v="2025-02-24T00:00:00"/>
    <s v="M"/>
    <x v="2"/>
    <x v="0"/>
    <x v="0"/>
    <x v="3"/>
    <x v="1"/>
    <x v="7"/>
    <x v="1"/>
  </r>
  <r>
    <s v="TX501410"/>
    <x v="4"/>
    <x v="1"/>
    <n v="44"/>
    <n v="88"/>
    <x v="52"/>
    <d v="2025-02-23T00:00:00"/>
    <s v="O"/>
    <x v="4"/>
    <x v="1"/>
    <x v="0"/>
    <x v="3"/>
    <x v="3"/>
    <x v="7"/>
    <x v="3"/>
  </r>
  <r>
    <s v="TX501411"/>
    <x v="11"/>
    <x v="0"/>
    <n v="32.1"/>
    <n v="32.1"/>
    <x v="52"/>
    <d v="2025-02-22T00:00:00"/>
    <s v="F"/>
    <x v="3"/>
    <x v="3"/>
    <x v="0"/>
    <x v="3"/>
    <x v="7"/>
    <x v="7"/>
    <x v="2"/>
  </r>
  <r>
    <s v="TX501412"/>
    <x v="2"/>
    <x v="12"/>
    <n v="104.8"/>
    <n v="419.2"/>
    <x v="53"/>
    <d v="2025-02-25T00:00:00"/>
    <s v="O"/>
    <x v="0"/>
    <x v="0"/>
    <x v="0"/>
    <x v="3"/>
    <x v="1"/>
    <x v="8"/>
    <x v="3"/>
  </r>
  <r>
    <s v="TX501413"/>
    <x v="9"/>
    <x v="13"/>
    <n v="67.400000000000006"/>
    <n v="404.40000000000003"/>
    <x v="53"/>
    <d v="2025-02-24T00:00:00"/>
    <s v="F"/>
    <x v="3"/>
    <x v="0"/>
    <x v="0"/>
    <x v="3"/>
    <x v="3"/>
    <x v="8"/>
    <x v="2"/>
  </r>
  <r>
    <s v="TX501414"/>
    <x v="6"/>
    <x v="1"/>
    <n v="115.2"/>
    <n v="230.4"/>
    <x v="53"/>
    <d v="2025-02-24T00:00:00"/>
    <s v="F"/>
    <x v="1"/>
    <x v="0"/>
    <x v="0"/>
    <x v="4"/>
    <x v="3"/>
    <x v="8"/>
    <x v="2"/>
  </r>
  <r>
    <s v="TX501415"/>
    <x v="8"/>
    <x v="19"/>
    <n v="15.5"/>
    <n v="449.5"/>
    <x v="53"/>
    <d v="2025-02-25T00:00:00"/>
    <s v="F"/>
    <x v="0"/>
    <x v="1"/>
    <x v="0"/>
    <x v="23"/>
    <x v="1"/>
    <x v="8"/>
    <x v="2"/>
  </r>
  <r>
    <s v="TX501416"/>
    <x v="6"/>
    <x v="5"/>
    <n v="66.400000000000006"/>
    <n v="730.40000000000009"/>
    <x v="53"/>
    <d v="2025-02-25T00:00:00"/>
    <s v="F"/>
    <x v="0"/>
    <x v="0"/>
    <x v="0"/>
    <x v="6"/>
    <x v="1"/>
    <x v="8"/>
    <x v="2"/>
  </r>
  <r>
    <s v="TX501417"/>
    <x v="9"/>
    <x v="4"/>
    <n v="68.099999999999994"/>
    <n v="817.19999999999993"/>
    <x v="53"/>
    <d v="2025-02-24T00:00:00"/>
    <s v="F"/>
    <x v="2"/>
    <x v="0"/>
    <x v="0"/>
    <x v="8"/>
    <x v="3"/>
    <x v="8"/>
    <x v="2"/>
  </r>
  <r>
    <s v="TX501418"/>
    <x v="8"/>
    <x v="9"/>
    <n v="32.5"/>
    <n v="162.5"/>
    <x v="53"/>
    <d v="2025-02-27T00:00:00"/>
    <s v="M"/>
    <x v="2"/>
    <x v="1"/>
    <x v="0"/>
    <x v="8"/>
    <x v="5"/>
    <x v="8"/>
    <x v="1"/>
  </r>
  <r>
    <s v="TX501419"/>
    <x v="15"/>
    <x v="2"/>
    <n v="61.2"/>
    <n v="183.60000000000002"/>
    <x v="53"/>
    <d v="2025-02-25T00:00:00"/>
    <s v="F"/>
    <x v="1"/>
    <x v="1"/>
    <x v="0"/>
    <x v="8"/>
    <x v="1"/>
    <x v="8"/>
    <x v="2"/>
  </r>
  <r>
    <s v="TX501420"/>
    <x v="9"/>
    <x v="1"/>
    <n v="54.2"/>
    <n v="108.4"/>
    <x v="53"/>
    <d v="2025-02-24T00:00:00"/>
    <s v="F"/>
    <x v="1"/>
    <x v="0"/>
    <x v="0"/>
    <x v="8"/>
    <x v="3"/>
    <x v="8"/>
    <x v="2"/>
  </r>
  <r>
    <s v="TX501421"/>
    <x v="11"/>
    <x v="8"/>
    <n v="28.7"/>
    <n v="229.6"/>
    <x v="53"/>
    <d v="2025-02-25T00:00:00"/>
    <s v="M"/>
    <x v="1"/>
    <x v="0"/>
    <x v="0"/>
    <x v="9"/>
    <x v="1"/>
    <x v="8"/>
    <x v="1"/>
  </r>
  <r>
    <s v="TX501422"/>
    <x v="12"/>
    <x v="13"/>
    <n v="38.200000000000003"/>
    <n v="229.20000000000002"/>
    <x v="53"/>
    <d v="2025-02-27T00:00:00"/>
    <s v="F"/>
    <x v="0"/>
    <x v="1"/>
    <x v="0"/>
    <x v="9"/>
    <x v="5"/>
    <x v="8"/>
    <x v="2"/>
  </r>
  <r>
    <s v="TX501423"/>
    <x v="8"/>
    <x v="4"/>
    <n v="17.600000000000001"/>
    <n v="211.20000000000002"/>
    <x v="53"/>
    <d v="2025-02-24T00:00:00"/>
    <s v="F"/>
    <x v="2"/>
    <x v="1"/>
    <x v="0"/>
    <x v="9"/>
    <x v="3"/>
    <x v="8"/>
    <x v="2"/>
  </r>
  <r>
    <s v="TX501424"/>
    <x v="10"/>
    <x v="2"/>
    <n v="74.599999999999994"/>
    <n v="223.79999999999998"/>
    <x v="53"/>
    <d v="2025-02-23T00:00:00"/>
    <s v="F"/>
    <x v="2"/>
    <x v="0"/>
    <x v="0"/>
    <x v="11"/>
    <x v="7"/>
    <x v="8"/>
    <x v="2"/>
  </r>
  <r>
    <s v="TX501425"/>
    <x v="16"/>
    <x v="20"/>
    <n v="72.599999999999994"/>
    <n v="1089"/>
    <x v="53"/>
    <d v="2025-02-23T00:00:00"/>
    <m/>
    <x v="1"/>
    <x v="1"/>
    <x v="0"/>
    <x v="11"/>
    <x v="7"/>
    <x v="8"/>
    <x v="0"/>
  </r>
  <r>
    <s v="TX501426"/>
    <x v="7"/>
    <x v="0"/>
    <n v="62.3"/>
    <n v="62.3"/>
    <x v="53"/>
    <d v="2025-02-24T00:00:00"/>
    <s v="F"/>
    <x v="1"/>
    <x v="0"/>
    <x v="0"/>
    <x v="11"/>
    <x v="3"/>
    <x v="8"/>
    <x v="2"/>
  </r>
  <r>
    <s v="TX501427"/>
    <x v="3"/>
    <x v="2"/>
    <n v="33.799999999999997"/>
    <n v="101.39999999999999"/>
    <x v="53"/>
    <d v="2025-02-25T00:00:00"/>
    <s v="M"/>
    <x v="0"/>
    <x v="2"/>
    <x v="0"/>
    <x v="20"/>
    <x v="1"/>
    <x v="8"/>
    <x v="1"/>
  </r>
  <r>
    <s v="TX501428"/>
    <x v="9"/>
    <x v="0"/>
    <n v="85.7"/>
    <n v="85.7"/>
    <x v="53"/>
    <d v="2025-02-26T00:00:00"/>
    <s v="M"/>
    <x v="3"/>
    <x v="1"/>
    <x v="0"/>
    <x v="21"/>
    <x v="2"/>
    <x v="8"/>
    <x v="1"/>
  </r>
  <r>
    <s v="TX501429"/>
    <x v="6"/>
    <x v="1"/>
    <n v="92.1"/>
    <n v="184.2"/>
    <x v="53"/>
    <d v="2025-02-25T00:00:00"/>
    <s v="M"/>
    <x v="1"/>
    <x v="0"/>
    <x v="0"/>
    <x v="21"/>
    <x v="1"/>
    <x v="8"/>
    <x v="1"/>
  </r>
  <r>
    <s v="TX501430"/>
    <x v="16"/>
    <x v="2"/>
    <n v="65.099999999999994"/>
    <n v="195.29999999999998"/>
    <x v="53"/>
    <d v="2025-02-26T00:00:00"/>
    <s v="M"/>
    <x v="0"/>
    <x v="0"/>
    <x v="0"/>
    <x v="1"/>
    <x v="2"/>
    <x v="8"/>
    <x v="1"/>
  </r>
  <r>
    <s v="TX501431"/>
    <x v="9"/>
    <x v="3"/>
    <n v="20.3"/>
    <n v="142.1"/>
    <x v="53"/>
    <d v="2025-02-24T00:00:00"/>
    <s v="F"/>
    <x v="2"/>
    <x v="2"/>
    <x v="0"/>
    <x v="2"/>
    <x v="3"/>
    <x v="8"/>
    <x v="2"/>
  </r>
  <r>
    <s v="TX501432"/>
    <x v="19"/>
    <x v="1"/>
    <n v="29.8"/>
    <n v="59.6"/>
    <x v="53"/>
    <d v="2025-02-25T00:00:00"/>
    <s v="F"/>
    <x v="1"/>
    <x v="2"/>
    <x v="0"/>
    <x v="34"/>
    <x v="1"/>
    <x v="8"/>
    <x v="2"/>
  </r>
  <r>
    <s v="TX501433"/>
    <x v="0"/>
    <x v="1"/>
    <n v="24.2"/>
    <n v="48.4"/>
    <x v="53"/>
    <d v="2025-02-25T00:00:00"/>
    <s v="F"/>
    <x v="3"/>
    <x v="2"/>
    <x v="0"/>
    <x v="3"/>
    <x v="1"/>
    <x v="8"/>
    <x v="2"/>
  </r>
  <r>
    <s v="TX501434"/>
    <x v="3"/>
    <x v="0"/>
    <n v="57.3"/>
    <n v="57.3"/>
    <x v="53"/>
    <d v="2025-02-25T00:00:00"/>
    <s v="M"/>
    <x v="0"/>
    <x v="0"/>
    <x v="0"/>
    <x v="3"/>
    <x v="1"/>
    <x v="8"/>
    <x v="1"/>
  </r>
  <r>
    <s v="TX501435"/>
    <x v="2"/>
    <x v="0"/>
    <n v="108.9"/>
    <n v="108.9"/>
    <x v="53"/>
    <d v="2025-02-25T00:00:00"/>
    <s v="F"/>
    <x v="1"/>
    <x v="0"/>
    <x v="0"/>
    <x v="3"/>
    <x v="1"/>
    <x v="8"/>
    <x v="2"/>
  </r>
  <r>
    <s v="TX501436"/>
    <x v="7"/>
    <x v="9"/>
    <n v="50.7"/>
    <n v="253.5"/>
    <x v="53"/>
    <d v="2025-02-24T00:00:00"/>
    <s v="F"/>
    <x v="0"/>
    <x v="0"/>
    <x v="0"/>
    <x v="3"/>
    <x v="3"/>
    <x v="8"/>
    <x v="2"/>
  </r>
  <r>
    <s v="TX501437"/>
    <x v="7"/>
    <x v="11"/>
    <n v="66.099999999999994"/>
    <n v="594.9"/>
    <x v="53"/>
    <d v="2025-03-09T00:00:00"/>
    <s v="F"/>
    <x v="1"/>
    <x v="0"/>
    <x v="0"/>
    <x v="3"/>
    <x v="12"/>
    <x v="8"/>
    <x v="2"/>
  </r>
  <r>
    <s v="TX501438"/>
    <x v="12"/>
    <x v="9"/>
    <n v="36.700000000000003"/>
    <n v="183.5"/>
    <x v="53"/>
    <d v="2025-02-27T00:00:00"/>
    <s v="F"/>
    <x v="4"/>
    <x v="0"/>
    <x v="0"/>
    <x v="3"/>
    <x v="5"/>
    <x v="8"/>
    <x v="2"/>
  </r>
  <r>
    <s v="TX501439"/>
    <x v="8"/>
    <x v="14"/>
    <n v="19.3"/>
    <n v="328.1"/>
    <x v="53"/>
    <d v="2025-02-25T00:00:00"/>
    <s v="M"/>
    <x v="0"/>
    <x v="0"/>
    <x v="0"/>
    <x v="43"/>
    <x v="1"/>
    <x v="8"/>
    <x v="1"/>
  </r>
  <r>
    <s v="TX501440"/>
    <x v="8"/>
    <x v="12"/>
    <n v="20.7"/>
    <n v="82.8"/>
    <x v="53"/>
    <d v="2025-02-24T00:00:00"/>
    <s v="M"/>
    <x v="1"/>
    <x v="2"/>
    <x v="0"/>
    <x v="6"/>
    <x v="3"/>
    <x v="8"/>
    <x v="1"/>
  </r>
  <r>
    <s v="TX501441"/>
    <x v="5"/>
    <x v="2"/>
    <n v="54.7"/>
    <n v="164.10000000000002"/>
    <x v="53"/>
    <d v="2025-02-23T00:00:00"/>
    <s v="O"/>
    <x v="1"/>
    <x v="4"/>
    <x v="0"/>
    <x v="6"/>
    <x v="7"/>
    <x v="8"/>
    <x v="3"/>
  </r>
  <r>
    <s v="TX501442"/>
    <x v="4"/>
    <x v="1"/>
    <n v="19.8"/>
    <n v="39.6"/>
    <x v="53"/>
    <d v="2025-02-27T00:00:00"/>
    <s v="F"/>
    <x v="4"/>
    <x v="1"/>
    <x v="0"/>
    <x v="8"/>
    <x v="5"/>
    <x v="8"/>
    <x v="2"/>
  </r>
  <r>
    <s v="TX501443"/>
    <x v="7"/>
    <x v="0"/>
    <n v="41.1"/>
    <n v="41.1"/>
    <x v="53"/>
    <d v="2025-02-25T00:00:00"/>
    <s v="F"/>
    <x v="0"/>
    <x v="2"/>
    <x v="0"/>
    <x v="8"/>
    <x v="1"/>
    <x v="8"/>
    <x v="2"/>
  </r>
  <r>
    <s v="TX501444"/>
    <x v="11"/>
    <x v="8"/>
    <n v="43.5"/>
    <n v="348"/>
    <x v="53"/>
    <d v="2025-02-27T00:00:00"/>
    <s v="F"/>
    <x v="3"/>
    <x v="0"/>
    <x v="0"/>
    <x v="8"/>
    <x v="5"/>
    <x v="8"/>
    <x v="2"/>
  </r>
  <r>
    <s v="TX501445"/>
    <x v="8"/>
    <x v="21"/>
    <n v="19"/>
    <n v="266"/>
    <x v="53"/>
    <d v="2025-02-24T00:00:00"/>
    <s v="M"/>
    <x v="0"/>
    <x v="0"/>
    <x v="0"/>
    <x v="26"/>
    <x v="3"/>
    <x v="8"/>
    <x v="1"/>
  </r>
  <r>
    <s v="TX501446"/>
    <x v="2"/>
    <x v="12"/>
    <n v="51.4"/>
    <n v="205.6"/>
    <x v="53"/>
    <d v="2025-02-23T00:00:00"/>
    <s v="F"/>
    <x v="0"/>
    <x v="0"/>
    <x v="0"/>
    <x v="26"/>
    <x v="7"/>
    <x v="8"/>
    <x v="2"/>
  </r>
  <r>
    <s v="TX501447"/>
    <x v="10"/>
    <x v="1"/>
    <n v="39.799999999999997"/>
    <n v="79.599999999999994"/>
    <x v="53"/>
    <d v="2025-02-26T00:00:00"/>
    <s v="M"/>
    <x v="3"/>
    <x v="1"/>
    <x v="0"/>
    <x v="13"/>
    <x v="2"/>
    <x v="8"/>
    <x v="1"/>
  </r>
  <r>
    <s v="TX501448"/>
    <x v="6"/>
    <x v="9"/>
    <n v="61"/>
    <n v="305"/>
    <x v="53"/>
    <d v="2025-02-24T00:00:00"/>
    <m/>
    <x v="0"/>
    <x v="2"/>
    <x v="0"/>
    <x v="21"/>
    <x v="3"/>
    <x v="8"/>
    <x v="0"/>
  </r>
  <r>
    <s v="TX501449"/>
    <x v="8"/>
    <x v="5"/>
    <n v="15.1"/>
    <n v="166.1"/>
    <x v="54"/>
    <d v="2025-03-01T00:00:00"/>
    <s v="M"/>
    <x v="3"/>
    <x v="2"/>
    <x v="0"/>
    <x v="2"/>
    <x v="0"/>
    <x v="8"/>
    <x v="1"/>
  </r>
  <r>
    <s v="TX501450"/>
    <x v="1"/>
    <x v="3"/>
    <n v="71.3"/>
    <n v="499.09999999999997"/>
    <x v="54"/>
    <d v="2025-02-25T00:00:00"/>
    <s v="M"/>
    <x v="4"/>
    <x v="0"/>
    <x v="0"/>
    <x v="3"/>
    <x v="3"/>
    <x v="8"/>
    <x v="1"/>
  </r>
  <r>
    <s v="TX501451"/>
    <x v="10"/>
    <x v="0"/>
    <n v="25.8"/>
    <n v="25.8"/>
    <x v="54"/>
    <d v="2025-02-26T00:00:00"/>
    <s v="F"/>
    <x v="0"/>
    <x v="2"/>
    <x v="0"/>
    <x v="3"/>
    <x v="1"/>
    <x v="8"/>
    <x v="2"/>
  </r>
  <r>
    <s v="TX501452"/>
    <x v="8"/>
    <x v="9"/>
    <n v="39.6"/>
    <n v="198"/>
    <x v="54"/>
    <d v="2025-02-26T00:00:00"/>
    <s v="M"/>
    <x v="1"/>
    <x v="2"/>
    <x v="0"/>
    <x v="3"/>
    <x v="1"/>
    <x v="8"/>
    <x v="1"/>
  </r>
  <r>
    <s v="TX501453"/>
    <x v="5"/>
    <x v="1"/>
    <n v="64"/>
    <n v="128"/>
    <x v="54"/>
    <d v="2025-02-24T00:00:00"/>
    <s v="M"/>
    <x v="1"/>
    <x v="1"/>
    <x v="0"/>
    <x v="3"/>
    <x v="7"/>
    <x v="8"/>
    <x v="1"/>
  </r>
  <r>
    <s v="TX501454"/>
    <x v="8"/>
    <x v="1"/>
    <n v="30.6"/>
    <n v="61.2"/>
    <x v="54"/>
    <d v="2025-02-27T00:00:00"/>
    <s v="M"/>
    <x v="0"/>
    <x v="2"/>
    <x v="0"/>
    <x v="3"/>
    <x v="2"/>
    <x v="8"/>
    <x v="1"/>
  </r>
  <r>
    <s v="TX501455"/>
    <x v="8"/>
    <x v="1"/>
    <n v="21.3"/>
    <n v="42.6"/>
    <x v="54"/>
    <d v="2025-02-25T00:00:00"/>
    <s v="M"/>
    <x v="0"/>
    <x v="1"/>
    <x v="0"/>
    <x v="3"/>
    <x v="3"/>
    <x v="8"/>
    <x v="1"/>
  </r>
  <r>
    <s v="TX501456"/>
    <x v="7"/>
    <x v="0"/>
    <n v="40.799999999999997"/>
    <n v="40.799999999999997"/>
    <x v="54"/>
    <d v="2025-02-26T00:00:00"/>
    <s v="F"/>
    <x v="4"/>
    <x v="0"/>
    <x v="0"/>
    <x v="3"/>
    <x v="1"/>
    <x v="8"/>
    <x v="2"/>
  </r>
  <r>
    <s v="TX501457"/>
    <x v="9"/>
    <x v="12"/>
    <n v="27.7"/>
    <n v="110.8"/>
    <x v="54"/>
    <d v="2025-02-25T00:00:00"/>
    <s v="F"/>
    <x v="0"/>
    <x v="1"/>
    <x v="0"/>
    <x v="3"/>
    <x v="3"/>
    <x v="8"/>
    <x v="2"/>
  </r>
  <r>
    <s v="TX501458"/>
    <x v="6"/>
    <x v="1"/>
    <n v="64.599999999999994"/>
    <n v="129.19999999999999"/>
    <x v="54"/>
    <d v="2025-02-25T00:00:00"/>
    <s v="M"/>
    <x v="0"/>
    <x v="1"/>
    <x v="0"/>
    <x v="3"/>
    <x v="3"/>
    <x v="8"/>
    <x v="1"/>
  </r>
  <r>
    <s v="TX501459"/>
    <x v="6"/>
    <x v="27"/>
    <n v="91.1"/>
    <n v="1457.6"/>
    <x v="54"/>
    <d v="2025-02-25T00:00:00"/>
    <s v="F"/>
    <x v="1"/>
    <x v="2"/>
    <x v="0"/>
    <x v="3"/>
    <x v="3"/>
    <x v="8"/>
    <x v="2"/>
  </r>
  <r>
    <s v="TX501460"/>
    <x v="1"/>
    <x v="0"/>
    <n v="39.5"/>
    <n v="39.5"/>
    <x v="54"/>
    <d v="2025-03-04T00:00:00"/>
    <s v="F"/>
    <x v="0"/>
    <x v="0"/>
    <x v="0"/>
    <x v="3"/>
    <x v="9"/>
    <x v="8"/>
    <x v="2"/>
  </r>
  <r>
    <s v="TX501461"/>
    <x v="9"/>
    <x v="1"/>
    <n v="21.8"/>
    <n v="43.6"/>
    <x v="54"/>
    <d v="2025-02-28T00:00:00"/>
    <s v="M"/>
    <x v="4"/>
    <x v="2"/>
    <x v="0"/>
    <x v="3"/>
    <x v="5"/>
    <x v="8"/>
    <x v="1"/>
  </r>
  <r>
    <s v="TX501462"/>
    <x v="8"/>
    <x v="1"/>
    <n v="51"/>
    <n v="102"/>
    <x v="54"/>
    <d v="2025-02-27T00:00:00"/>
    <s v="M"/>
    <x v="3"/>
    <x v="2"/>
    <x v="0"/>
    <x v="3"/>
    <x v="2"/>
    <x v="8"/>
    <x v="1"/>
  </r>
  <r>
    <s v="TX501463"/>
    <x v="2"/>
    <x v="0"/>
    <n v="92.6"/>
    <n v="92.6"/>
    <x v="54"/>
    <d v="2025-02-27T00:00:00"/>
    <s v="F"/>
    <x v="0"/>
    <x v="2"/>
    <x v="0"/>
    <x v="35"/>
    <x v="2"/>
    <x v="8"/>
    <x v="2"/>
  </r>
  <r>
    <s v="TX501464"/>
    <x v="9"/>
    <x v="1"/>
    <n v="31.1"/>
    <n v="62.2"/>
    <x v="54"/>
    <d v="2025-03-01T00:00:00"/>
    <m/>
    <x v="1"/>
    <x v="3"/>
    <x v="0"/>
    <x v="23"/>
    <x v="0"/>
    <x v="8"/>
    <x v="0"/>
  </r>
  <r>
    <s v="TX501465"/>
    <x v="5"/>
    <x v="2"/>
    <n v="56.4"/>
    <n v="169.2"/>
    <x v="54"/>
    <d v="2025-02-25T00:00:00"/>
    <m/>
    <x v="1"/>
    <x v="0"/>
    <x v="0"/>
    <x v="6"/>
    <x v="3"/>
    <x v="8"/>
    <x v="0"/>
  </r>
  <r>
    <s v="TX501466"/>
    <x v="9"/>
    <x v="0"/>
    <n v="41.9"/>
    <n v="41.9"/>
    <x v="54"/>
    <d v="2025-02-24T00:00:00"/>
    <s v="M"/>
    <x v="1"/>
    <x v="0"/>
    <x v="0"/>
    <x v="6"/>
    <x v="7"/>
    <x v="8"/>
    <x v="1"/>
  </r>
  <r>
    <s v="TX501467"/>
    <x v="10"/>
    <x v="3"/>
    <n v="45.9"/>
    <n v="321.3"/>
    <x v="54"/>
    <d v="2025-02-25T00:00:00"/>
    <s v="M"/>
    <x v="3"/>
    <x v="2"/>
    <x v="0"/>
    <x v="8"/>
    <x v="3"/>
    <x v="8"/>
    <x v="1"/>
  </r>
  <r>
    <s v="TX501468"/>
    <x v="14"/>
    <x v="11"/>
    <n v="24.4"/>
    <n v="219.6"/>
    <x v="54"/>
    <d v="2025-02-28T00:00:00"/>
    <s v="M"/>
    <x v="3"/>
    <x v="2"/>
    <x v="0"/>
    <x v="8"/>
    <x v="5"/>
    <x v="8"/>
    <x v="1"/>
  </r>
  <r>
    <s v="TX501469"/>
    <x v="8"/>
    <x v="0"/>
    <n v="18.2"/>
    <n v="18.2"/>
    <x v="54"/>
    <d v="2025-02-25T00:00:00"/>
    <s v="F"/>
    <x v="2"/>
    <x v="2"/>
    <x v="0"/>
    <x v="8"/>
    <x v="3"/>
    <x v="8"/>
    <x v="2"/>
  </r>
  <r>
    <s v="TX501470"/>
    <x v="8"/>
    <x v="12"/>
    <n v="51.2"/>
    <n v="204.8"/>
    <x v="54"/>
    <d v="2025-02-25T00:00:00"/>
    <s v="F"/>
    <x v="0"/>
    <x v="0"/>
    <x v="0"/>
    <x v="8"/>
    <x v="3"/>
    <x v="8"/>
    <x v="2"/>
  </r>
  <r>
    <s v="TX501471"/>
    <x v="6"/>
    <x v="0"/>
    <n v="59.7"/>
    <n v="59.7"/>
    <x v="54"/>
    <d v="2025-02-27T00:00:00"/>
    <s v="M"/>
    <x v="0"/>
    <x v="2"/>
    <x v="0"/>
    <x v="8"/>
    <x v="2"/>
    <x v="8"/>
    <x v="1"/>
  </r>
  <r>
    <s v="TX501472"/>
    <x v="4"/>
    <x v="1"/>
    <n v="33.6"/>
    <n v="67.2"/>
    <x v="54"/>
    <d v="2025-02-26T00:00:00"/>
    <s v="F"/>
    <x v="0"/>
    <x v="0"/>
    <x v="0"/>
    <x v="17"/>
    <x v="1"/>
    <x v="8"/>
    <x v="2"/>
  </r>
  <r>
    <s v="TX501473"/>
    <x v="12"/>
    <x v="0"/>
    <n v="90.4"/>
    <n v="90.4"/>
    <x v="54"/>
    <d v="2025-02-28T00:00:00"/>
    <s v="M"/>
    <x v="1"/>
    <x v="2"/>
    <x v="0"/>
    <x v="10"/>
    <x v="5"/>
    <x v="8"/>
    <x v="1"/>
  </r>
  <r>
    <s v="TX501474"/>
    <x v="11"/>
    <x v="2"/>
    <n v="70.3"/>
    <n v="210.89999999999998"/>
    <x v="54"/>
    <d v="2025-02-24T00:00:00"/>
    <s v="M"/>
    <x v="1"/>
    <x v="2"/>
    <x v="0"/>
    <x v="11"/>
    <x v="7"/>
    <x v="8"/>
    <x v="1"/>
  </r>
  <r>
    <s v="TX501475"/>
    <x v="4"/>
    <x v="1"/>
    <n v="20.5"/>
    <n v="41"/>
    <x v="54"/>
    <d v="2025-02-27T00:00:00"/>
    <s v="F"/>
    <x v="0"/>
    <x v="1"/>
    <x v="0"/>
    <x v="11"/>
    <x v="2"/>
    <x v="8"/>
    <x v="2"/>
  </r>
  <r>
    <s v="TX501476"/>
    <x v="5"/>
    <x v="5"/>
    <n v="37.6"/>
    <n v="413.6"/>
    <x v="54"/>
    <d v="2025-02-25T00:00:00"/>
    <s v="M"/>
    <x v="0"/>
    <x v="0"/>
    <x v="0"/>
    <x v="38"/>
    <x v="3"/>
    <x v="8"/>
    <x v="1"/>
  </r>
  <r>
    <s v="TX501477"/>
    <x v="5"/>
    <x v="12"/>
    <n v="61.5"/>
    <n v="246"/>
    <x v="54"/>
    <d v="2025-03-03T00:00:00"/>
    <s v="F"/>
    <x v="1"/>
    <x v="4"/>
    <x v="0"/>
    <x v="13"/>
    <x v="6"/>
    <x v="8"/>
    <x v="2"/>
  </r>
  <r>
    <s v="TX501478"/>
    <x v="9"/>
    <x v="0"/>
    <n v="33.5"/>
    <n v="33.5"/>
    <x v="55"/>
    <d v="2025-03-01T00:00:00"/>
    <s v="M"/>
    <x v="4"/>
    <x v="1"/>
    <x v="0"/>
    <x v="21"/>
    <x v="5"/>
    <x v="8"/>
    <x v="1"/>
  </r>
  <r>
    <s v="TX501479"/>
    <x v="4"/>
    <x v="2"/>
    <n v="29.3"/>
    <n v="87.9"/>
    <x v="55"/>
    <d v="2025-02-27T00:00:00"/>
    <s v="F"/>
    <x v="1"/>
    <x v="2"/>
    <x v="0"/>
    <x v="1"/>
    <x v="1"/>
    <x v="8"/>
    <x v="2"/>
  </r>
  <r>
    <s v="TX501480"/>
    <x v="2"/>
    <x v="1"/>
    <n v="125.9"/>
    <n v="251.8"/>
    <x v="55"/>
    <d v="2025-03-02T00:00:00"/>
    <s v="F"/>
    <x v="4"/>
    <x v="1"/>
    <x v="0"/>
    <x v="1"/>
    <x v="0"/>
    <x v="8"/>
    <x v="2"/>
  </r>
  <r>
    <s v="TX501481"/>
    <x v="5"/>
    <x v="9"/>
    <n v="29.3"/>
    <n v="146.5"/>
    <x v="55"/>
    <d v="2025-02-25T00:00:00"/>
    <s v="M"/>
    <x v="2"/>
    <x v="0"/>
    <x v="0"/>
    <x v="44"/>
    <x v="7"/>
    <x v="8"/>
    <x v="1"/>
  </r>
  <r>
    <s v="TX501482"/>
    <x v="9"/>
    <x v="0"/>
    <n v="37.799999999999997"/>
    <n v="37.799999999999997"/>
    <x v="55"/>
    <d v="2025-02-28T00:00:00"/>
    <s v="F"/>
    <x v="0"/>
    <x v="2"/>
    <x v="0"/>
    <x v="3"/>
    <x v="2"/>
    <x v="8"/>
    <x v="2"/>
  </r>
  <r>
    <s v="TX501483"/>
    <x v="0"/>
    <x v="12"/>
    <n v="31.7"/>
    <n v="126.8"/>
    <x v="55"/>
    <d v="2025-02-26T00:00:00"/>
    <s v="M"/>
    <x v="2"/>
    <x v="2"/>
    <x v="0"/>
    <x v="3"/>
    <x v="3"/>
    <x v="8"/>
    <x v="1"/>
  </r>
  <r>
    <s v="TX501484"/>
    <x v="8"/>
    <x v="9"/>
    <n v="26.3"/>
    <n v="131.5"/>
    <x v="55"/>
    <d v="2025-02-26T00:00:00"/>
    <s v="F"/>
    <x v="3"/>
    <x v="2"/>
    <x v="0"/>
    <x v="3"/>
    <x v="3"/>
    <x v="8"/>
    <x v="2"/>
  </r>
  <r>
    <s v="TX501485"/>
    <x v="8"/>
    <x v="2"/>
    <n v="23.1"/>
    <n v="69.300000000000011"/>
    <x v="55"/>
    <d v="2025-02-26T00:00:00"/>
    <s v="O"/>
    <x v="2"/>
    <x v="1"/>
    <x v="0"/>
    <x v="3"/>
    <x v="3"/>
    <x v="8"/>
    <x v="3"/>
  </r>
  <r>
    <s v="TX501486"/>
    <x v="4"/>
    <x v="0"/>
    <n v="22.3"/>
    <n v="22.3"/>
    <x v="55"/>
    <d v="2025-02-27T00:00:00"/>
    <s v="F"/>
    <x v="2"/>
    <x v="0"/>
    <x v="0"/>
    <x v="3"/>
    <x v="1"/>
    <x v="8"/>
    <x v="2"/>
  </r>
  <r>
    <s v="TX501487"/>
    <x v="12"/>
    <x v="1"/>
    <n v="99.5"/>
    <n v="199"/>
    <x v="55"/>
    <d v="2025-02-27T00:00:00"/>
    <s v="F"/>
    <x v="2"/>
    <x v="0"/>
    <x v="0"/>
    <x v="3"/>
    <x v="1"/>
    <x v="8"/>
    <x v="2"/>
  </r>
  <r>
    <s v="TX501488"/>
    <x v="12"/>
    <x v="12"/>
    <n v="47.4"/>
    <n v="189.6"/>
    <x v="55"/>
    <d v="2025-02-28T00:00:00"/>
    <s v="F"/>
    <x v="1"/>
    <x v="0"/>
    <x v="0"/>
    <x v="3"/>
    <x v="2"/>
    <x v="8"/>
    <x v="2"/>
  </r>
  <r>
    <s v="TX501489"/>
    <x v="0"/>
    <x v="5"/>
    <n v="37.5"/>
    <n v="412.5"/>
    <x v="55"/>
    <d v="2025-02-27T00:00:00"/>
    <s v="F"/>
    <x v="0"/>
    <x v="3"/>
    <x v="0"/>
    <x v="3"/>
    <x v="1"/>
    <x v="8"/>
    <x v="2"/>
  </r>
  <r>
    <s v="TX501490"/>
    <x v="10"/>
    <x v="0"/>
    <n v="45.1"/>
    <n v="45.1"/>
    <x v="55"/>
    <d v="2025-03-02T00:00:00"/>
    <s v="M"/>
    <x v="3"/>
    <x v="2"/>
    <x v="0"/>
    <x v="24"/>
    <x v="0"/>
    <x v="8"/>
    <x v="1"/>
  </r>
  <r>
    <s v="TX501491"/>
    <x v="5"/>
    <x v="7"/>
    <n v="34.4"/>
    <n v="344"/>
    <x v="55"/>
    <d v="2025-02-28T00:00:00"/>
    <s v="M"/>
    <x v="2"/>
    <x v="0"/>
    <x v="0"/>
    <x v="16"/>
    <x v="2"/>
    <x v="8"/>
    <x v="1"/>
  </r>
  <r>
    <s v="TX501492"/>
    <x v="4"/>
    <x v="1"/>
    <n v="38"/>
    <n v="76"/>
    <x v="55"/>
    <d v="2025-02-27T00:00:00"/>
    <s v="F"/>
    <x v="1"/>
    <x v="0"/>
    <x v="0"/>
    <x v="5"/>
    <x v="1"/>
    <x v="8"/>
    <x v="2"/>
  </r>
  <r>
    <s v="TX501493"/>
    <x v="3"/>
    <x v="21"/>
    <n v="32.4"/>
    <n v="453.59999999999997"/>
    <x v="55"/>
    <d v="2025-02-28T00:00:00"/>
    <s v="M"/>
    <x v="4"/>
    <x v="0"/>
    <x v="0"/>
    <x v="6"/>
    <x v="2"/>
    <x v="8"/>
    <x v="1"/>
  </r>
  <r>
    <s v="TX501494"/>
    <x v="6"/>
    <x v="2"/>
    <n v="40.9"/>
    <n v="122.69999999999999"/>
    <x v="55"/>
    <d v="2025-02-25T00:00:00"/>
    <m/>
    <x v="1"/>
    <x v="0"/>
    <x v="0"/>
    <x v="8"/>
    <x v="7"/>
    <x v="8"/>
    <x v="0"/>
  </r>
  <r>
    <s v="TX501495"/>
    <x v="7"/>
    <x v="3"/>
    <n v="76.2"/>
    <n v="533.4"/>
    <x v="55"/>
    <d v="2025-02-27T00:00:00"/>
    <s v="F"/>
    <x v="2"/>
    <x v="1"/>
    <x v="0"/>
    <x v="8"/>
    <x v="1"/>
    <x v="8"/>
    <x v="2"/>
  </r>
  <r>
    <s v="TX501496"/>
    <x v="2"/>
    <x v="0"/>
    <n v="85.6"/>
    <n v="85.6"/>
    <x v="55"/>
    <d v="2025-02-27T00:00:00"/>
    <s v="M"/>
    <x v="2"/>
    <x v="0"/>
    <x v="0"/>
    <x v="8"/>
    <x v="1"/>
    <x v="8"/>
    <x v="1"/>
  </r>
  <r>
    <s v="TX501497"/>
    <x v="4"/>
    <x v="12"/>
    <n v="25"/>
    <n v="100"/>
    <x v="55"/>
    <d v="2025-02-27T00:00:00"/>
    <s v="F"/>
    <x v="2"/>
    <x v="2"/>
    <x v="0"/>
    <x v="8"/>
    <x v="1"/>
    <x v="8"/>
    <x v="2"/>
  </r>
  <r>
    <s v="TX501498"/>
    <x v="2"/>
    <x v="9"/>
    <n v="150.69999999999999"/>
    <n v="753.5"/>
    <x v="55"/>
    <d v="2025-02-26T00:00:00"/>
    <m/>
    <x v="0"/>
    <x v="2"/>
    <x v="0"/>
    <x v="8"/>
    <x v="3"/>
    <x v="8"/>
    <x v="0"/>
  </r>
  <r>
    <s v="TX501499"/>
    <x v="8"/>
    <x v="0"/>
    <n v="19.600000000000001"/>
    <n v="19.600000000000001"/>
    <x v="55"/>
    <d v="2025-02-26T00:00:00"/>
    <s v="M"/>
    <x v="1"/>
    <x v="4"/>
    <x v="0"/>
    <x v="8"/>
    <x v="3"/>
    <x v="8"/>
    <x v="1"/>
  </r>
  <r>
    <s v="TX501500"/>
    <x v="13"/>
    <x v="1"/>
    <n v="37.5"/>
    <n v="75"/>
    <x v="55"/>
    <d v="2025-02-28T00:00:00"/>
    <s v="F"/>
    <x v="1"/>
    <x v="2"/>
    <x v="0"/>
    <x v="17"/>
    <x v="2"/>
    <x v="8"/>
    <x v="2"/>
  </r>
  <r>
    <s v="TX501501"/>
    <x v="9"/>
    <x v="2"/>
    <n v="51.9"/>
    <n v="155.69999999999999"/>
    <x v="55"/>
    <d v="2025-03-03T00:00:00"/>
    <s v="F"/>
    <x v="0"/>
    <x v="4"/>
    <x v="0"/>
    <x v="11"/>
    <x v="4"/>
    <x v="8"/>
    <x v="2"/>
  </r>
  <r>
    <s v="TX501502"/>
    <x v="1"/>
    <x v="1"/>
    <n v="30.9"/>
    <n v="61.8"/>
    <x v="55"/>
    <d v="2025-02-27T00:00:00"/>
    <s v="F"/>
    <x v="1"/>
    <x v="0"/>
    <x v="0"/>
    <x v="18"/>
    <x v="1"/>
    <x v="8"/>
    <x v="2"/>
  </r>
  <r>
    <s v="TX501503"/>
    <x v="4"/>
    <x v="2"/>
    <n v="21.2"/>
    <n v="63.599999999999994"/>
    <x v="55"/>
    <d v="2025-02-28T00:00:00"/>
    <s v="F"/>
    <x v="1"/>
    <x v="0"/>
    <x v="0"/>
    <x v="19"/>
    <x v="2"/>
    <x v="8"/>
    <x v="2"/>
  </r>
  <r>
    <s v="TX501504"/>
    <x v="13"/>
    <x v="14"/>
    <n v="17.5"/>
    <n v="297.5"/>
    <x v="55"/>
    <d v="2025-02-26T00:00:00"/>
    <s v="M"/>
    <x v="1"/>
    <x v="1"/>
    <x v="0"/>
    <x v="13"/>
    <x v="3"/>
    <x v="8"/>
    <x v="1"/>
  </r>
  <r>
    <s v="TX501505"/>
    <x v="12"/>
    <x v="1"/>
    <n v="53.8"/>
    <n v="107.6"/>
    <x v="55"/>
    <d v="2025-03-02T00:00:00"/>
    <s v="F"/>
    <x v="0"/>
    <x v="2"/>
    <x v="0"/>
    <x v="21"/>
    <x v="0"/>
    <x v="8"/>
    <x v="2"/>
  </r>
  <r>
    <s v="TX501506"/>
    <x v="19"/>
    <x v="1"/>
    <n v="17"/>
    <n v="34"/>
    <x v="55"/>
    <d v="2025-02-26T00:00:00"/>
    <s v="M"/>
    <x v="3"/>
    <x v="0"/>
    <x v="0"/>
    <x v="21"/>
    <x v="3"/>
    <x v="8"/>
    <x v="1"/>
  </r>
  <r>
    <s v="TX501507"/>
    <x v="6"/>
    <x v="0"/>
    <n v="103.2"/>
    <n v="103.2"/>
    <x v="55"/>
    <d v="2025-03-05T00:00:00"/>
    <s v="M"/>
    <x v="2"/>
    <x v="1"/>
    <x v="0"/>
    <x v="1"/>
    <x v="9"/>
    <x v="8"/>
    <x v="1"/>
  </r>
  <r>
    <s v="TX501508"/>
    <x v="6"/>
    <x v="12"/>
    <n v="70.3"/>
    <n v="281.2"/>
    <x v="55"/>
    <d v="2025-02-26T00:00:00"/>
    <s v="M"/>
    <x v="0"/>
    <x v="0"/>
    <x v="0"/>
    <x v="3"/>
    <x v="3"/>
    <x v="8"/>
    <x v="1"/>
  </r>
  <r>
    <s v="TX501509"/>
    <x v="2"/>
    <x v="1"/>
    <n v="73.8"/>
    <n v="147.6"/>
    <x v="55"/>
    <d v="2025-02-25T00:00:00"/>
    <s v="M"/>
    <x v="3"/>
    <x v="2"/>
    <x v="0"/>
    <x v="3"/>
    <x v="7"/>
    <x v="8"/>
    <x v="1"/>
  </r>
  <r>
    <s v="TX501510"/>
    <x v="1"/>
    <x v="4"/>
    <n v="67.7"/>
    <n v="812.40000000000009"/>
    <x v="55"/>
    <d v="2025-03-01T00:00:00"/>
    <s v="M"/>
    <x v="1"/>
    <x v="1"/>
    <x v="0"/>
    <x v="3"/>
    <x v="5"/>
    <x v="8"/>
    <x v="1"/>
  </r>
  <r>
    <s v="TX501511"/>
    <x v="13"/>
    <x v="3"/>
    <n v="43.8"/>
    <n v="306.59999999999997"/>
    <x v="55"/>
    <d v="2025-02-27T00:00:00"/>
    <s v="M"/>
    <x v="1"/>
    <x v="0"/>
    <x v="0"/>
    <x v="3"/>
    <x v="1"/>
    <x v="8"/>
    <x v="1"/>
  </r>
  <r>
    <s v="TX501512"/>
    <x v="17"/>
    <x v="13"/>
    <n v="71.900000000000006"/>
    <n v="431.40000000000003"/>
    <x v="55"/>
    <d v="2025-02-26T00:00:00"/>
    <s v="F"/>
    <x v="2"/>
    <x v="0"/>
    <x v="0"/>
    <x v="3"/>
    <x v="3"/>
    <x v="8"/>
    <x v="2"/>
  </r>
  <r>
    <s v="TX501513"/>
    <x v="8"/>
    <x v="1"/>
    <n v="26.3"/>
    <n v="52.6"/>
    <x v="56"/>
    <d v="2025-02-28T00:00:00"/>
    <s v="F"/>
    <x v="0"/>
    <x v="1"/>
    <x v="0"/>
    <x v="3"/>
    <x v="1"/>
    <x v="8"/>
    <x v="2"/>
  </r>
  <r>
    <s v="TX501514"/>
    <x v="6"/>
    <x v="12"/>
    <n v="52.6"/>
    <n v="210.4"/>
    <x v="56"/>
    <d v="2025-02-28T00:00:00"/>
    <s v="F"/>
    <x v="2"/>
    <x v="1"/>
    <x v="0"/>
    <x v="3"/>
    <x v="1"/>
    <x v="8"/>
    <x v="2"/>
  </r>
  <r>
    <s v="TX501515"/>
    <x v="10"/>
    <x v="0"/>
    <n v="32.700000000000003"/>
    <n v="32.700000000000003"/>
    <x v="56"/>
    <d v="2025-03-05T00:00:00"/>
    <s v="F"/>
    <x v="0"/>
    <x v="2"/>
    <x v="0"/>
    <x v="3"/>
    <x v="6"/>
    <x v="8"/>
    <x v="2"/>
  </r>
  <r>
    <s v="TX501516"/>
    <x v="5"/>
    <x v="12"/>
    <n v="38.9"/>
    <n v="155.6"/>
    <x v="56"/>
    <d v="2025-02-27T00:00:00"/>
    <s v="F"/>
    <x v="0"/>
    <x v="0"/>
    <x v="0"/>
    <x v="3"/>
    <x v="3"/>
    <x v="8"/>
    <x v="2"/>
  </r>
  <r>
    <s v="TX501517"/>
    <x v="9"/>
    <x v="9"/>
    <n v="35"/>
    <n v="175"/>
    <x v="56"/>
    <d v="2025-02-28T00:00:00"/>
    <s v="M"/>
    <x v="0"/>
    <x v="0"/>
    <x v="0"/>
    <x v="3"/>
    <x v="1"/>
    <x v="8"/>
    <x v="1"/>
  </r>
  <r>
    <s v="TX501518"/>
    <x v="2"/>
    <x v="1"/>
    <n v="121"/>
    <n v="242"/>
    <x v="56"/>
    <d v="2025-02-27T00:00:00"/>
    <s v="F"/>
    <x v="1"/>
    <x v="1"/>
    <x v="0"/>
    <x v="3"/>
    <x v="3"/>
    <x v="8"/>
    <x v="2"/>
  </r>
  <r>
    <s v="TX501519"/>
    <x v="6"/>
    <x v="2"/>
    <n v="65.099999999999994"/>
    <n v="195.29999999999998"/>
    <x v="56"/>
    <d v="2025-03-02T00:00:00"/>
    <s v="M"/>
    <x v="2"/>
    <x v="0"/>
    <x v="0"/>
    <x v="36"/>
    <x v="5"/>
    <x v="8"/>
    <x v="1"/>
  </r>
  <r>
    <s v="TX501520"/>
    <x v="1"/>
    <x v="38"/>
    <n v="63.8"/>
    <n v="1339.8"/>
    <x v="56"/>
    <d v="2025-02-28T00:00:00"/>
    <s v="F"/>
    <x v="0"/>
    <x v="0"/>
    <x v="0"/>
    <x v="8"/>
    <x v="1"/>
    <x v="8"/>
    <x v="2"/>
  </r>
  <r>
    <s v="TX501521"/>
    <x v="7"/>
    <x v="0"/>
    <n v="77.7"/>
    <n v="77.7"/>
    <x v="56"/>
    <d v="2025-02-28T00:00:00"/>
    <s v="M"/>
    <x v="0"/>
    <x v="0"/>
    <x v="0"/>
    <x v="8"/>
    <x v="1"/>
    <x v="8"/>
    <x v="1"/>
  </r>
  <r>
    <s v="TX501522"/>
    <x v="5"/>
    <x v="12"/>
    <n v="60.3"/>
    <n v="241.2"/>
    <x v="56"/>
    <d v="2025-02-26T00:00:00"/>
    <s v="M"/>
    <x v="0"/>
    <x v="2"/>
    <x v="0"/>
    <x v="8"/>
    <x v="7"/>
    <x v="8"/>
    <x v="1"/>
  </r>
  <r>
    <s v="TX501523"/>
    <x v="5"/>
    <x v="1"/>
    <n v="124.1"/>
    <n v="248.2"/>
    <x v="56"/>
    <d v="2025-03-01T00:00:00"/>
    <s v="F"/>
    <x v="0"/>
    <x v="2"/>
    <x v="0"/>
    <x v="8"/>
    <x v="2"/>
    <x v="8"/>
    <x v="2"/>
  </r>
  <r>
    <s v="TX501524"/>
    <x v="16"/>
    <x v="3"/>
    <n v="66"/>
    <n v="462"/>
    <x v="56"/>
    <d v="2025-02-26T00:00:00"/>
    <m/>
    <x v="3"/>
    <x v="0"/>
    <x v="0"/>
    <x v="17"/>
    <x v="7"/>
    <x v="8"/>
    <x v="0"/>
  </r>
  <r>
    <s v="TX501525"/>
    <x v="2"/>
    <x v="42"/>
    <n v="118.2"/>
    <n v="7446.6"/>
    <x v="56"/>
    <d v="2025-03-03T00:00:00"/>
    <m/>
    <x v="0"/>
    <x v="0"/>
    <x v="0"/>
    <x v="17"/>
    <x v="0"/>
    <x v="8"/>
    <x v="0"/>
  </r>
  <r>
    <s v="TX501526"/>
    <x v="5"/>
    <x v="9"/>
    <n v="64.3"/>
    <n v="321.5"/>
    <x v="56"/>
    <d v="2025-02-27T00:00:00"/>
    <s v="M"/>
    <x v="4"/>
    <x v="4"/>
    <x v="0"/>
    <x v="26"/>
    <x v="3"/>
    <x v="8"/>
    <x v="1"/>
  </r>
  <r>
    <s v="TX501527"/>
    <x v="1"/>
    <x v="1"/>
    <n v="54.8"/>
    <n v="109.6"/>
    <x v="56"/>
    <d v="2025-02-26T00:00:00"/>
    <s v="M"/>
    <x v="0"/>
    <x v="1"/>
    <x v="0"/>
    <x v="26"/>
    <x v="7"/>
    <x v="8"/>
    <x v="1"/>
  </r>
  <r>
    <s v="TX501528"/>
    <x v="7"/>
    <x v="1"/>
    <n v="78.599999999999994"/>
    <n v="157.19999999999999"/>
    <x v="56"/>
    <d v="2025-02-27T00:00:00"/>
    <s v="M"/>
    <x v="0"/>
    <x v="2"/>
    <x v="0"/>
    <x v="9"/>
    <x v="3"/>
    <x v="8"/>
    <x v="1"/>
  </r>
  <r>
    <s v="TX501529"/>
    <x v="2"/>
    <x v="9"/>
    <n v="158.5"/>
    <n v="792.5"/>
    <x v="56"/>
    <d v="2025-02-28T00:00:00"/>
    <m/>
    <x v="2"/>
    <x v="2"/>
    <x v="0"/>
    <x v="9"/>
    <x v="1"/>
    <x v="8"/>
    <x v="0"/>
  </r>
  <r>
    <s v="TX501530"/>
    <x v="4"/>
    <x v="7"/>
    <n v="23.5"/>
    <n v="235"/>
    <x v="56"/>
    <d v="2025-03-01T00:00:00"/>
    <s v="M"/>
    <x v="0"/>
    <x v="4"/>
    <x v="0"/>
    <x v="10"/>
    <x v="2"/>
    <x v="8"/>
    <x v="1"/>
  </r>
  <r>
    <s v="TX501531"/>
    <x v="5"/>
    <x v="1"/>
    <n v="32.1"/>
    <n v="64.2"/>
    <x v="56"/>
    <d v="2025-02-28T00:00:00"/>
    <m/>
    <x v="3"/>
    <x v="0"/>
    <x v="0"/>
    <x v="10"/>
    <x v="1"/>
    <x v="8"/>
    <x v="0"/>
  </r>
  <r>
    <s v="TX501532"/>
    <x v="17"/>
    <x v="12"/>
    <n v="71.900000000000006"/>
    <n v="287.60000000000002"/>
    <x v="56"/>
    <d v="2025-02-26T00:00:00"/>
    <s v="M"/>
    <x v="2"/>
    <x v="0"/>
    <x v="0"/>
    <x v="19"/>
    <x v="7"/>
    <x v="8"/>
    <x v="1"/>
  </r>
  <r>
    <s v="TX501533"/>
    <x v="4"/>
    <x v="13"/>
    <n v="22.3"/>
    <n v="133.80000000000001"/>
    <x v="56"/>
    <d v="2025-02-27T00:00:00"/>
    <m/>
    <x v="3"/>
    <x v="2"/>
    <x v="0"/>
    <x v="13"/>
    <x v="3"/>
    <x v="8"/>
    <x v="0"/>
  </r>
  <r>
    <s v="TX501534"/>
    <x v="11"/>
    <x v="1"/>
    <n v="29.5"/>
    <n v="59"/>
    <x v="56"/>
    <d v="2025-02-27T00:00:00"/>
    <s v="F"/>
    <x v="0"/>
    <x v="2"/>
    <x v="0"/>
    <x v="13"/>
    <x v="3"/>
    <x v="8"/>
    <x v="2"/>
  </r>
  <r>
    <s v="TX501535"/>
    <x v="6"/>
    <x v="12"/>
    <n v="41.9"/>
    <n v="167.6"/>
    <x v="56"/>
    <d v="2025-03-02T00:00:00"/>
    <s v="F"/>
    <x v="0"/>
    <x v="1"/>
    <x v="0"/>
    <x v="21"/>
    <x v="5"/>
    <x v="8"/>
    <x v="2"/>
  </r>
  <r>
    <s v="TX501536"/>
    <x v="6"/>
    <x v="2"/>
    <n v="107.8"/>
    <n v="323.39999999999998"/>
    <x v="56"/>
    <d v="2025-02-27T00:00:00"/>
    <s v="M"/>
    <x v="1"/>
    <x v="2"/>
    <x v="0"/>
    <x v="46"/>
    <x v="3"/>
    <x v="8"/>
    <x v="1"/>
  </r>
  <r>
    <s v="TX501537"/>
    <x v="4"/>
    <x v="9"/>
    <n v="18.100000000000001"/>
    <n v="90.5"/>
    <x v="56"/>
    <d v="2025-03-01T00:00:00"/>
    <s v="M"/>
    <x v="0"/>
    <x v="2"/>
    <x v="0"/>
    <x v="2"/>
    <x v="2"/>
    <x v="8"/>
    <x v="1"/>
  </r>
  <r>
    <s v="TX501538"/>
    <x v="12"/>
    <x v="11"/>
    <n v="79.8"/>
    <n v="718.19999999999993"/>
    <x v="56"/>
    <d v="2025-02-27T00:00:00"/>
    <s v="F"/>
    <x v="1"/>
    <x v="1"/>
    <x v="0"/>
    <x v="22"/>
    <x v="3"/>
    <x v="8"/>
    <x v="2"/>
  </r>
  <r>
    <s v="TX501539"/>
    <x v="0"/>
    <x v="2"/>
    <n v="22.3"/>
    <n v="66.900000000000006"/>
    <x v="56"/>
    <d v="2025-03-01T00:00:00"/>
    <s v="F"/>
    <x v="0"/>
    <x v="2"/>
    <x v="0"/>
    <x v="22"/>
    <x v="2"/>
    <x v="8"/>
    <x v="2"/>
  </r>
  <r>
    <s v="TX501540"/>
    <x v="8"/>
    <x v="0"/>
    <n v="22.9"/>
    <n v="22.9"/>
    <x v="56"/>
    <d v="2025-02-26T00:00:00"/>
    <s v="F"/>
    <x v="1"/>
    <x v="0"/>
    <x v="0"/>
    <x v="22"/>
    <x v="7"/>
    <x v="8"/>
    <x v="2"/>
  </r>
  <r>
    <s v="TX501541"/>
    <x v="0"/>
    <x v="2"/>
    <n v="16.2"/>
    <n v="48.599999999999994"/>
    <x v="57"/>
    <d v="2025-02-27T00:00:00"/>
    <s v="M"/>
    <x v="4"/>
    <x v="2"/>
    <x v="0"/>
    <x v="3"/>
    <x v="7"/>
    <x v="8"/>
    <x v="1"/>
  </r>
  <r>
    <s v="TX501542"/>
    <x v="10"/>
    <x v="12"/>
    <n v="59.5"/>
    <n v="238"/>
    <x v="57"/>
    <d v="2025-02-28T00:00:00"/>
    <s v="M"/>
    <x v="1"/>
    <x v="2"/>
    <x v="0"/>
    <x v="3"/>
    <x v="3"/>
    <x v="8"/>
    <x v="1"/>
  </r>
  <r>
    <s v="TX501543"/>
    <x v="18"/>
    <x v="9"/>
    <n v="26.2"/>
    <n v="131"/>
    <x v="57"/>
    <d v="2025-03-02T00:00:00"/>
    <s v="M"/>
    <x v="3"/>
    <x v="4"/>
    <x v="0"/>
    <x v="3"/>
    <x v="2"/>
    <x v="8"/>
    <x v="1"/>
  </r>
  <r>
    <s v="TX501544"/>
    <x v="3"/>
    <x v="0"/>
    <n v="44.2"/>
    <n v="44.2"/>
    <x v="57"/>
    <d v="2025-03-02T00:00:00"/>
    <s v="F"/>
    <x v="1"/>
    <x v="0"/>
    <x v="0"/>
    <x v="3"/>
    <x v="2"/>
    <x v="8"/>
    <x v="2"/>
  </r>
  <r>
    <s v="TX501545"/>
    <x v="9"/>
    <x v="1"/>
    <n v="59.2"/>
    <n v="118.4"/>
    <x v="57"/>
    <d v="2025-02-27T00:00:00"/>
    <s v="F"/>
    <x v="1"/>
    <x v="4"/>
    <x v="0"/>
    <x v="3"/>
    <x v="7"/>
    <x v="8"/>
    <x v="2"/>
  </r>
  <r>
    <s v="TX501546"/>
    <x v="15"/>
    <x v="12"/>
    <n v="41.5"/>
    <n v="166"/>
    <x v="57"/>
    <d v="2025-03-01T00:00:00"/>
    <s v="F"/>
    <x v="0"/>
    <x v="0"/>
    <x v="0"/>
    <x v="16"/>
    <x v="1"/>
    <x v="8"/>
    <x v="2"/>
  </r>
  <r>
    <s v="TX501547"/>
    <x v="6"/>
    <x v="4"/>
    <n v="67.099999999999994"/>
    <n v="805.19999999999993"/>
    <x v="57"/>
    <d v="2025-03-13T00:00:00"/>
    <s v="F"/>
    <x v="0"/>
    <x v="2"/>
    <x v="0"/>
    <x v="23"/>
    <x v="12"/>
    <x v="8"/>
    <x v="2"/>
  </r>
  <r>
    <s v="TX501548"/>
    <x v="8"/>
    <x v="1"/>
    <n v="28.7"/>
    <n v="57.4"/>
    <x v="57"/>
    <d v="2025-03-03T00:00:00"/>
    <s v="F"/>
    <x v="1"/>
    <x v="0"/>
    <x v="0"/>
    <x v="6"/>
    <x v="5"/>
    <x v="8"/>
    <x v="2"/>
  </r>
  <r>
    <s v="TX501549"/>
    <x v="2"/>
    <x v="12"/>
    <n v="132.1"/>
    <n v="528.4"/>
    <x v="57"/>
    <d v="2025-02-28T00:00:00"/>
    <s v="F"/>
    <x v="0"/>
    <x v="1"/>
    <x v="0"/>
    <x v="6"/>
    <x v="3"/>
    <x v="8"/>
    <x v="2"/>
  </r>
  <r>
    <s v="TX501550"/>
    <x v="18"/>
    <x v="1"/>
    <n v="47"/>
    <n v="94"/>
    <x v="57"/>
    <d v="2025-03-01T00:00:00"/>
    <s v="M"/>
    <x v="4"/>
    <x v="0"/>
    <x v="0"/>
    <x v="8"/>
    <x v="1"/>
    <x v="8"/>
    <x v="1"/>
  </r>
  <r>
    <s v="TX501551"/>
    <x v="8"/>
    <x v="1"/>
    <n v="41.6"/>
    <n v="83.2"/>
    <x v="57"/>
    <d v="2025-03-03T00:00:00"/>
    <s v="M"/>
    <x v="1"/>
    <x v="2"/>
    <x v="0"/>
    <x v="8"/>
    <x v="5"/>
    <x v="8"/>
    <x v="1"/>
  </r>
  <r>
    <s v="TX501552"/>
    <x v="8"/>
    <x v="43"/>
    <n v="17.3"/>
    <n v="657.4"/>
    <x v="57"/>
    <d v="2025-03-01T00:00:00"/>
    <s v="M"/>
    <x v="2"/>
    <x v="2"/>
    <x v="0"/>
    <x v="8"/>
    <x v="1"/>
    <x v="8"/>
    <x v="1"/>
  </r>
  <r>
    <s v="TX501553"/>
    <x v="13"/>
    <x v="2"/>
    <n v="41.8"/>
    <n v="125.39999999999999"/>
    <x v="57"/>
    <d v="2025-03-02T00:00:00"/>
    <s v="M"/>
    <x v="0"/>
    <x v="2"/>
    <x v="0"/>
    <x v="8"/>
    <x v="2"/>
    <x v="8"/>
    <x v="1"/>
  </r>
  <r>
    <s v="TX501554"/>
    <x v="10"/>
    <x v="0"/>
    <n v="24"/>
    <n v="24"/>
    <x v="57"/>
    <d v="2025-02-28T00:00:00"/>
    <s v="F"/>
    <x v="0"/>
    <x v="0"/>
    <x v="0"/>
    <x v="17"/>
    <x v="3"/>
    <x v="8"/>
    <x v="2"/>
  </r>
  <r>
    <s v="TX501555"/>
    <x v="14"/>
    <x v="11"/>
    <n v="18.5"/>
    <n v="166.5"/>
    <x v="57"/>
    <d v="2025-03-01T00:00:00"/>
    <s v="F"/>
    <x v="0"/>
    <x v="0"/>
    <x v="0"/>
    <x v="9"/>
    <x v="1"/>
    <x v="8"/>
    <x v="2"/>
  </r>
  <r>
    <s v="TX501556"/>
    <x v="3"/>
    <x v="4"/>
    <n v="66.7"/>
    <n v="800.40000000000009"/>
    <x v="57"/>
    <d v="2025-03-02T00:00:00"/>
    <m/>
    <x v="0"/>
    <x v="2"/>
    <x v="0"/>
    <x v="11"/>
    <x v="2"/>
    <x v="8"/>
    <x v="0"/>
  </r>
  <r>
    <s v="TX501557"/>
    <x v="1"/>
    <x v="12"/>
    <n v="33.1"/>
    <n v="132.4"/>
    <x v="57"/>
    <d v="2025-03-04T00:00:00"/>
    <s v="M"/>
    <x v="3"/>
    <x v="0"/>
    <x v="0"/>
    <x v="11"/>
    <x v="0"/>
    <x v="8"/>
    <x v="1"/>
  </r>
  <r>
    <s v="TX501558"/>
    <x v="19"/>
    <x v="11"/>
    <n v="42.1"/>
    <n v="378.90000000000003"/>
    <x v="57"/>
    <d v="2025-03-10T00:00:00"/>
    <s v="M"/>
    <x v="1"/>
    <x v="0"/>
    <x v="0"/>
    <x v="18"/>
    <x v="11"/>
    <x v="8"/>
    <x v="1"/>
  </r>
  <r>
    <s v="TX501559"/>
    <x v="18"/>
    <x v="3"/>
    <n v="58.7"/>
    <n v="410.90000000000003"/>
    <x v="57"/>
    <d v="2025-02-27T00:00:00"/>
    <s v="O"/>
    <x v="3"/>
    <x v="0"/>
    <x v="0"/>
    <x v="31"/>
    <x v="7"/>
    <x v="8"/>
    <x v="3"/>
  </r>
  <r>
    <s v="TX501560"/>
    <x v="6"/>
    <x v="12"/>
    <n v="54"/>
    <n v="216"/>
    <x v="57"/>
    <d v="2025-03-01T00:00:00"/>
    <s v="F"/>
    <x v="1"/>
    <x v="0"/>
    <x v="0"/>
    <x v="1"/>
    <x v="1"/>
    <x v="8"/>
    <x v="2"/>
  </r>
  <r>
    <s v="TX501561"/>
    <x v="8"/>
    <x v="0"/>
    <n v="52.1"/>
    <n v="52.1"/>
    <x v="57"/>
    <d v="2025-02-28T00:00:00"/>
    <s v="F"/>
    <x v="2"/>
    <x v="2"/>
    <x v="0"/>
    <x v="2"/>
    <x v="3"/>
    <x v="8"/>
    <x v="2"/>
  </r>
  <r>
    <s v="TX501562"/>
    <x v="19"/>
    <x v="1"/>
    <n v="27"/>
    <n v="54"/>
    <x v="57"/>
    <d v="2025-03-02T00:00:00"/>
    <s v="O"/>
    <x v="2"/>
    <x v="0"/>
    <x v="0"/>
    <x v="22"/>
    <x v="2"/>
    <x v="8"/>
    <x v="3"/>
  </r>
  <r>
    <s v="TX501563"/>
    <x v="12"/>
    <x v="7"/>
    <n v="31"/>
    <n v="310"/>
    <x v="58"/>
    <d v="2025-03-01T00:00:00"/>
    <s v="F"/>
    <x v="3"/>
    <x v="2"/>
    <x v="0"/>
    <x v="22"/>
    <x v="3"/>
    <x v="8"/>
    <x v="2"/>
  </r>
  <r>
    <s v="TX501564"/>
    <x v="10"/>
    <x v="1"/>
    <n v="46.7"/>
    <n v="93.4"/>
    <x v="58"/>
    <d v="2025-02-28T00:00:00"/>
    <s v="F"/>
    <x v="0"/>
    <x v="0"/>
    <x v="0"/>
    <x v="34"/>
    <x v="7"/>
    <x v="8"/>
    <x v="2"/>
  </r>
  <r>
    <s v="TX501565"/>
    <x v="6"/>
    <x v="0"/>
    <n v="144.69999999999999"/>
    <n v="144.69999999999999"/>
    <x v="58"/>
    <d v="2025-03-03T00:00:00"/>
    <s v="M"/>
    <x v="0"/>
    <x v="2"/>
    <x v="0"/>
    <x v="3"/>
    <x v="2"/>
    <x v="8"/>
    <x v="1"/>
  </r>
  <r>
    <s v="TX501566"/>
    <x v="2"/>
    <x v="11"/>
    <n v="90.9"/>
    <n v="818.1"/>
    <x v="58"/>
    <d v="2025-03-01T00:00:00"/>
    <s v="M"/>
    <x v="0"/>
    <x v="2"/>
    <x v="0"/>
    <x v="3"/>
    <x v="3"/>
    <x v="8"/>
    <x v="1"/>
  </r>
  <r>
    <s v="TX501567"/>
    <x v="1"/>
    <x v="1"/>
    <n v="75.8"/>
    <n v="151.6"/>
    <x v="58"/>
    <d v="2025-03-01T00:00:00"/>
    <s v="F"/>
    <x v="2"/>
    <x v="1"/>
    <x v="0"/>
    <x v="3"/>
    <x v="3"/>
    <x v="8"/>
    <x v="2"/>
  </r>
  <r>
    <s v="TX501568"/>
    <x v="7"/>
    <x v="9"/>
    <n v="57.9"/>
    <n v="289.5"/>
    <x v="58"/>
    <d v="2025-03-02T00:00:00"/>
    <s v="M"/>
    <x v="2"/>
    <x v="2"/>
    <x v="0"/>
    <x v="3"/>
    <x v="1"/>
    <x v="8"/>
    <x v="1"/>
  </r>
  <r>
    <s v="TX501569"/>
    <x v="8"/>
    <x v="9"/>
    <n v="44.8"/>
    <n v="224"/>
    <x v="58"/>
    <d v="2025-03-01T00:00:00"/>
    <s v="F"/>
    <x v="3"/>
    <x v="2"/>
    <x v="0"/>
    <x v="3"/>
    <x v="3"/>
    <x v="8"/>
    <x v="2"/>
  </r>
  <r>
    <s v="TX501570"/>
    <x v="9"/>
    <x v="2"/>
    <n v="44.2"/>
    <n v="132.60000000000002"/>
    <x v="58"/>
    <d v="2025-03-04T00:00:00"/>
    <s v="M"/>
    <x v="2"/>
    <x v="2"/>
    <x v="0"/>
    <x v="3"/>
    <x v="5"/>
    <x v="8"/>
    <x v="1"/>
  </r>
  <r>
    <s v="TX501571"/>
    <x v="5"/>
    <x v="9"/>
    <n v="53.5"/>
    <n v="267.5"/>
    <x v="58"/>
    <d v="2025-03-02T00:00:00"/>
    <s v="M"/>
    <x v="0"/>
    <x v="0"/>
    <x v="0"/>
    <x v="37"/>
    <x v="1"/>
    <x v="8"/>
    <x v="1"/>
  </r>
  <r>
    <s v="TX501572"/>
    <x v="6"/>
    <x v="1"/>
    <n v="72.2"/>
    <n v="144.4"/>
    <x v="58"/>
    <d v="2025-03-01T00:00:00"/>
    <s v="M"/>
    <x v="0"/>
    <x v="2"/>
    <x v="0"/>
    <x v="25"/>
    <x v="3"/>
    <x v="8"/>
    <x v="1"/>
  </r>
  <r>
    <s v="TX501573"/>
    <x v="6"/>
    <x v="12"/>
    <n v="62.4"/>
    <n v="249.6"/>
    <x v="58"/>
    <d v="2025-03-03T00:00:00"/>
    <s v="F"/>
    <x v="0"/>
    <x v="1"/>
    <x v="0"/>
    <x v="23"/>
    <x v="2"/>
    <x v="8"/>
    <x v="2"/>
  </r>
  <r>
    <s v="TX501574"/>
    <x v="10"/>
    <x v="9"/>
    <n v="24.7"/>
    <n v="123.5"/>
    <x v="58"/>
    <d v="2025-03-01T00:00:00"/>
    <s v="F"/>
    <x v="0"/>
    <x v="0"/>
    <x v="0"/>
    <x v="6"/>
    <x v="3"/>
    <x v="8"/>
    <x v="2"/>
  </r>
  <r>
    <s v="TX501575"/>
    <x v="1"/>
    <x v="9"/>
    <n v="61.7"/>
    <n v="308.5"/>
    <x v="58"/>
    <d v="2025-03-02T00:00:00"/>
    <s v="F"/>
    <x v="2"/>
    <x v="0"/>
    <x v="0"/>
    <x v="8"/>
    <x v="1"/>
    <x v="8"/>
    <x v="2"/>
  </r>
  <r>
    <s v="TX501576"/>
    <x v="8"/>
    <x v="9"/>
    <n v="18.2"/>
    <n v="91"/>
    <x v="58"/>
    <d v="2025-03-02T00:00:00"/>
    <s v="F"/>
    <x v="3"/>
    <x v="0"/>
    <x v="0"/>
    <x v="8"/>
    <x v="1"/>
    <x v="8"/>
    <x v="2"/>
  </r>
  <r>
    <s v="TX501577"/>
    <x v="10"/>
    <x v="12"/>
    <n v="37.200000000000003"/>
    <n v="148.80000000000001"/>
    <x v="58"/>
    <d v="2025-03-06T00:00:00"/>
    <s v="F"/>
    <x v="0"/>
    <x v="0"/>
    <x v="0"/>
    <x v="8"/>
    <x v="4"/>
    <x v="8"/>
    <x v="2"/>
  </r>
  <r>
    <s v="TX501578"/>
    <x v="9"/>
    <x v="2"/>
    <n v="53.5"/>
    <n v="160.5"/>
    <x v="58"/>
    <d v="2025-03-02T00:00:00"/>
    <s v="F"/>
    <x v="1"/>
    <x v="2"/>
    <x v="0"/>
    <x v="9"/>
    <x v="1"/>
    <x v="8"/>
    <x v="2"/>
  </r>
  <r>
    <s v="TX501579"/>
    <x v="8"/>
    <x v="2"/>
    <n v="43.6"/>
    <n v="130.80000000000001"/>
    <x v="58"/>
    <d v="2025-02-28T00:00:00"/>
    <s v="F"/>
    <x v="0"/>
    <x v="0"/>
    <x v="0"/>
    <x v="9"/>
    <x v="7"/>
    <x v="8"/>
    <x v="2"/>
  </r>
  <r>
    <s v="TX501580"/>
    <x v="1"/>
    <x v="7"/>
    <n v="135"/>
    <n v="1350"/>
    <x v="58"/>
    <d v="2025-03-02T00:00:00"/>
    <s v="F"/>
    <x v="0"/>
    <x v="2"/>
    <x v="0"/>
    <x v="9"/>
    <x v="1"/>
    <x v="8"/>
    <x v="2"/>
  </r>
  <r>
    <s v="TX501581"/>
    <x v="8"/>
    <x v="9"/>
    <n v="38.5"/>
    <n v="192.5"/>
    <x v="58"/>
    <d v="2025-02-28T00:00:00"/>
    <s v="M"/>
    <x v="4"/>
    <x v="2"/>
    <x v="0"/>
    <x v="10"/>
    <x v="7"/>
    <x v="8"/>
    <x v="1"/>
  </r>
  <r>
    <s v="TX501582"/>
    <x v="9"/>
    <x v="1"/>
    <n v="24"/>
    <n v="48"/>
    <x v="58"/>
    <d v="2025-03-05T00:00:00"/>
    <s v="F"/>
    <x v="0"/>
    <x v="0"/>
    <x v="0"/>
    <x v="11"/>
    <x v="0"/>
    <x v="8"/>
    <x v="2"/>
  </r>
  <r>
    <s v="TX501583"/>
    <x v="4"/>
    <x v="2"/>
    <n v="28.2"/>
    <n v="84.6"/>
    <x v="58"/>
    <d v="2025-03-02T00:00:00"/>
    <s v="M"/>
    <x v="0"/>
    <x v="3"/>
    <x v="0"/>
    <x v="18"/>
    <x v="1"/>
    <x v="8"/>
    <x v="1"/>
  </r>
  <r>
    <s v="TX501584"/>
    <x v="7"/>
    <x v="2"/>
    <n v="37.4"/>
    <n v="112.19999999999999"/>
    <x v="58"/>
    <d v="2025-03-01T00:00:00"/>
    <s v="F"/>
    <x v="3"/>
    <x v="0"/>
    <x v="0"/>
    <x v="1"/>
    <x v="3"/>
    <x v="8"/>
    <x v="2"/>
  </r>
  <r>
    <s v="TX501585"/>
    <x v="6"/>
    <x v="2"/>
    <n v="53.5"/>
    <n v="160.5"/>
    <x v="58"/>
    <d v="2025-03-03T00:00:00"/>
    <m/>
    <x v="4"/>
    <x v="4"/>
    <x v="0"/>
    <x v="1"/>
    <x v="2"/>
    <x v="8"/>
    <x v="0"/>
  </r>
  <r>
    <s v="TX501586"/>
    <x v="11"/>
    <x v="9"/>
    <n v="36.200000000000003"/>
    <n v="181"/>
    <x v="58"/>
    <d v="2025-03-01T00:00:00"/>
    <s v="M"/>
    <x v="1"/>
    <x v="2"/>
    <x v="0"/>
    <x v="33"/>
    <x v="3"/>
    <x v="8"/>
    <x v="1"/>
  </r>
  <r>
    <s v="TX501587"/>
    <x v="0"/>
    <x v="8"/>
    <n v="31.9"/>
    <n v="255.2"/>
    <x v="58"/>
    <d v="2025-03-01T00:00:00"/>
    <s v="F"/>
    <x v="4"/>
    <x v="0"/>
    <x v="0"/>
    <x v="3"/>
    <x v="3"/>
    <x v="8"/>
    <x v="2"/>
  </r>
  <r>
    <s v="TX501588"/>
    <x v="8"/>
    <x v="2"/>
    <n v="21.3"/>
    <n v="63.900000000000006"/>
    <x v="58"/>
    <d v="2025-03-01T00:00:00"/>
    <s v="M"/>
    <x v="0"/>
    <x v="2"/>
    <x v="0"/>
    <x v="3"/>
    <x v="3"/>
    <x v="8"/>
    <x v="1"/>
  </r>
  <r>
    <s v="TX501589"/>
    <x v="8"/>
    <x v="0"/>
    <n v="36.299999999999997"/>
    <n v="36.299999999999997"/>
    <x v="58"/>
    <d v="2025-03-02T00:00:00"/>
    <s v="O"/>
    <x v="4"/>
    <x v="0"/>
    <x v="0"/>
    <x v="3"/>
    <x v="1"/>
    <x v="8"/>
    <x v="3"/>
  </r>
  <r>
    <s v="TX501590"/>
    <x v="6"/>
    <x v="2"/>
    <n v="110.5"/>
    <n v="331.5"/>
    <x v="58"/>
    <d v="2025-03-01T00:00:00"/>
    <s v="F"/>
    <x v="0"/>
    <x v="3"/>
    <x v="0"/>
    <x v="3"/>
    <x v="3"/>
    <x v="8"/>
    <x v="2"/>
  </r>
  <r>
    <s v="TX501591"/>
    <x v="10"/>
    <x v="3"/>
    <n v="32.6"/>
    <n v="228.20000000000002"/>
    <x v="58"/>
    <d v="2025-03-02T00:00:00"/>
    <s v="F"/>
    <x v="0"/>
    <x v="1"/>
    <x v="0"/>
    <x v="3"/>
    <x v="1"/>
    <x v="8"/>
    <x v="2"/>
  </r>
  <r>
    <s v="TX501592"/>
    <x v="5"/>
    <x v="2"/>
    <n v="55.6"/>
    <n v="166.8"/>
    <x v="59"/>
    <d v="2025-03-14T00:00:00"/>
    <s v="F"/>
    <x v="0"/>
    <x v="0"/>
    <x v="0"/>
    <x v="3"/>
    <x v="10"/>
    <x v="8"/>
    <x v="2"/>
  </r>
  <r>
    <s v="TX501593"/>
    <x v="1"/>
    <x v="12"/>
    <n v="38"/>
    <n v="152"/>
    <x v="59"/>
    <d v="2025-03-02T00:00:00"/>
    <s v="F"/>
    <x v="3"/>
    <x v="2"/>
    <x v="0"/>
    <x v="5"/>
    <x v="3"/>
    <x v="8"/>
    <x v="2"/>
  </r>
  <r>
    <s v="TX501594"/>
    <x v="10"/>
    <x v="1"/>
    <n v="51.8"/>
    <n v="103.6"/>
    <x v="59"/>
    <d v="2025-03-07T00:00:00"/>
    <s v="M"/>
    <x v="1"/>
    <x v="4"/>
    <x v="0"/>
    <x v="6"/>
    <x v="4"/>
    <x v="8"/>
    <x v="1"/>
  </r>
  <r>
    <s v="TX501595"/>
    <x v="11"/>
    <x v="8"/>
    <n v="28.7"/>
    <n v="229.6"/>
    <x v="59"/>
    <d v="2025-03-06T00:00:00"/>
    <s v="F"/>
    <x v="0"/>
    <x v="0"/>
    <x v="0"/>
    <x v="6"/>
    <x v="0"/>
    <x v="8"/>
    <x v="2"/>
  </r>
  <r>
    <s v="TX501596"/>
    <x v="6"/>
    <x v="4"/>
    <n v="52.2"/>
    <n v="626.40000000000009"/>
    <x v="59"/>
    <d v="2025-03-01T00:00:00"/>
    <s v="M"/>
    <x v="0"/>
    <x v="1"/>
    <x v="0"/>
    <x v="6"/>
    <x v="7"/>
    <x v="8"/>
    <x v="1"/>
  </r>
  <r>
    <s v="TX501597"/>
    <x v="1"/>
    <x v="1"/>
    <n v="68.2"/>
    <n v="136.4"/>
    <x v="59"/>
    <d v="2025-03-02T00:00:00"/>
    <m/>
    <x v="2"/>
    <x v="0"/>
    <x v="0"/>
    <x v="7"/>
    <x v="3"/>
    <x v="8"/>
    <x v="0"/>
  </r>
  <r>
    <s v="TX501598"/>
    <x v="0"/>
    <x v="2"/>
    <n v="34"/>
    <n v="102"/>
    <x v="59"/>
    <d v="2025-03-05T00:00:00"/>
    <s v="F"/>
    <x v="0"/>
    <x v="0"/>
    <x v="0"/>
    <x v="8"/>
    <x v="5"/>
    <x v="8"/>
    <x v="2"/>
  </r>
  <r>
    <s v="TX501599"/>
    <x v="8"/>
    <x v="2"/>
    <n v="19.100000000000001"/>
    <n v="57.300000000000004"/>
    <x v="59"/>
    <d v="2025-03-02T00:00:00"/>
    <s v="F"/>
    <x v="4"/>
    <x v="0"/>
    <x v="0"/>
    <x v="8"/>
    <x v="3"/>
    <x v="8"/>
    <x v="2"/>
  </r>
  <r>
    <s v="TX501600"/>
    <x v="5"/>
    <x v="8"/>
    <n v="34"/>
    <n v="272"/>
    <x v="59"/>
    <d v="2025-03-09T00:00:00"/>
    <s v="F"/>
    <x v="4"/>
    <x v="0"/>
    <x v="0"/>
    <x v="8"/>
    <x v="9"/>
    <x v="8"/>
    <x v="2"/>
  </r>
  <r>
    <s v="TX501601"/>
    <x v="12"/>
    <x v="1"/>
    <n v="109.1"/>
    <n v="218.2"/>
    <x v="59"/>
    <d v="2025-03-03T00:00:00"/>
    <s v="M"/>
    <x v="0"/>
    <x v="2"/>
    <x v="0"/>
    <x v="8"/>
    <x v="1"/>
    <x v="8"/>
    <x v="1"/>
  </r>
  <r>
    <s v="TX501602"/>
    <x v="18"/>
    <x v="1"/>
    <n v="64.8"/>
    <n v="129.6"/>
    <x v="59"/>
    <d v="2025-03-03T00:00:00"/>
    <s v="M"/>
    <x v="0"/>
    <x v="2"/>
    <x v="0"/>
    <x v="8"/>
    <x v="1"/>
    <x v="8"/>
    <x v="1"/>
  </r>
  <r>
    <s v="TX501603"/>
    <x v="10"/>
    <x v="1"/>
    <n v="21.1"/>
    <n v="42.2"/>
    <x v="59"/>
    <d v="2025-03-01T00:00:00"/>
    <s v="F"/>
    <x v="1"/>
    <x v="0"/>
    <x v="0"/>
    <x v="11"/>
    <x v="7"/>
    <x v="8"/>
    <x v="2"/>
  </r>
  <r>
    <s v="TX501604"/>
    <x v="0"/>
    <x v="8"/>
    <n v="21.3"/>
    <n v="170.4"/>
    <x v="59"/>
    <d v="2025-03-03T00:00:00"/>
    <s v="M"/>
    <x v="3"/>
    <x v="1"/>
    <x v="0"/>
    <x v="18"/>
    <x v="1"/>
    <x v="8"/>
    <x v="1"/>
  </r>
  <r>
    <s v="TX501605"/>
    <x v="9"/>
    <x v="2"/>
    <n v="24.3"/>
    <n v="72.900000000000006"/>
    <x v="59"/>
    <d v="2025-03-02T00:00:00"/>
    <s v="M"/>
    <x v="1"/>
    <x v="0"/>
    <x v="0"/>
    <x v="19"/>
    <x v="3"/>
    <x v="8"/>
    <x v="1"/>
  </r>
  <r>
    <s v="TX501606"/>
    <x v="8"/>
    <x v="0"/>
    <n v="43.3"/>
    <n v="43.3"/>
    <x v="59"/>
    <d v="2025-03-05T00:00:00"/>
    <s v="M"/>
    <x v="1"/>
    <x v="1"/>
    <x v="0"/>
    <x v="13"/>
    <x v="5"/>
    <x v="8"/>
    <x v="1"/>
  </r>
  <r>
    <s v="TX501607"/>
    <x v="9"/>
    <x v="2"/>
    <n v="41"/>
    <n v="123"/>
    <x v="59"/>
    <d v="2025-03-02T00:00:00"/>
    <s v="F"/>
    <x v="3"/>
    <x v="4"/>
    <x v="0"/>
    <x v="21"/>
    <x v="3"/>
    <x v="8"/>
    <x v="2"/>
  </r>
  <r>
    <s v="TX501608"/>
    <x v="16"/>
    <x v="2"/>
    <n v="54.1"/>
    <n v="162.30000000000001"/>
    <x v="59"/>
    <d v="2025-03-03T00:00:00"/>
    <s v="F"/>
    <x v="4"/>
    <x v="0"/>
    <x v="0"/>
    <x v="21"/>
    <x v="1"/>
    <x v="8"/>
    <x v="2"/>
  </r>
  <r>
    <s v="TX501609"/>
    <x v="11"/>
    <x v="1"/>
    <n v="39"/>
    <n v="78"/>
    <x v="59"/>
    <d v="2025-03-02T00:00:00"/>
    <s v="M"/>
    <x v="1"/>
    <x v="2"/>
    <x v="0"/>
    <x v="1"/>
    <x v="3"/>
    <x v="8"/>
    <x v="1"/>
  </r>
  <r>
    <s v="TX501610"/>
    <x v="8"/>
    <x v="1"/>
    <n v="40.299999999999997"/>
    <n v="80.599999999999994"/>
    <x v="59"/>
    <d v="2025-03-03T00:00:00"/>
    <s v="M"/>
    <x v="3"/>
    <x v="0"/>
    <x v="0"/>
    <x v="27"/>
    <x v="1"/>
    <x v="8"/>
    <x v="1"/>
  </r>
  <r>
    <s v="TX501611"/>
    <x v="8"/>
    <x v="2"/>
    <n v="24.1"/>
    <n v="72.300000000000011"/>
    <x v="59"/>
    <d v="2025-03-02T00:00:00"/>
    <s v="M"/>
    <x v="0"/>
    <x v="2"/>
    <x v="0"/>
    <x v="34"/>
    <x v="3"/>
    <x v="8"/>
    <x v="1"/>
  </r>
  <r>
    <s v="TX501612"/>
    <x v="6"/>
    <x v="9"/>
    <n v="52.3"/>
    <n v="261.5"/>
    <x v="59"/>
    <d v="2025-03-02T00:00:00"/>
    <s v="M"/>
    <x v="2"/>
    <x v="0"/>
    <x v="0"/>
    <x v="3"/>
    <x v="3"/>
    <x v="8"/>
    <x v="1"/>
  </r>
  <r>
    <s v="TX501613"/>
    <x v="12"/>
    <x v="12"/>
    <n v="68.8"/>
    <n v="275.2"/>
    <x v="59"/>
    <d v="2025-03-05T00:00:00"/>
    <s v="F"/>
    <x v="4"/>
    <x v="2"/>
    <x v="0"/>
    <x v="3"/>
    <x v="5"/>
    <x v="8"/>
    <x v="2"/>
  </r>
  <r>
    <s v="TX501614"/>
    <x v="2"/>
    <x v="1"/>
    <n v="128.80000000000001"/>
    <n v="257.60000000000002"/>
    <x v="60"/>
    <d v="2025-03-05T00:00:00"/>
    <s v="F"/>
    <x v="1"/>
    <x v="1"/>
    <x v="0"/>
    <x v="3"/>
    <x v="2"/>
    <x v="9"/>
    <x v="2"/>
  </r>
  <r>
    <s v="TX501615"/>
    <x v="15"/>
    <x v="9"/>
    <n v="48.2"/>
    <n v="241"/>
    <x v="60"/>
    <d v="2025-03-04T00:00:00"/>
    <s v="F"/>
    <x v="3"/>
    <x v="0"/>
    <x v="0"/>
    <x v="3"/>
    <x v="1"/>
    <x v="9"/>
    <x v="2"/>
  </r>
  <r>
    <s v="TX501616"/>
    <x v="10"/>
    <x v="0"/>
    <n v="39.700000000000003"/>
    <n v="39.700000000000003"/>
    <x v="60"/>
    <d v="2025-03-04T00:00:00"/>
    <s v="F"/>
    <x v="0"/>
    <x v="1"/>
    <x v="0"/>
    <x v="3"/>
    <x v="1"/>
    <x v="9"/>
    <x v="2"/>
  </r>
  <r>
    <s v="TX501617"/>
    <x v="9"/>
    <x v="0"/>
    <n v="59.7"/>
    <n v="59.7"/>
    <x v="60"/>
    <d v="2025-03-05T00:00:00"/>
    <s v="F"/>
    <x v="4"/>
    <x v="0"/>
    <x v="0"/>
    <x v="3"/>
    <x v="2"/>
    <x v="9"/>
    <x v="2"/>
  </r>
  <r>
    <s v="TX501618"/>
    <x v="6"/>
    <x v="0"/>
    <n v="48.3"/>
    <n v="48.3"/>
    <x v="60"/>
    <d v="2025-03-16T00:00:00"/>
    <s v="O"/>
    <x v="0"/>
    <x v="2"/>
    <x v="0"/>
    <x v="3"/>
    <x v="12"/>
    <x v="9"/>
    <x v="3"/>
  </r>
  <r>
    <s v="TX501619"/>
    <x v="8"/>
    <x v="2"/>
    <n v="45.5"/>
    <n v="136.5"/>
    <x v="60"/>
    <d v="2025-03-04T00:00:00"/>
    <s v="M"/>
    <x v="2"/>
    <x v="1"/>
    <x v="0"/>
    <x v="3"/>
    <x v="1"/>
    <x v="9"/>
    <x v="1"/>
  </r>
  <r>
    <s v="TX501620"/>
    <x v="9"/>
    <x v="6"/>
    <n v="51"/>
    <n v="1377"/>
    <x v="60"/>
    <d v="2025-03-02T00:00:00"/>
    <s v="F"/>
    <x v="2"/>
    <x v="0"/>
    <x v="0"/>
    <x v="3"/>
    <x v="7"/>
    <x v="9"/>
    <x v="2"/>
  </r>
  <r>
    <s v="TX501621"/>
    <x v="4"/>
    <x v="13"/>
    <n v="20.399999999999999"/>
    <n v="122.39999999999999"/>
    <x v="60"/>
    <d v="2025-03-03T00:00:00"/>
    <s v="M"/>
    <x v="2"/>
    <x v="0"/>
    <x v="0"/>
    <x v="3"/>
    <x v="3"/>
    <x v="9"/>
    <x v="1"/>
  </r>
  <r>
    <s v="TX501622"/>
    <x v="10"/>
    <x v="1"/>
    <n v="30.4"/>
    <n v="60.8"/>
    <x v="60"/>
    <d v="2025-03-04T00:00:00"/>
    <s v="M"/>
    <x v="2"/>
    <x v="0"/>
    <x v="0"/>
    <x v="3"/>
    <x v="1"/>
    <x v="9"/>
    <x v="1"/>
  </r>
  <r>
    <s v="TX501623"/>
    <x v="7"/>
    <x v="1"/>
    <n v="71.5"/>
    <n v="143"/>
    <x v="60"/>
    <d v="2025-03-06T00:00:00"/>
    <s v="F"/>
    <x v="0"/>
    <x v="0"/>
    <x v="0"/>
    <x v="3"/>
    <x v="5"/>
    <x v="9"/>
    <x v="2"/>
  </r>
  <r>
    <s v="TX501624"/>
    <x v="8"/>
    <x v="13"/>
    <n v="18"/>
    <n v="108"/>
    <x v="60"/>
    <d v="2025-03-03T00:00:00"/>
    <s v="O"/>
    <x v="1"/>
    <x v="2"/>
    <x v="0"/>
    <x v="6"/>
    <x v="3"/>
    <x v="9"/>
    <x v="3"/>
  </r>
  <r>
    <s v="TX501625"/>
    <x v="15"/>
    <x v="5"/>
    <n v="45.6"/>
    <n v="501.6"/>
    <x v="60"/>
    <d v="2025-03-03T00:00:00"/>
    <s v="O"/>
    <x v="1"/>
    <x v="1"/>
    <x v="0"/>
    <x v="7"/>
    <x v="3"/>
    <x v="9"/>
    <x v="3"/>
  </r>
  <r>
    <s v="TX501626"/>
    <x v="9"/>
    <x v="0"/>
    <n v="31.8"/>
    <n v="31.8"/>
    <x v="60"/>
    <d v="2025-03-06T00:00:00"/>
    <s v="F"/>
    <x v="0"/>
    <x v="2"/>
    <x v="0"/>
    <x v="7"/>
    <x v="5"/>
    <x v="9"/>
    <x v="2"/>
  </r>
  <r>
    <s v="TX501627"/>
    <x v="8"/>
    <x v="9"/>
    <n v="19.899999999999999"/>
    <n v="99.5"/>
    <x v="60"/>
    <d v="2025-03-03T00:00:00"/>
    <s v="F"/>
    <x v="1"/>
    <x v="0"/>
    <x v="0"/>
    <x v="7"/>
    <x v="3"/>
    <x v="9"/>
    <x v="2"/>
  </r>
  <r>
    <s v="TX501628"/>
    <x v="12"/>
    <x v="11"/>
    <n v="52.1"/>
    <n v="468.90000000000003"/>
    <x v="60"/>
    <d v="2025-03-04T00:00:00"/>
    <s v="M"/>
    <x v="0"/>
    <x v="0"/>
    <x v="0"/>
    <x v="8"/>
    <x v="1"/>
    <x v="9"/>
    <x v="1"/>
  </r>
  <r>
    <s v="TX501629"/>
    <x v="1"/>
    <x v="3"/>
    <n v="45.9"/>
    <n v="321.3"/>
    <x v="60"/>
    <d v="2025-03-03T00:00:00"/>
    <s v="M"/>
    <x v="0"/>
    <x v="1"/>
    <x v="0"/>
    <x v="8"/>
    <x v="3"/>
    <x v="9"/>
    <x v="1"/>
  </r>
  <r>
    <s v="TX501630"/>
    <x v="1"/>
    <x v="7"/>
    <n v="115.9"/>
    <n v="1159"/>
    <x v="60"/>
    <d v="2025-03-05T00:00:00"/>
    <s v="F"/>
    <x v="1"/>
    <x v="0"/>
    <x v="0"/>
    <x v="8"/>
    <x v="2"/>
    <x v="9"/>
    <x v="2"/>
  </r>
  <r>
    <s v="TX501631"/>
    <x v="6"/>
    <x v="11"/>
    <n v="86"/>
    <n v="774"/>
    <x v="60"/>
    <d v="2025-03-07T00:00:00"/>
    <s v="F"/>
    <x v="0"/>
    <x v="1"/>
    <x v="0"/>
    <x v="8"/>
    <x v="0"/>
    <x v="9"/>
    <x v="2"/>
  </r>
  <r>
    <s v="TX501632"/>
    <x v="7"/>
    <x v="3"/>
    <n v="73.599999999999994"/>
    <n v="515.19999999999993"/>
    <x v="60"/>
    <d v="2025-03-04T00:00:00"/>
    <s v="F"/>
    <x v="0"/>
    <x v="0"/>
    <x v="0"/>
    <x v="17"/>
    <x v="1"/>
    <x v="9"/>
    <x v="2"/>
  </r>
  <r>
    <s v="TX501633"/>
    <x v="10"/>
    <x v="2"/>
    <n v="26.7"/>
    <n v="80.099999999999994"/>
    <x v="60"/>
    <d v="2025-03-06T00:00:00"/>
    <s v="F"/>
    <x v="0"/>
    <x v="0"/>
    <x v="0"/>
    <x v="11"/>
    <x v="5"/>
    <x v="9"/>
    <x v="2"/>
  </r>
  <r>
    <s v="TX501634"/>
    <x v="8"/>
    <x v="3"/>
    <n v="46.6"/>
    <n v="326.2"/>
    <x v="60"/>
    <d v="2025-03-04T00:00:00"/>
    <m/>
    <x v="3"/>
    <x v="0"/>
    <x v="0"/>
    <x v="11"/>
    <x v="1"/>
    <x v="9"/>
    <x v="0"/>
  </r>
  <r>
    <s v="TX501635"/>
    <x v="3"/>
    <x v="2"/>
    <n v="84.6"/>
    <n v="253.79999999999998"/>
    <x v="60"/>
    <d v="2025-03-04T00:00:00"/>
    <s v="M"/>
    <x v="4"/>
    <x v="0"/>
    <x v="0"/>
    <x v="11"/>
    <x v="1"/>
    <x v="9"/>
    <x v="1"/>
  </r>
  <r>
    <s v="TX501636"/>
    <x v="7"/>
    <x v="21"/>
    <n v="41.5"/>
    <n v="581"/>
    <x v="60"/>
    <d v="2025-03-16T00:00:00"/>
    <s v="M"/>
    <x v="1"/>
    <x v="0"/>
    <x v="0"/>
    <x v="53"/>
    <x v="12"/>
    <x v="9"/>
    <x v="1"/>
  </r>
  <r>
    <s v="TX501637"/>
    <x v="8"/>
    <x v="0"/>
    <n v="32.799999999999997"/>
    <n v="32.799999999999997"/>
    <x v="60"/>
    <d v="2025-03-05T00:00:00"/>
    <s v="M"/>
    <x v="0"/>
    <x v="2"/>
    <x v="0"/>
    <x v="30"/>
    <x v="2"/>
    <x v="9"/>
    <x v="1"/>
  </r>
  <r>
    <s v="TX501638"/>
    <x v="4"/>
    <x v="3"/>
    <n v="46.7"/>
    <n v="326.90000000000003"/>
    <x v="60"/>
    <d v="2025-03-04T00:00:00"/>
    <s v="O"/>
    <x v="0"/>
    <x v="2"/>
    <x v="0"/>
    <x v="18"/>
    <x v="1"/>
    <x v="9"/>
    <x v="3"/>
  </r>
  <r>
    <s v="TX501639"/>
    <x v="15"/>
    <x v="3"/>
    <n v="21"/>
    <n v="147"/>
    <x v="60"/>
    <d v="2025-03-05T00:00:00"/>
    <s v="M"/>
    <x v="2"/>
    <x v="1"/>
    <x v="0"/>
    <x v="21"/>
    <x v="2"/>
    <x v="9"/>
    <x v="1"/>
  </r>
  <r>
    <s v="TX501640"/>
    <x v="5"/>
    <x v="3"/>
    <n v="29.4"/>
    <n v="205.79999999999998"/>
    <x v="60"/>
    <d v="2025-03-02T00:00:00"/>
    <s v="M"/>
    <x v="3"/>
    <x v="2"/>
    <x v="0"/>
    <x v="21"/>
    <x v="7"/>
    <x v="9"/>
    <x v="1"/>
  </r>
  <r>
    <s v="TX501641"/>
    <x v="15"/>
    <x v="1"/>
    <n v="32.299999999999997"/>
    <n v="64.599999999999994"/>
    <x v="60"/>
    <d v="2025-03-03T00:00:00"/>
    <s v="M"/>
    <x v="0"/>
    <x v="2"/>
    <x v="0"/>
    <x v="21"/>
    <x v="3"/>
    <x v="9"/>
    <x v="1"/>
  </r>
  <r>
    <s v="TX501642"/>
    <x v="6"/>
    <x v="0"/>
    <n v="42.2"/>
    <n v="42.2"/>
    <x v="61"/>
    <d v="2025-03-05T00:00:00"/>
    <s v="F"/>
    <x v="0"/>
    <x v="2"/>
    <x v="0"/>
    <x v="21"/>
    <x v="1"/>
    <x v="9"/>
    <x v="2"/>
  </r>
  <r>
    <s v="TX501643"/>
    <x v="6"/>
    <x v="0"/>
    <n v="53.7"/>
    <n v="53.7"/>
    <x v="61"/>
    <d v="2025-03-05T00:00:00"/>
    <s v="M"/>
    <x v="1"/>
    <x v="1"/>
    <x v="0"/>
    <x v="1"/>
    <x v="1"/>
    <x v="9"/>
    <x v="1"/>
  </r>
  <r>
    <s v="TX501644"/>
    <x v="2"/>
    <x v="1"/>
    <n v="123.9"/>
    <n v="247.8"/>
    <x v="61"/>
    <d v="2025-03-06T00:00:00"/>
    <s v="M"/>
    <x v="2"/>
    <x v="0"/>
    <x v="0"/>
    <x v="1"/>
    <x v="2"/>
    <x v="9"/>
    <x v="1"/>
  </r>
  <r>
    <s v="TX501645"/>
    <x v="4"/>
    <x v="2"/>
    <n v="35.9"/>
    <n v="107.69999999999999"/>
    <x v="61"/>
    <d v="2025-03-05T00:00:00"/>
    <s v="M"/>
    <x v="2"/>
    <x v="0"/>
    <x v="0"/>
    <x v="22"/>
    <x v="1"/>
    <x v="9"/>
    <x v="1"/>
  </r>
  <r>
    <s v="TX501646"/>
    <x v="4"/>
    <x v="1"/>
    <n v="23.6"/>
    <n v="47.2"/>
    <x v="61"/>
    <d v="2025-03-06T00:00:00"/>
    <s v="M"/>
    <x v="0"/>
    <x v="2"/>
    <x v="0"/>
    <x v="3"/>
    <x v="2"/>
    <x v="9"/>
    <x v="1"/>
  </r>
  <r>
    <s v="TX501647"/>
    <x v="15"/>
    <x v="36"/>
    <n v="45.7"/>
    <n v="1599.5"/>
    <x v="61"/>
    <d v="2025-03-04T00:00:00"/>
    <s v="M"/>
    <x v="0"/>
    <x v="1"/>
    <x v="0"/>
    <x v="3"/>
    <x v="3"/>
    <x v="9"/>
    <x v="1"/>
  </r>
  <r>
    <s v="TX501648"/>
    <x v="6"/>
    <x v="5"/>
    <n v="118.3"/>
    <n v="1301.3"/>
    <x v="61"/>
    <d v="2025-03-05T00:00:00"/>
    <s v="M"/>
    <x v="4"/>
    <x v="2"/>
    <x v="0"/>
    <x v="3"/>
    <x v="1"/>
    <x v="9"/>
    <x v="1"/>
  </r>
  <r>
    <s v="TX501649"/>
    <x v="19"/>
    <x v="0"/>
    <n v="36"/>
    <n v="36"/>
    <x v="61"/>
    <d v="2025-03-04T00:00:00"/>
    <s v="F"/>
    <x v="0"/>
    <x v="1"/>
    <x v="0"/>
    <x v="3"/>
    <x v="3"/>
    <x v="9"/>
    <x v="2"/>
  </r>
  <r>
    <s v="TX501650"/>
    <x v="8"/>
    <x v="1"/>
    <n v="37.1"/>
    <n v="74.2"/>
    <x v="61"/>
    <d v="2025-03-06T00:00:00"/>
    <s v="F"/>
    <x v="2"/>
    <x v="0"/>
    <x v="0"/>
    <x v="3"/>
    <x v="2"/>
    <x v="9"/>
    <x v="2"/>
  </r>
  <r>
    <s v="TX501651"/>
    <x v="18"/>
    <x v="2"/>
    <n v="45.1"/>
    <n v="135.30000000000001"/>
    <x v="61"/>
    <d v="2025-03-05T00:00:00"/>
    <s v="F"/>
    <x v="1"/>
    <x v="2"/>
    <x v="0"/>
    <x v="3"/>
    <x v="1"/>
    <x v="9"/>
    <x v="2"/>
  </r>
  <r>
    <s v="TX501652"/>
    <x v="5"/>
    <x v="27"/>
    <n v="37.9"/>
    <n v="606.4"/>
    <x v="61"/>
    <d v="2025-03-04T00:00:00"/>
    <s v="F"/>
    <x v="3"/>
    <x v="2"/>
    <x v="0"/>
    <x v="3"/>
    <x v="3"/>
    <x v="9"/>
    <x v="2"/>
  </r>
  <r>
    <s v="TX501653"/>
    <x v="2"/>
    <x v="1"/>
    <n v="121.6"/>
    <n v="243.2"/>
    <x v="61"/>
    <d v="2025-03-06T00:00:00"/>
    <s v="M"/>
    <x v="3"/>
    <x v="2"/>
    <x v="0"/>
    <x v="3"/>
    <x v="2"/>
    <x v="9"/>
    <x v="1"/>
  </r>
  <r>
    <s v="TX501654"/>
    <x v="5"/>
    <x v="3"/>
    <n v="38.200000000000003"/>
    <n v="267.40000000000003"/>
    <x v="61"/>
    <d v="2025-03-06T00:00:00"/>
    <s v="F"/>
    <x v="0"/>
    <x v="0"/>
    <x v="0"/>
    <x v="3"/>
    <x v="2"/>
    <x v="9"/>
    <x v="2"/>
  </r>
  <r>
    <s v="TX501655"/>
    <x v="17"/>
    <x v="1"/>
    <n v="37.200000000000003"/>
    <n v="74.400000000000006"/>
    <x v="61"/>
    <d v="2025-03-06T00:00:00"/>
    <s v="M"/>
    <x v="4"/>
    <x v="0"/>
    <x v="0"/>
    <x v="3"/>
    <x v="2"/>
    <x v="9"/>
    <x v="1"/>
  </r>
  <r>
    <s v="TX501656"/>
    <x v="2"/>
    <x v="12"/>
    <n v="115.7"/>
    <n v="462.8"/>
    <x v="61"/>
    <d v="2025-03-06T00:00:00"/>
    <s v="F"/>
    <x v="1"/>
    <x v="0"/>
    <x v="0"/>
    <x v="3"/>
    <x v="2"/>
    <x v="9"/>
    <x v="2"/>
  </r>
  <r>
    <s v="TX501657"/>
    <x v="2"/>
    <x v="13"/>
    <n v="99.4"/>
    <n v="596.40000000000009"/>
    <x v="61"/>
    <d v="2025-03-06T00:00:00"/>
    <s v="M"/>
    <x v="0"/>
    <x v="2"/>
    <x v="0"/>
    <x v="3"/>
    <x v="2"/>
    <x v="9"/>
    <x v="1"/>
  </r>
  <r>
    <s v="TX501658"/>
    <x v="11"/>
    <x v="0"/>
    <n v="38.700000000000003"/>
    <n v="38.700000000000003"/>
    <x v="61"/>
    <d v="2025-03-04T00:00:00"/>
    <s v="F"/>
    <x v="2"/>
    <x v="0"/>
    <x v="0"/>
    <x v="25"/>
    <x v="3"/>
    <x v="9"/>
    <x v="2"/>
  </r>
  <r>
    <s v="TX501659"/>
    <x v="4"/>
    <x v="1"/>
    <n v="35.5"/>
    <n v="71"/>
    <x v="61"/>
    <d v="2025-03-06T00:00:00"/>
    <s v="M"/>
    <x v="0"/>
    <x v="2"/>
    <x v="0"/>
    <x v="25"/>
    <x v="2"/>
    <x v="9"/>
    <x v="1"/>
  </r>
  <r>
    <s v="TX501660"/>
    <x v="2"/>
    <x v="12"/>
    <n v="93.3"/>
    <n v="373.2"/>
    <x v="61"/>
    <d v="2025-03-06T00:00:00"/>
    <s v="F"/>
    <x v="0"/>
    <x v="2"/>
    <x v="0"/>
    <x v="6"/>
    <x v="2"/>
    <x v="9"/>
    <x v="2"/>
  </r>
  <r>
    <s v="TX501661"/>
    <x v="16"/>
    <x v="0"/>
    <n v="31.4"/>
    <n v="31.4"/>
    <x v="61"/>
    <d v="2025-03-08T00:00:00"/>
    <s v="F"/>
    <x v="2"/>
    <x v="2"/>
    <x v="0"/>
    <x v="6"/>
    <x v="0"/>
    <x v="9"/>
    <x v="2"/>
  </r>
  <r>
    <s v="TX501662"/>
    <x v="1"/>
    <x v="0"/>
    <n v="85.9"/>
    <n v="85.9"/>
    <x v="61"/>
    <d v="2025-03-06T00:00:00"/>
    <s v="M"/>
    <x v="1"/>
    <x v="0"/>
    <x v="0"/>
    <x v="6"/>
    <x v="2"/>
    <x v="9"/>
    <x v="1"/>
  </r>
  <r>
    <s v="TX501663"/>
    <x v="6"/>
    <x v="8"/>
    <n v="41.7"/>
    <n v="333.6"/>
    <x v="61"/>
    <d v="2025-03-11T00:00:00"/>
    <s v="M"/>
    <x v="0"/>
    <x v="2"/>
    <x v="0"/>
    <x v="7"/>
    <x v="9"/>
    <x v="9"/>
    <x v="1"/>
  </r>
  <r>
    <s v="TX501664"/>
    <x v="8"/>
    <x v="12"/>
    <n v="31.5"/>
    <n v="126"/>
    <x v="61"/>
    <d v="2025-03-04T00:00:00"/>
    <s v="F"/>
    <x v="0"/>
    <x v="0"/>
    <x v="0"/>
    <x v="7"/>
    <x v="3"/>
    <x v="9"/>
    <x v="2"/>
  </r>
  <r>
    <s v="TX501665"/>
    <x v="8"/>
    <x v="1"/>
    <n v="36.299999999999997"/>
    <n v="72.599999999999994"/>
    <x v="61"/>
    <d v="2025-03-04T00:00:00"/>
    <s v="F"/>
    <x v="0"/>
    <x v="4"/>
    <x v="0"/>
    <x v="8"/>
    <x v="3"/>
    <x v="9"/>
    <x v="2"/>
  </r>
  <r>
    <s v="TX501666"/>
    <x v="8"/>
    <x v="2"/>
    <n v="33.4"/>
    <n v="100.19999999999999"/>
    <x v="61"/>
    <d v="2025-03-04T00:00:00"/>
    <s v="F"/>
    <x v="3"/>
    <x v="0"/>
    <x v="0"/>
    <x v="17"/>
    <x v="3"/>
    <x v="9"/>
    <x v="2"/>
  </r>
  <r>
    <s v="TX501667"/>
    <x v="2"/>
    <x v="2"/>
    <n v="65.2"/>
    <n v="195.60000000000002"/>
    <x v="61"/>
    <d v="2025-03-04T00:00:00"/>
    <s v="F"/>
    <x v="2"/>
    <x v="2"/>
    <x v="0"/>
    <x v="26"/>
    <x v="3"/>
    <x v="9"/>
    <x v="2"/>
  </r>
  <r>
    <s v="TX501668"/>
    <x v="8"/>
    <x v="11"/>
    <n v="65.5"/>
    <n v="589.5"/>
    <x v="61"/>
    <d v="2025-03-06T00:00:00"/>
    <s v="F"/>
    <x v="0"/>
    <x v="2"/>
    <x v="0"/>
    <x v="9"/>
    <x v="2"/>
    <x v="9"/>
    <x v="2"/>
  </r>
  <r>
    <s v="TX501669"/>
    <x v="6"/>
    <x v="2"/>
    <n v="52.8"/>
    <n v="158.39999999999998"/>
    <x v="61"/>
    <d v="2025-03-06T00:00:00"/>
    <s v="M"/>
    <x v="2"/>
    <x v="0"/>
    <x v="0"/>
    <x v="9"/>
    <x v="2"/>
    <x v="9"/>
    <x v="1"/>
  </r>
  <r>
    <s v="TX501670"/>
    <x v="9"/>
    <x v="9"/>
    <n v="24"/>
    <n v="120"/>
    <x v="61"/>
    <d v="2025-03-07T00:00:00"/>
    <s v="M"/>
    <x v="0"/>
    <x v="1"/>
    <x v="0"/>
    <x v="11"/>
    <x v="5"/>
    <x v="9"/>
    <x v="1"/>
  </r>
  <r>
    <s v="TX501671"/>
    <x v="3"/>
    <x v="2"/>
    <n v="51.2"/>
    <n v="153.60000000000002"/>
    <x v="61"/>
    <d v="2025-03-04T00:00:00"/>
    <s v="F"/>
    <x v="0"/>
    <x v="0"/>
    <x v="0"/>
    <x v="32"/>
    <x v="3"/>
    <x v="9"/>
    <x v="2"/>
  </r>
  <r>
    <s v="TX501672"/>
    <x v="5"/>
    <x v="2"/>
    <n v="28.3"/>
    <n v="84.9"/>
    <x v="61"/>
    <d v="2025-03-05T00:00:00"/>
    <s v="M"/>
    <x v="4"/>
    <x v="0"/>
    <x v="0"/>
    <x v="19"/>
    <x v="1"/>
    <x v="9"/>
    <x v="1"/>
  </r>
  <r>
    <s v="TX501673"/>
    <x v="6"/>
    <x v="2"/>
    <n v="42.3"/>
    <n v="126.89999999999999"/>
    <x v="61"/>
    <d v="2025-03-03T00:00:00"/>
    <s v="F"/>
    <x v="2"/>
    <x v="1"/>
    <x v="0"/>
    <x v="19"/>
    <x v="7"/>
    <x v="9"/>
    <x v="2"/>
  </r>
  <r>
    <s v="TX501674"/>
    <x v="2"/>
    <x v="8"/>
    <n v="163.30000000000001"/>
    <n v="1306.4000000000001"/>
    <x v="62"/>
    <d v="2025-03-05T00:00:00"/>
    <s v="F"/>
    <x v="1"/>
    <x v="0"/>
    <x v="0"/>
    <x v="13"/>
    <x v="3"/>
    <x v="9"/>
    <x v="2"/>
  </r>
  <r>
    <s v="TX501675"/>
    <x v="6"/>
    <x v="3"/>
    <n v="47.3"/>
    <n v="331.09999999999997"/>
    <x v="62"/>
    <d v="2025-03-07T00:00:00"/>
    <s v="F"/>
    <x v="4"/>
    <x v="1"/>
    <x v="0"/>
    <x v="21"/>
    <x v="2"/>
    <x v="9"/>
    <x v="2"/>
  </r>
  <r>
    <s v="TX501676"/>
    <x v="8"/>
    <x v="27"/>
    <n v="27.3"/>
    <n v="436.8"/>
    <x v="62"/>
    <d v="2025-03-05T00:00:00"/>
    <s v="F"/>
    <x v="2"/>
    <x v="0"/>
    <x v="0"/>
    <x v="21"/>
    <x v="3"/>
    <x v="9"/>
    <x v="2"/>
  </r>
  <r>
    <s v="TX501677"/>
    <x v="10"/>
    <x v="13"/>
    <n v="34.9"/>
    <n v="209.39999999999998"/>
    <x v="62"/>
    <d v="2025-03-15T00:00:00"/>
    <s v="F"/>
    <x v="0"/>
    <x v="0"/>
    <x v="0"/>
    <x v="21"/>
    <x v="11"/>
    <x v="9"/>
    <x v="2"/>
  </r>
  <r>
    <s v="TX501678"/>
    <x v="6"/>
    <x v="1"/>
    <n v="53.9"/>
    <n v="107.8"/>
    <x v="62"/>
    <d v="2025-03-07T00:00:00"/>
    <s v="O"/>
    <x v="0"/>
    <x v="4"/>
    <x v="0"/>
    <x v="1"/>
    <x v="2"/>
    <x v="9"/>
    <x v="3"/>
  </r>
  <r>
    <s v="TX501679"/>
    <x v="2"/>
    <x v="1"/>
    <n v="87.2"/>
    <n v="174.4"/>
    <x v="62"/>
    <d v="2025-03-05T00:00:00"/>
    <s v="F"/>
    <x v="0"/>
    <x v="1"/>
    <x v="0"/>
    <x v="1"/>
    <x v="3"/>
    <x v="9"/>
    <x v="2"/>
  </r>
  <r>
    <s v="TX501680"/>
    <x v="15"/>
    <x v="0"/>
    <n v="58.8"/>
    <n v="58.8"/>
    <x v="62"/>
    <d v="2025-03-06T00:00:00"/>
    <s v="F"/>
    <x v="2"/>
    <x v="0"/>
    <x v="0"/>
    <x v="44"/>
    <x v="1"/>
    <x v="9"/>
    <x v="2"/>
  </r>
  <r>
    <s v="TX501681"/>
    <x v="2"/>
    <x v="3"/>
    <n v="125.5"/>
    <n v="878.5"/>
    <x v="62"/>
    <d v="2025-03-05T00:00:00"/>
    <s v="M"/>
    <x v="2"/>
    <x v="4"/>
    <x v="0"/>
    <x v="22"/>
    <x v="3"/>
    <x v="9"/>
    <x v="1"/>
  </r>
  <r>
    <s v="TX501682"/>
    <x v="1"/>
    <x v="12"/>
    <n v="124.6"/>
    <n v="498.4"/>
    <x v="62"/>
    <d v="2025-03-06T00:00:00"/>
    <s v="F"/>
    <x v="0"/>
    <x v="1"/>
    <x v="0"/>
    <x v="22"/>
    <x v="1"/>
    <x v="9"/>
    <x v="2"/>
  </r>
  <r>
    <s v="TX501683"/>
    <x v="1"/>
    <x v="3"/>
    <n v="39.9"/>
    <n v="279.3"/>
    <x v="62"/>
    <d v="2025-03-05T00:00:00"/>
    <s v="M"/>
    <x v="2"/>
    <x v="1"/>
    <x v="0"/>
    <x v="3"/>
    <x v="3"/>
    <x v="9"/>
    <x v="1"/>
  </r>
  <r>
    <s v="TX501684"/>
    <x v="6"/>
    <x v="0"/>
    <n v="94.6"/>
    <n v="94.6"/>
    <x v="62"/>
    <d v="2025-03-18T00:00:00"/>
    <s v="F"/>
    <x v="0"/>
    <x v="1"/>
    <x v="0"/>
    <x v="3"/>
    <x v="12"/>
    <x v="9"/>
    <x v="2"/>
  </r>
  <r>
    <s v="TX501685"/>
    <x v="2"/>
    <x v="1"/>
    <n v="149.6"/>
    <n v="299.2"/>
    <x v="62"/>
    <d v="2025-03-05T00:00:00"/>
    <s v="F"/>
    <x v="0"/>
    <x v="0"/>
    <x v="0"/>
    <x v="3"/>
    <x v="3"/>
    <x v="9"/>
    <x v="2"/>
  </r>
  <r>
    <s v="TX501686"/>
    <x v="8"/>
    <x v="0"/>
    <n v="52.2"/>
    <n v="52.2"/>
    <x v="62"/>
    <d v="2025-03-05T00:00:00"/>
    <m/>
    <x v="1"/>
    <x v="0"/>
    <x v="0"/>
    <x v="3"/>
    <x v="3"/>
    <x v="9"/>
    <x v="0"/>
  </r>
  <r>
    <s v="TX501687"/>
    <x v="6"/>
    <x v="1"/>
    <n v="96.5"/>
    <n v="193"/>
    <x v="62"/>
    <d v="2025-03-05T00:00:00"/>
    <s v="F"/>
    <x v="1"/>
    <x v="1"/>
    <x v="0"/>
    <x v="3"/>
    <x v="3"/>
    <x v="9"/>
    <x v="2"/>
  </r>
  <r>
    <s v="TX501688"/>
    <x v="8"/>
    <x v="1"/>
    <n v="79.8"/>
    <n v="159.6"/>
    <x v="62"/>
    <d v="2025-03-06T00:00:00"/>
    <s v="F"/>
    <x v="0"/>
    <x v="1"/>
    <x v="0"/>
    <x v="3"/>
    <x v="1"/>
    <x v="9"/>
    <x v="2"/>
  </r>
  <r>
    <s v="TX501689"/>
    <x v="8"/>
    <x v="2"/>
    <n v="35.6"/>
    <n v="106.80000000000001"/>
    <x v="62"/>
    <d v="2025-03-05T00:00:00"/>
    <s v="F"/>
    <x v="2"/>
    <x v="0"/>
    <x v="0"/>
    <x v="3"/>
    <x v="3"/>
    <x v="9"/>
    <x v="2"/>
  </r>
  <r>
    <s v="TX501690"/>
    <x v="16"/>
    <x v="0"/>
    <n v="50.2"/>
    <n v="50.2"/>
    <x v="62"/>
    <d v="2025-03-05T00:00:00"/>
    <s v="F"/>
    <x v="1"/>
    <x v="2"/>
    <x v="0"/>
    <x v="3"/>
    <x v="3"/>
    <x v="9"/>
    <x v="2"/>
  </r>
  <r>
    <s v="TX501691"/>
    <x v="1"/>
    <x v="2"/>
    <n v="55.3"/>
    <n v="165.89999999999998"/>
    <x v="62"/>
    <d v="2025-03-07T00:00:00"/>
    <s v="F"/>
    <x v="0"/>
    <x v="4"/>
    <x v="0"/>
    <x v="40"/>
    <x v="2"/>
    <x v="9"/>
    <x v="2"/>
  </r>
  <r>
    <s v="TX501692"/>
    <x v="6"/>
    <x v="3"/>
    <n v="104.5"/>
    <n v="731.5"/>
    <x v="62"/>
    <d v="2025-03-08T00:00:00"/>
    <s v="F"/>
    <x v="1"/>
    <x v="0"/>
    <x v="0"/>
    <x v="7"/>
    <x v="5"/>
    <x v="9"/>
    <x v="2"/>
  </r>
  <r>
    <s v="TX501693"/>
    <x v="6"/>
    <x v="12"/>
    <n v="66.5"/>
    <n v="266"/>
    <x v="62"/>
    <d v="2025-03-06T00:00:00"/>
    <s v="M"/>
    <x v="1"/>
    <x v="0"/>
    <x v="0"/>
    <x v="7"/>
    <x v="1"/>
    <x v="9"/>
    <x v="1"/>
  </r>
  <r>
    <s v="TX501694"/>
    <x v="10"/>
    <x v="8"/>
    <n v="38.299999999999997"/>
    <n v="306.39999999999998"/>
    <x v="62"/>
    <d v="2025-03-05T00:00:00"/>
    <s v="F"/>
    <x v="0"/>
    <x v="0"/>
    <x v="0"/>
    <x v="7"/>
    <x v="3"/>
    <x v="9"/>
    <x v="2"/>
  </r>
  <r>
    <s v="TX501695"/>
    <x v="6"/>
    <x v="2"/>
    <n v="63.8"/>
    <n v="191.39999999999998"/>
    <x v="62"/>
    <d v="2025-03-07T00:00:00"/>
    <s v="F"/>
    <x v="1"/>
    <x v="0"/>
    <x v="0"/>
    <x v="8"/>
    <x v="2"/>
    <x v="9"/>
    <x v="2"/>
  </r>
  <r>
    <s v="TX501696"/>
    <x v="15"/>
    <x v="0"/>
    <n v="21.4"/>
    <n v="21.4"/>
    <x v="62"/>
    <d v="2025-03-04T00:00:00"/>
    <s v="M"/>
    <x v="4"/>
    <x v="0"/>
    <x v="0"/>
    <x v="8"/>
    <x v="7"/>
    <x v="9"/>
    <x v="1"/>
  </r>
  <r>
    <s v="TX501697"/>
    <x v="8"/>
    <x v="12"/>
    <n v="44.1"/>
    <n v="176.4"/>
    <x v="62"/>
    <d v="2025-03-06T00:00:00"/>
    <s v="F"/>
    <x v="2"/>
    <x v="0"/>
    <x v="0"/>
    <x v="8"/>
    <x v="1"/>
    <x v="9"/>
    <x v="2"/>
  </r>
  <r>
    <s v="TX501698"/>
    <x v="5"/>
    <x v="8"/>
    <n v="57.6"/>
    <n v="460.8"/>
    <x v="62"/>
    <d v="2025-03-06T00:00:00"/>
    <s v="M"/>
    <x v="1"/>
    <x v="2"/>
    <x v="0"/>
    <x v="8"/>
    <x v="1"/>
    <x v="9"/>
    <x v="1"/>
  </r>
  <r>
    <s v="TX501699"/>
    <x v="9"/>
    <x v="1"/>
    <n v="20.3"/>
    <n v="40.6"/>
    <x v="62"/>
    <d v="2025-03-10T00:00:00"/>
    <s v="F"/>
    <x v="3"/>
    <x v="0"/>
    <x v="0"/>
    <x v="8"/>
    <x v="4"/>
    <x v="9"/>
    <x v="2"/>
  </r>
  <r>
    <s v="TX501700"/>
    <x v="8"/>
    <x v="0"/>
    <n v="22.9"/>
    <n v="22.9"/>
    <x v="62"/>
    <d v="2025-03-06T00:00:00"/>
    <s v="F"/>
    <x v="2"/>
    <x v="2"/>
    <x v="0"/>
    <x v="8"/>
    <x v="1"/>
    <x v="9"/>
    <x v="2"/>
  </r>
  <r>
    <s v="TX501701"/>
    <x v="6"/>
    <x v="12"/>
    <n v="105.9"/>
    <n v="423.6"/>
    <x v="62"/>
    <d v="2025-03-05T00:00:00"/>
    <s v="F"/>
    <x v="1"/>
    <x v="2"/>
    <x v="0"/>
    <x v="17"/>
    <x v="3"/>
    <x v="9"/>
    <x v="2"/>
  </r>
  <r>
    <s v="TX501702"/>
    <x v="1"/>
    <x v="11"/>
    <n v="37.4"/>
    <n v="336.59999999999997"/>
    <x v="62"/>
    <d v="2025-03-08T00:00:00"/>
    <s v="M"/>
    <x v="1"/>
    <x v="0"/>
    <x v="0"/>
    <x v="11"/>
    <x v="5"/>
    <x v="9"/>
    <x v="1"/>
  </r>
  <r>
    <s v="TX501703"/>
    <x v="18"/>
    <x v="1"/>
    <n v="79"/>
    <n v="158"/>
    <x v="62"/>
    <d v="2025-03-05T00:00:00"/>
    <s v="M"/>
    <x v="2"/>
    <x v="0"/>
    <x v="0"/>
    <x v="28"/>
    <x v="3"/>
    <x v="9"/>
    <x v="1"/>
  </r>
  <r>
    <s v="TX501704"/>
    <x v="0"/>
    <x v="2"/>
    <n v="19.3"/>
    <n v="57.900000000000006"/>
    <x v="62"/>
    <d v="2025-03-05T00:00:00"/>
    <s v="F"/>
    <x v="4"/>
    <x v="0"/>
    <x v="0"/>
    <x v="21"/>
    <x v="3"/>
    <x v="9"/>
    <x v="2"/>
  </r>
  <r>
    <s v="TX501705"/>
    <x v="0"/>
    <x v="0"/>
    <n v="24"/>
    <n v="24"/>
    <x v="62"/>
    <d v="2025-03-05T00:00:00"/>
    <s v="F"/>
    <x v="1"/>
    <x v="0"/>
    <x v="0"/>
    <x v="1"/>
    <x v="3"/>
    <x v="9"/>
    <x v="2"/>
  </r>
  <r>
    <s v="TX501706"/>
    <x v="6"/>
    <x v="9"/>
    <n v="71.3"/>
    <n v="356.5"/>
    <x v="62"/>
    <d v="2025-03-07T00:00:00"/>
    <s v="F"/>
    <x v="2"/>
    <x v="0"/>
    <x v="0"/>
    <x v="2"/>
    <x v="2"/>
    <x v="9"/>
    <x v="2"/>
  </r>
  <r>
    <s v="TX501707"/>
    <x v="5"/>
    <x v="1"/>
    <n v="166.2"/>
    <n v="332.4"/>
    <x v="62"/>
    <d v="2025-03-05T00:00:00"/>
    <s v="M"/>
    <x v="0"/>
    <x v="2"/>
    <x v="0"/>
    <x v="50"/>
    <x v="3"/>
    <x v="9"/>
    <x v="1"/>
  </r>
  <r>
    <s v="TX501708"/>
    <x v="6"/>
    <x v="0"/>
    <n v="81"/>
    <n v="81"/>
    <x v="62"/>
    <d v="2025-03-05T00:00:00"/>
    <s v="F"/>
    <x v="2"/>
    <x v="1"/>
    <x v="0"/>
    <x v="3"/>
    <x v="3"/>
    <x v="9"/>
    <x v="2"/>
  </r>
  <r>
    <s v="TX501709"/>
    <x v="10"/>
    <x v="13"/>
    <n v="38.5"/>
    <n v="231"/>
    <x v="62"/>
    <d v="2025-03-08T00:00:00"/>
    <s v="F"/>
    <x v="0"/>
    <x v="0"/>
    <x v="0"/>
    <x v="3"/>
    <x v="5"/>
    <x v="9"/>
    <x v="2"/>
  </r>
  <r>
    <s v="TX501710"/>
    <x v="6"/>
    <x v="0"/>
    <n v="86.1"/>
    <n v="86.1"/>
    <x v="62"/>
    <d v="2025-03-06T00:00:00"/>
    <s v="F"/>
    <x v="3"/>
    <x v="0"/>
    <x v="0"/>
    <x v="3"/>
    <x v="1"/>
    <x v="9"/>
    <x v="2"/>
  </r>
  <r>
    <s v="TX501711"/>
    <x v="2"/>
    <x v="9"/>
    <n v="51"/>
    <n v="255"/>
    <x v="62"/>
    <d v="2025-03-05T00:00:00"/>
    <s v="M"/>
    <x v="0"/>
    <x v="1"/>
    <x v="0"/>
    <x v="3"/>
    <x v="3"/>
    <x v="9"/>
    <x v="1"/>
  </r>
  <r>
    <s v="TX501712"/>
    <x v="3"/>
    <x v="9"/>
    <n v="115.4"/>
    <n v="577"/>
    <x v="62"/>
    <d v="2025-03-05T00:00:00"/>
    <s v="M"/>
    <x v="0"/>
    <x v="0"/>
    <x v="0"/>
    <x v="3"/>
    <x v="3"/>
    <x v="9"/>
    <x v="1"/>
  </r>
  <r>
    <s v="TX501713"/>
    <x v="6"/>
    <x v="12"/>
    <n v="176.5"/>
    <n v="706"/>
    <x v="62"/>
    <d v="2025-03-05T00:00:00"/>
    <s v="F"/>
    <x v="2"/>
    <x v="2"/>
    <x v="0"/>
    <x v="3"/>
    <x v="3"/>
    <x v="9"/>
    <x v="2"/>
  </r>
  <r>
    <s v="TX501714"/>
    <x v="7"/>
    <x v="2"/>
    <n v="48.9"/>
    <n v="146.69999999999999"/>
    <x v="62"/>
    <d v="2025-03-05T00:00:00"/>
    <s v="M"/>
    <x v="4"/>
    <x v="0"/>
    <x v="0"/>
    <x v="3"/>
    <x v="3"/>
    <x v="9"/>
    <x v="1"/>
  </r>
  <r>
    <s v="TX501715"/>
    <x v="8"/>
    <x v="2"/>
    <n v="18.100000000000001"/>
    <n v="54.300000000000004"/>
    <x v="62"/>
    <d v="2025-03-11T00:00:00"/>
    <s v="F"/>
    <x v="1"/>
    <x v="2"/>
    <x v="0"/>
    <x v="29"/>
    <x v="6"/>
    <x v="9"/>
    <x v="2"/>
  </r>
  <r>
    <s v="TX501716"/>
    <x v="2"/>
    <x v="1"/>
    <n v="118.5"/>
    <n v="237"/>
    <x v="62"/>
    <d v="2025-03-07T00:00:00"/>
    <s v="M"/>
    <x v="1"/>
    <x v="2"/>
    <x v="0"/>
    <x v="16"/>
    <x v="2"/>
    <x v="9"/>
    <x v="1"/>
  </r>
  <r>
    <s v="TX501717"/>
    <x v="15"/>
    <x v="3"/>
    <n v="59.1"/>
    <n v="413.7"/>
    <x v="62"/>
    <d v="2025-03-05T00:00:00"/>
    <s v="F"/>
    <x v="3"/>
    <x v="0"/>
    <x v="0"/>
    <x v="25"/>
    <x v="3"/>
    <x v="9"/>
    <x v="2"/>
  </r>
  <r>
    <s v="TX501718"/>
    <x v="4"/>
    <x v="0"/>
    <n v="21.2"/>
    <n v="21.2"/>
    <x v="62"/>
    <d v="2025-03-05T00:00:00"/>
    <s v="F"/>
    <x v="0"/>
    <x v="1"/>
    <x v="0"/>
    <x v="6"/>
    <x v="3"/>
    <x v="9"/>
    <x v="2"/>
  </r>
  <r>
    <s v="TX501719"/>
    <x v="6"/>
    <x v="1"/>
    <n v="68.8"/>
    <n v="137.6"/>
    <x v="62"/>
    <d v="2025-03-09T00:00:00"/>
    <s v="F"/>
    <x v="3"/>
    <x v="2"/>
    <x v="0"/>
    <x v="6"/>
    <x v="0"/>
    <x v="9"/>
    <x v="2"/>
  </r>
  <r>
    <s v="TX501720"/>
    <x v="6"/>
    <x v="1"/>
    <n v="65.400000000000006"/>
    <n v="130.80000000000001"/>
    <x v="62"/>
    <d v="2025-03-08T00:00:00"/>
    <s v="F"/>
    <x v="0"/>
    <x v="0"/>
    <x v="0"/>
    <x v="6"/>
    <x v="5"/>
    <x v="9"/>
    <x v="2"/>
  </r>
  <r>
    <s v="TX501721"/>
    <x v="12"/>
    <x v="9"/>
    <n v="66.3"/>
    <n v="331.5"/>
    <x v="63"/>
    <d v="2025-03-08T00:00:00"/>
    <s v="F"/>
    <x v="4"/>
    <x v="0"/>
    <x v="0"/>
    <x v="6"/>
    <x v="2"/>
    <x v="9"/>
    <x v="2"/>
  </r>
  <r>
    <s v="TX501722"/>
    <x v="6"/>
    <x v="2"/>
    <n v="97.5"/>
    <n v="292.5"/>
    <x v="63"/>
    <d v="2025-03-05T00:00:00"/>
    <s v="M"/>
    <x v="3"/>
    <x v="0"/>
    <x v="0"/>
    <x v="8"/>
    <x v="7"/>
    <x v="9"/>
    <x v="1"/>
  </r>
  <r>
    <s v="TX501723"/>
    <x v="1"/>
    <x v="1"/>
    <n v="44"/>
    <n v="88"/>
    <x v="63"/>
    <d v="2025-03-08T00:00:00"/>
    <s v="F"/>
    <x v="1"/>
    <x v="2"/>
    <x v="0"/>
    <x v="8"/>
    <x v="2"/>
    <x v="9"/>
    <x v="2"/>
  </r>
  <r>
    <s v="TX501724"/>
    <x v="0"/>
    <x v="0"/>
    <n v="21.9"/>
    <n v="21.9"/>
    <x v="63"/>
    <d v="2025-03-06T00:00:00"/>
    <s v="M"/>
    <x v="0"/>
    <x v="0"/>
    <x v="0"/>
    <x v="8"/>
    <x v="3"/>
    <x v="9"/>
    <x v="1"/>
  </r>
  <r>
    <s v="TX501725"/>
    <x v="4"/>
    <x v="3"/>
    <n v="21.5"/>
    <n v="150.5"/>
    <x v="63"/>
    <d v="2025-03-07T00:00:00"/>
    <s v="F"/>
    <x v="1"/>
    <x v="2"/>
    <x v="0"/>
    <x v="9"/>
    <x v="1"/>
    <x v="9"/>
    <x v="2"/>
  </r>
  <r>
    <s v="TX501726"/>
    <x v="12"/>
    <x v="13"/>
    <n v="133"/>
    <n v="798"/>
    <x v="63"/>
    <d v="2025-03-06T00:00:00"/>
    <s v="O"/>
    <x v="0"/>
    <x v="2"/>
    <x v="0"/>
    <x v="10"/>
    <x v="3"/>
    <x v="9"/>
    <x v="3"/>
  </r>
  <r>
    <s v="TX501727"/>
    <x v="8"/>
    <x v="1"/>
    <n v="47.7"/>
    <n v="95.4"/>
    <x v="63"/>
    <d v="2025-03-09T00:00:00"/>
    <s v="M"/>
    <x v="0"/>
    <x v="2"/>
    <x v="0"/>
    <x v="10"/>
    <x v="5"/>
    <x v="9"/>
    <x v="1"/>
  </r>
  <r>
    <s v="TX501728"/>
    <x v="16"/>
    <x v="2"/>
    <n v="58.1"/>
    <n v="174.3"/>
    <x v="63"/>
    <d v="2025-03-06T00:00:00"/>
    <s v="F"/>
    <x v="0"/>
    <x v="0"/>
    <x v="0"/>
    <x v="11"/>
    <x v="3"/>
    <x v="9"/>
    <x v="2"/>
  </r>
  <r>
    <s v="TX501729"/>
    <x v="12"/>
    <x v="12"/>
    <n v="66.599999999999994"/>
    <n v="266.39999999999998"/>
    <x v="63"/>
    <d v="2025-03-06T00:00:00"/>
    <m/>
    <x v="0"/>
    <x v="0"/>
    <x v="0"/>
    <x v="11"/>
    <x v="3"/>
    <x v="9"/>
    <x v="0"/>
  </r>
  <r>
    <s v="TX501730"/>
    <x v="9"/>
    <x v="0"/>
    <n v="24.1"/>
    <n v="24.1"/>
    <x v="63"/>
    <d v="2025-03-08T00:00:00"/>
    <s v="M"/>
    <x v="2"/>
    <x v="1"/>
    <x v="0"/>
    <x v="19"/>
    <x v="2"/>
    <x v="9"/>
    <x v="1"/>
  </r>
  <r>
    <s v="TX501731"/>
    <x v="10"/>
    <x v="9"/>
    <n v="51.5"/>
    <n v="257.5"/>
    <x v="63"/>
    <d v="2025-03-10T00:00:00"/>
    <s v="F"/>
    <x v="0"/>
    <x v="0"/>
    <x v="0"/>
    <x v="13"/>
    <x v="0"/>
    <x v="9"/>
    <x v="2"/>
  </r>
  <r>
    <s v="TX501732"/>
    <x v="0"/>
    <x v="5"/>
    <n v="25.8"/>
    <n v="283.8"/>
    <x v="63"/>
    <d v="2025-03-09T00:00:00"/>
    <s v="F"/>
    <x v="3"/>
    <x v="4"/>
    <x v="0"/>
    <x v="21"/>
    <x v="5"/>
    <x v="9"/>
    <x v="2"/>
  </r>
  <r>
    <s v="TX501733"/>
    <x v="9"/>
    <x v="12"/>
    <n v="47.7"/>
    <n v="190.8"/>
    <x v="63"/>
    <d v="2025-03-05T00:00:00"/>
    <s v="F"/>
    <x v="0"/>
    <x v="1"/>
    <x v="0"/>
    <x v="21"/>
    <x v="7"/>
    <x v="9"/>
    <x v="2"/>
  </r>
  <r>
    <s v="TX501734"/>
    <x v="7"/>
    <x v="9"/>
    <n v="73.599999999999994"/>
    <n v="368"/>
    <x v="63"/>
    <d v="2025-03-09T00:00:00"/>
    <s v="M"/>
    <x v="1"/>
    <x v="0"/>
    <x v="0"/>
    <x v="21"/>
    <x v="5"/>
    <x v="9"/>
    <x v="1"/>
  </r>
  <r>
    <s v="TX501735"/>
    <x v="5"/>
    <x v="3"/>
    <n v="91.2"/>
    <n v="638.4"/>
    <x v="63"/>
    <d v="2025-03-06T00:00:00"/>
    <s v="M"/>
    <x v="1"/>
    <x v="2"/>
    <x v="0"/>
    <x v="21"/>
    <x v="3"/>
    <x v="9"/>
    <x v="1"/>
  </r>
  <r>
    <s v="TX501736"/>
    <x v="1"/>
    <x v="8"/>
    <n v="36.200000000000003"/>
    <n v="289.60000000000002"/>
    <x v="63"/>
    <d v="2025-03-05T00:00:00"/>
    <s v="M"/>
    <x v="2"/>
    <x v="2"/>
    <x v="0"/>
    <x v="1"/>
    <x v="7"/>
    <x v="9"/>
    <x v="1"/>
  </r>
  <r>
    <s v="TX501737"/>
    <x v="9"/>
    <x v="8"/>
    <n v="98"/>
    <n v="784"/>
    <x v="63"/>
    <d v="2025-03-09T00:00:00"/>
    <s v="F"/>
    <x v="2"/>
    <x v="0"/>
    <x v="0"/>
    <x v="2"/>
    <x v="5"/>
    <x v="9"/>
    <x v="2"/>
  </r>
  <r>
    <s v="TX501738"/>
    <x v="1"/>
    <x v="8"/>
    <n v="43.6"/>
    <n v="348.8"/>
    <x v="63"/>
    <d v="2025-03-06T00:00:00"/>
    <s v="F"/>
    <x v="2"/>
    <x v="0"/>
    <x v="0"/>
    <x v="22"/>
    <x v="3"/>
    <x v="9"/>
    <x v="2"/>
  </r>
  <r>
    <s v="TX501739"/>
    <x v="8"/>
    <x v="7"/>
    <n v="37.799999999999997"/>
    <n v="378"/>
    <x v="63"/>
    <d v="2025-03-05T00:00:00"/>
    <s v="O"/>
    <x v="0"/>
    <x v="0"/>
    <x v="0"/>
    <x v="50"/>
    <x v="7"/>
    <x v="9"/>
    <x v="3"/>
  </r>
  <r>
    <s v="TX501740"/>
    <x v="17"/>
    <x v="9"/>
    <n v="63.7"/>
    <n v="318.5"/>
    <x v="63"/>
    <d v="2025-03-08T00:00:00"/>
    <s v="F"/>
    <x v="2"/>
    <x v="1"/>
    <x v="0"/>
    <x v="3"/>
    <x v="2"/>
    <x v="9"/>
    <x v="2"/>
  </r>
  <r>
    <s v="TX501741"/>
    <x v="5"/>
    <x v="11"/>
    <n v="62.9"/>
    <n v="566.1"/>
    <x v="63"/>
    <d v="2025-03-10T00:00:00"/>
    <s v="M"/>
    <x v="3"/>
    <x v="2"/>
    <x v="0"/>
    <x v="3"/>
    <x v="0"/>
    <x v="9"/>
    <x v="1"/>
  </r>
  <r>
    <s v="TX501742"/>
    <x v="6"/>
    <x v="3"/>
    <n v="61.7"/>
    <n v="431.90000000000003"/>
    <x v="63"/>
    <d v="2025-03-08T00:00:00"/>
    <s v="F"/>
    <x v="2"/>
    <x v="2"/>
    <x v="0"/>
    <x v="3"/>
    <x v="2"/>
    <x v="9"/>
    <x v="2"/>
  </r>
  <r>
    <s v="TX501743"/>
    <x v="18"/>
    <x v="21"/>
    <n v="36.5"/>
    <n v="511"/>
    <x v="63"/>
    <d v="2025-03-06T00:00:00"/>
    <s v="M"/>
    <x v="0"/>
    <x v="2"/>
    <x v="0"/>
    <x v="3"/>
    <x v="3"/>
    <x v="9"/>
    <x v="1"/>
  </r>
  <r>
    <s v="TX501744"/>
    <x v="11"/>
    <x v="2"/>
    <n v="98.6"/>
    <n v="295.79999999999995"/>
    <x v="63"/>
    <d v="2025-03-08T00:00:00"/>
    <s v="O"/>
    <x v="0"/>
    <x v="4"/>
    <x v="0"/>
    <x v="3"/>
    <x v="2"/>
    <x v="9"/>
    <x v="3"/>
  </r>
  <r>
    <s v="TX501745"/>
    <x v="8"/>
    <x v="1"/>
    <n v="19.2"/>
    <n v="38.4"/>
    <x v="63"/>
    <d v="2025-03-15T00:00:00"/>
    <s v="M"/>
    <x v="0"/>
    <x v="0"/>
    <x v="0"/>
    <x v="3"/>
    <x v="14"/>
    <x v="9"/>
    <x v="1"/>
  </r>
  <r>
    <s v="TX501746"/>
    <x v="3"/>
    <x v="13"/>
    <n v="55.6"/>
    <n v="333.6"/>
    <x v="63"/>
    <d v="2025-03-09T00:00:00"/>
    <s v="F"/>
    <x v="0"/>
    <x v="2"/>
    <x v="0"/>
    <x v="3"/>
    <x v="5"/>
    <x v="9"/>
    <x v="2"/>
  </r>
  <r>
    <s v="TX501747"/>
    <x v="5"/>
    <x v="13"/>
    <n v="56.4"/>
    <n v="338.4"/>
    <x v="63"/>
    <d v="2025-03-06T00:00:00"/>
    <s v="F"/>
    <x v="1"/>
    <x v="0"/>
    <x v="0"/>
    <x v="3"/>
    <x v="3"/>
    <x v="9"/>
    <x v="2"/>
  </r>
  <r>
    <s v="TX501748"/>
    <x v="4"/>
    <x v="8"/>
    <n v="43.1"/>
    <n v="344.8"/>
    <x v="63"/>
    <d v="2025-03-09T00:00:00"/>
    <s v="F"/>
    <x v="4"/>
    <x v="0"/>
    <x v="0"/>
    <x v="3"/>
    <x v="5"/>
    <x v="9"/>
    <x v="2"/>
  </r>
  <r>
    <s v="TX501749"/>
    <x v="1"/>
    <x v="1"/>
    <n v="77.3"/>
    <n v="154.6"/>
    <x v="63"/>
    <d v="2025-03-07T00:00:00"/>
    <s v="M"/>
    <x v="0"/>
    <x v="0"/>
    <x v="0"/>
    <x v="6"/>
    <x v="1"/>
    <x v="9"/>
    <x v="1"/>
  </r>
  <r>
    <s v="TX501750"/>
    <x v="9"/>
    <x v="8"/>
    <n v="38.299999999999997"/>
    <n v="306.39999999999998"/>
    <x v="63"/>
    <d v="2025-03-06T00:00:00"/>
    <s v="M"/>
    <x v="0"/>
    <x v="0"/>
    <x v="0"/>
    <x v="7"/>
    <x v="3"/>
    <x v="9"/>
    <x v="1"/>
  </r>
  <r>
    <s v="TX501751"/>
    <x v="0"/>
    <x v="3"/>
    <n v="16.8"/>
    <n v="117.60000000000001"/>
    <x v="63"/>
    <d v="2025-03-08T00:00:00"/>
    <s v="M"/>
    <x v="2"/>
    <x v="1"/>
    <x v="0"/>
    <x v="8"/>
    <x v="2"/>
    <x v="9"/>
    <x v="1"/>
  </r>
  <r>
    <s v="TX501752"/>
    <x v="2"/>
    <x v="2"/>
    <n v="63.2"/>
    <n v="189.60000000000002"/>
    <x v="63"/>
    <d v="2025-03-06T00:00:00"/>
    <s v="F"/>
    <x v="0"/>
    <x v="2"/>
    <x v="0"/>
    <x v="8"/>
    <x v="3"/>
    <x v="9"/>
    <x v="2"/>
  </r>
  <r>
    <s v="TX501753"/>
    <x v="14"/>
    <x v="44"/>
    <n v="39.700000000000003"/>
    <n v="913.1"/>
    <x v="63"/>
    <d v="2025-03-06T00:00:00"/>
    <s v="M"/>
    <x v="0"/>
    <x v="0"/>
    <x v="0"/>
    <x v="8"/>
    <x v="3"/>
    <x v="9"/>
    <x v="1"/>
  </r>
  <r>
    <s v="TX501754"/>
    <x v="10"/>
    <x v="2"/>
    <n v="45.8"/>
    <n v="137.39999999999998"/>
    <x v="63"/>
    <d v="2025-03-06T00:00:00"/>
    <s v="F"/>
    <x v="1"/>
    <x v="2"/>
    <x v="0"/>
    <x v="8"/>
    <x v="3"/>
    <x v="9"/>
    <x v="2"/>
  </r>
  <r>
    <s v="TX501755"/>
    <x v="0"/>
    <x v="13"/>
    <n v="12.4"/>
    <n v="74.400000000000006"/>
    <x v="63"/>
    <d v="2025-03-08T00:00:00"/>
    <s v="M"/>
    <x v="0"/>
    <x v="0"/>
    <x v="0"/>
    <x v="8"/>
    <x v="2"/>
    <x v="9"/>
    <x v="1"/>
  </r>
  <r>
    <s v="TX501756"/>
    <x v="14"/>
    <x v="2"/>
    <n v="50.8"/>
    <n v="152.39999999999998"/>
    <x v="64"/>
    <d v="2025-03-06T00:00:00"/>
    <s v="F"/>
    <x v="4"/>
    <x v="0"/>
    <x v="0"/>
    <x v="17"/>
    <x v="7"/>
    <x v="9"/>
    <x v="2"/>
  </r>
  <r>
    <s v="TX501757"/>
    <x v="9"/>
    <x v="0"/>
    <n v="76"/>
    <n v="76"/>
    <x v="64"/>
    <d v="2025-03-10T00:00:00"/>
    <s v="O"/>
    <x v="2"/>
    <x v="2"/>
    <x v="0"/>
    <x v="17"/>
    <x v="5"/>
    <x v="9"/>
    <x v="3"/>
  </r>
  <r>
    <s v="TX501758"/>
    <x v="1"/>
    <x v="1"/>
    <n v="51.9"/>
    <n v="103.8"/>
    <x v="64"/>
    <d v="2025-03-07T00:00:00"/>
    <s v="M"/>
    <x v="1"/>
    <x v="2"/>
    <x v="0"/>
    <x v="26"/>
    <x v="3"/>
    <x v="9"/>
    <x v="1"/>
  </r>
  <r>
    <s v="TX501759"/>
    <x v="2"/>
    <x v="1"/>
    <n v="93.4"/>
    <n v="186.8"/>
    <x v="64"/>
    <d v="2025-03-13T00:00:00"/>
    <s v="M"/>
    <x v="0"/>
    <x v="3"/>
    <x v="0"/>
    <x v="11"/>
    <x v="6"/>
    <x v="9"/>
    <x v="1"/>
  </r>
  <r>
    <s v="TX501760"/>
    <x v="7"/>
    <x v="13"/>
    <n v="30.8"/>
    <n v="184.8"/>
    <x v="64"/>
    <d v="2025-03-09T00:00:00"/>
    <s v="F"/>
    <x v="1"/>
    <x v="0"/>
    <x v="0"/>
    <x v="11"/>
    <x v="2"/>
    <x v="9"/>
    <x v="2"/>
  </r>
  <r>
    <s v="TX501761"/>
    <x v="2"/>
    <x v="0"/>
    <n v="143.19999999999999"/>
    <n v="143.19999999999999"/>
    <x v="64"/>
    <d v="2025-03-09T00:00:00"/>
    <s v="M"/>
    <x v="2"/>
    <x v="0"/>
    <x v="0"/>
    <x v="11"/>
    <x v="2"/>
    <x v="9"/>
    <x v="1"/>
  </r>
  <r>
    <s v="TX501762"/>
    <x v="6"/>
    <x v="5"/>
    <n v="40.4"/>
    <n v="444.4"/>
    <x v="64"/>
    <d v="2025-03-08T00:00:00"/>
    <s v="M"/>
    <x v="2"/>
    <x v="2"/>
    <x v="0"/>
    <x v="18"/>
    <x v="1"/>
    <x v="9"/>
    <x v="1"/>
  </r>
  <r>
    <s v="TX501763"/>
    <x v="2"/>
    <x v="10"/>
    <n v="131.5"/>
    <n v="2498.5"/>
    <x v="64"/>
    <d v="2025-03-08T00:00:00"/>
    <s v="M"/>
    <x v="1"/>
    <x v="1"/>
    <x v="0"/>
    <x v="18"/>
    <x v="1"/>
    <x v="9"/>
    <x v="1"/>
  </r>
  <r>
    <s v="TX501764"/>
    <x v="18"/>
    <x v="3"/>
    <n v="61.6"/>
    <n v="431.2"/>
    <x v="64"/>
    <d v="2025-03-07T00:00:00"/>
    <s v="M"/>
    <x v="2"/>
    <x v="0"/>
    <x v="0"/>
    <x v="21"/>
    <x v="3"/>
    <x v="9"/>
    <x v="1"/>
  </r>
  <r>
    <s v="TX501765"/>
    <x v="9"/>
    <x v="9"/>
    <n v="32.700000000000003"/>
    <n v="163.5"/>
    <x v="64"/>
    <d v="2025-03-08T00:00:00"/>
    <s v="M"/>
    <x v="2"/>
    <x v="0"/>
    <x v="0"/>
    <x v="1"/>
    <x v="1"/>
    <x v="9"/>
    <x v="1"/>
  </r>
  <r>
    <s v="TX501766"/>
    <x v="0"/>
    <x v="7"/>
    <n v="13.7"/>
    <n v="137"/>
    <x v="64"/>
    <d v="2025-03-07T00:00:00"/>
    <s v="M"/>
    <x v="0"/>
    <x v="2"/>
    <x v="0"/>
    <x v="3"/>
    <x v="3"/>
    <x v="9"/>
    <x v="1"/>
  </r>
  <r>
    <s v="TX501767"/>
    <x v="0"/>
    <x v="12"/>
    <n v="32.1"/>
    <n v="128.4"/>
    <x v="64"/>
    <d v="2025-03-07T00:00:00"/>
    <s v="M"/>
    <x v="4"/>
    <x v="1"/>
    <x v="0"/>
    <x v="3"/>
    <x v="3"/>
    <x v="9"/>
    <x v="1"/>
  </r>
  <r>
    <s v="TX501768"/>
    <x v="14"/>
    <x v="8"/>
    <n v="12"/>
    <n v="96"/>
    <x v="64"/>
    <d v="2025-03-07T00:00:00"/>
    <s v="M"/>
    <x v="1"/>
    <x v="0"/>
    <x v="0"/>
    <x v="24"/>
    <x v="3"/>
    <x v="9"/>
    <x v="1"/>
  </r>
  <r>
    <s v="TX501769"/>
    <x v="12"/>
    <x v="0"/>
    <n v="64.3"/>
    <n v="64.3"/>
    <x v="64"/>
    <d v="2025-03-08T00:00:00"/>
    <s v="F"/>
    <x v="2"/>
    <x v="2"/>
    <x v="0"/>
    <x v="6"/>
    <x v="1"/>
    <x v="9"/>
    <x v="2"/>
  </r>
  <r>
    <s v="TX501770"/>
    <x v="1"/>
    <x v="2"/>
    <n v="58.2"/>
    <n v="174.60000000000002"/>
    <x v="64"/>
    <d v="2025-03-08T00:00:00"/>
    <s v="F"/>
    <x v="1"/>
    <x v="2"/>
    <x v="0"/>
    <x v="6"/>
    <x v="1"/>
    <x v="9"/>
    <x v="2"/>
  </r>
  <r>
    <s v="TX501771"/>
    <x v="6"/>
    <x v="12"/>
    <n v="59.2"/>
    <n v="236.8"/>
    <x v="64"/>
    <d v="2025-03-06T00:00:00"/>
    <s v="M"/>
    <x v="1"/>
    <x v="2"/>
    <x v="0"/>
    <x v="6"/>
    <x v="7"/>
    <x v="9"/>
    <x v="1"/>
  </r>
  <r>
    <s v="TX501772"/>
    <x v="10"/>
    <x v="5"/>
    <n v="35.6"/>
    <n v="391.6"/>
    <x v="64"/>
    <d v="2025-03-13T00:00:00"/>
    <s v="M"/>
    <x v="0"/>
    <x v="2"/>
    <x v="0"/>
    <x v="8"/>
    <x v="6"/>
    <x v="9"/>
    <x v="1"/>
  </r>
  <r>
    <s v="TX501773"/>
    <x v="16"/>
    <x v="8"/>
    <n v="37"/>
    <n v="296"/>
    <x v="64"/>
    <d v="2025-03-10T00:00:00"/>
    <s v="F"/>
    <x v="2"/>
    <x v="1"/>
    <x v="0"/>
    <x v="8"/>
    <x v="5"/>
    <x v="9"/>
    <x v="2"/>
  </r>
  <r>
    <s v="TX501774"/>
    <x v="1"/>
    <x v="15"/>
    <n v="80.8"/>
    <n v="1050.3999999999999"/>
    <x v="64"/>
    <d v="2025-03-08T00:00:00"/>
    <s v="F"/>
    <x v="0"/>
    <x v="0"/>
    <x v="0"/>
    <x v="8"/>
    <x v="1"/>
    <x v="9"/>
    <x v="2"/>
  </r>
  <r>
    <s v="TX501775"/>
    <x v="8"/>
    <x v="1"/>
    <n v="63.2"/>
    <n v="126.4"/>
    <x v="64"/>
    <d v="2025-03-07T00:00:00"/>
    <s v="M"/>
    <x v="0"/>
    <x v="1"/>
    <x v="0"/>
    <x v="8"/>
    <x v="3"/>
    <x v="9"/>
    <x v="1"/>
  </r>
  <r>
    <s v="TX501776"/>
    <x v="3"/>
    <x v="1"/>
    <n v="40.799999999999997"/>
    <n v="81.599999999999994"/>
    <x v="64"/>
    <d v="2025-03-08T00:00:00"/>
    <s v="M"/>
    <x v="0"/>
    <x v="1"/>
    <x v="0"/>
    <x v="17"/>
    <x v="1"/>
    <x v="9"/>
    <x v="1"/>
  </r>
  <r>
    <s v="TX501777"/>
    <x v="13"/>
    <x v="13"/>
    <n v="25.7"/>
    <n v="154.19999999999999"/>
    <x v="64"/>
    <d v="2025-03-08T00:00:00"/>
    <s v="M"/>
    <x v="4"/>
    <x v="0"/>
    <x v="0"/>
    <x v="18"/>
    <x v="1"/>
    <x v="9"/>
    <x v="1"/>
  </r>
  <r>
    <s v="TX501778"/>
    <x v="16"/>
    <x v="1"/>
    <n v="49.9"/>
    <n v="99.8"/>
    <x v="64"/>
    <d v="2025-03-09T00:00:00"/>
    <s v="M"/>
    <x v="0"/>
    <x v="0"/>
    <x v="0"/>
    <x v="20"/>
    <x v="2"/>
    <x v="9"/>
    <x v="1"/>
  </r>
  <r>
    <s v="TX501779"/>
    <x v="8"/>
    <x v="1"/>
    <n v="20.2"/>
    <n v="40.4"/>
    <x v="64"/>
    <d v="2025-03-08T00:00:00"/>
    <s v="F"/>
    <x v="3"/>
    <x v="0"/>
    <x v="0"/>
    <x v="21"/>
    <x v="1"/>
    <x v="9"/>
    <x v="2"/>
  </r>
  <r>
    <s v="TX501780"/>
    <x v="6"/>
    <x v="2"/>
    <n v="48.4"/>
    <n v="145.19999999999999"/>
    <x v="64"/>
    <d v="2025-03-11T00:00:00"/>
    <s v="F"/>
    <x v="0"/>
    <x v="2"/>
    <x v="0"/>
    <x v="21"/>
    <x v="0"/>
    <x v="9"/>
    <x v="2"/>
  </r>
  <r>
    <s v="TX501781"/>
    <x v="6"/>
    <x v="1"/>
    <n v="81"/>
    <n v="162"/>
    <x v="64"/>
    <d v="2025-03-07T00:00:00"/>
    <s v="F"/>
    <x v="1"/>
    <x v="2"/>
    <x v="0"/>
    <x v="21"/>
    <x v="3"/>
    <x v="9"/>
    <x v="2"/>
  </r>
  <r>
    <s v="TX501782"/>
    <x v="8"/>
    <x v="13"/>
    <n v="19.899999999999999"/>
    <n v="119.39999999999999"/>
    <x v="64"/>
    <d v="2025-03-09T00:00:00"/>
    <s v="F"/>
    <x v="0"/>
    <x v="1"/>
    <x v="0"/>
    <x v="22"/>
    <x v="2"/>
    <x v="9"/>
    <x v="2"/>
  </r>
  <r>
    <s v="TX501783"/>
    <x v="4"/>
    <x v="12"/>
    <n v="32.200000000000003"/>
    <n v="128.80000000000001"/>
    <x v="64"/>
    <d v="2025-03-16T00:00:00"/>
    <s v="M"/>
    <x v="0"/>
    <x v="0"/>
    <x v="0"/>
    <x v="22"/>
    <x v="14"/>
    <x v="9"/>
    <x v="1"/>
  </r>
  <r>
    <s v="TX501784"/>
    <x v="5"/>
    <x v="2"/>
    <n v="76.8"/>
    <n v="230.39999999999998"/>
    <x v="64"/>
    <d v="2025-03-07T00:00:00"/>
    <s v="F"/>
    <x v="0"/>
    <x v="1"/>
    <x v="0"/>
    <x v="3"/>
    <x v="3"/>
    <x v="9"/>
    <x v="2"/>
  </r>
  <r>
    <s v="TX501785"/>
    <x v="6"/>
    <x v="1"/>
    <n v="41.9"/>
    <n v="83.8"/>
    <x v="64"/>
    <d v="2025-03-08T00:00:00"/>
    <s v="F"/>
    <x v="0"/>
    <x v="0"/>
    <x v="0"/>
    <x v="3"/>
    <x v="1"/>
    <x v="9"/>
    <x v="2"/>
  </r>
  <r>
    <s v="TX501786"/>
    <x v="0"/>
    <x v="3"/>
    <n v="34"/>
    <n v="238"/>
    <x v="64"/>
    <d v="2025-03-08T00:00:00"/>
    <s v="F"/>
    <x v="1"/>
    <x v="2"/>
    <x v="0"/>
    <x v="3"/>
    <x v="1"/>
    <x v="9"/>
    <x v="2"/>
  </r>
  <r>
    <s v="TX501787"/>
    <x v="7"/>
    <x v="3"/>
    <n v="61.3"/>
    <n v="429.09999999999997"/>
    <x v="64"/>
    <d v="2025-03-06T00:00:00"/>
    <s v="F"/>
    <x v="4"/>
    <x v="2"/>
    <x v="0"/>
    <x v="3"/>
    <x v="7"/>
    <x v="9"/>
    <x v="2"/>
  </r>
  <r>
    <s v="TX501788"/>
    <x v="9"/>
    <x v="0"/>
    <n v="54.7"/>
    <n v="54.7"/>
    <x v="65"/>
    <d v="2025-03-08T00:00:00"/>
    <s v="M"/>
    <x v="0"/>
    <x v="1"/>
    <x v="0"/>
    <x v="3"/>
    <x v="3"/>
    <x v="9"/>
    <x v="1"/>
  </r>
  <r>
    <s v="TX501789"/>
    <x v="6"/>
    <x v="7"/>
    <n v="84.7"/>
    <n v="847"/>
    <x v="65"/>
    <d v="2025-03-11T00:00:00"/>
    <s v="F"/>
    <x v="0"/>
    <x v="0"/>
    <x v="0"/>
    <x v="3"/>
    <x v="5"/>
    <x v="9"/>
    <x v="2"/>
  </r>
  <r>
    <s v="TX501790"/>
    <x v="1"/>
    <x v="2"/>
    <n v="93.4"/>
    <n v="280.20000000000005"/>
    <x v="65"/>
    <d v="2025-03-11T00:00:00"/>
    <s v="F"/>
    <x v="3"/>
    <x v="0"/>
    <x v="0"/>
    <x v="3"/>
    <x v="5"/>
    <x v="9"/>
    <x v="2"/>
  </r>
  <r>
    <s v="TX501791"/>
    <x v="8"/>
    <x v="9"/>
    <n v="27"/>
    <n v="135"/>
    <x v="65"/>
    <d v="2025-03-10T00:00:00"/>
    <s v="M"/>
    <x v="0"/>
    <x v="1"/>
    <x v="0"/>
    <x v="3"/>
    <x v="2"/>
    <x v="9"/>
    <x v="1"/>
  </r>
  <r>
    <s v="TX501792"/>
    <x v="0"/>
    <x v="12"/>
    <n v="10.9"/>
    <n v="43.6"/>
    <x v="65"/>
    <d v="2025-03-08T00:00:00"/>
    <s v="M"/>
    <x v="2"/>
    <x v="0"/>
    <x v="0"/>
    <x v="3"/>
    <x v="3"/>
    <x v="9"/>
    <x v="1"/>
  </r>
  <r>
    <s v="TX501793"/>
    <x v="16"/>
    <x v="2"/>
    <n v="48"/>
    <n v="144"/>
    <x v="65"/>
    <d v="2025-03-12T00:00:00"/>
    <s v="F"/>
    <x v="4"/>
    <x v="0"/>
    <x v="0"/>
    <x v="3"/>
    <x v="0"/>
    <x v="9"/>
    <x v="2"/>
  </r>
  <r>
    <s v="TX501794"/>
    <x v="5"/>
    <x v="1"/>
    <n v="67.900000000000006"/>
    <n v="135.80000000000001"/>
    <x v="65"/>
    <d v="2025-03-08T00:00:00"/>
    <s v="M"/>
    <x v="0"/>
    <x v="2"/>
    <x v="0"/>
    <x v="23"/>
    <x v="3"/>
    <x v="9"/>
    <x v="1"/>
  </r>
  <r>
    <s v="TX501795"/>
    <x v="4"/>
    <x v="2"/>
    <n v="36"/>
    <n v="108"/>
    <x v="65"/>
    <d v="2025-03-08T00:00:00"/>
    <s v="M"/>
    <x v="1"/>
    <x v="0"/>
    <x v="0"/>
    <x v="6"/>
    <x v="3"/>
    <x v="9"/>
    <x v="1"/>
  </r>
  <r>
    <s v="TX501796"/>
    <x v="2"/>
    <x v="0"/>
    <n v="128.80000000000001"/>
    <n v="128.80000000000001"/>
    <x v="65"/>
    <d v="2025-03-08T00:00:00"/>
    <s v="M"/>
    <x v="4"/>
    <x v="2"/>
    <x v="0"/>
    <x v="6"/>
    <x v="3"/>
    <x v="9"/>
    <x v="1"/>
  </r>
  <r>
    <s v="TX501797"/>
    <x v="18"/>
    <x v="3"/>
    <n v="33.299999999999997"/>
    <n v="233.09999999999997"/>
    <x v="65"/>
    <d v="2025-03-08T00:00:00"/>
    <s v="F"/>
    <x v="3"/>
    <x v="0"/>
    <x v="0"/>
    <x v="8"/>
    <x v="3"/>
    <x v="9"/>
    <x v="2"/>
  </r>
  <r>
    <s v="TX501798"/>
    <x v="10"/>
    <x v="2"/>
    <n v="37.799999999999997"/>
    <n v="113.39999999999999"/>
    <x v="65"/>
    <d v="2025-03-09T00:00:00"/>
    <s v="M"/>
    <x v="1"/>
    <x v="2"/>
    <x v="0"/>
    <x v="8"/>
    <x v="1"/>
    <x v="9"/>
    <x v="1"/>
  </r>
  <r>
    <s v="TX501799"/>
    <x v="5"/>
    <x v="2"/>
    <n v="26"/>
    <n v="78"/>
    <x v="65"/>
    <d v="2025-03-12T00:00:00"/>
    <s v="F"/>
    <x v="0"/>
    <x v="0"/>
    <x v="0"/>
    <x v="8"/>
    <x v="0"/>
    <x v="9"/>
    <x v="2"/>
  </r>
  <r>
    <s v="TX501800"/>
    <x v="8"/>
    <x v="10"/>
    <n v="28.3"/>
    <n v="537.70000000000005"/>
    <x v="65"/>
    <d v="2025-03-08T00:00:00"/>
    <s v="F"/>
    <x v="3"/>
    <x v="4"/>
    <x v="0"/>
    <x v="8"/>
    <x v="3"/>
    <x v="9"/>
    <x v="2"/>
  </r>
  <r>
    <s v="TX501801"/>
    <x v="8"/>
    <x v="12"/>
    <n v="31.3"/>
    <n v="125.2"/>
    <x v="65"/>
    <d v="2025-03-07T00:00:00"/>
    <s v="F"/>
    <x v="0"/>
    <x v="0"/>
    <x v="0"/>
    <x v="8"/>
    <x v="7"/>
    <x v="9"/>
    <x v="2"/>
  </r>
  <r>
    <s v="TX501802"/>
    <x v="7"/>
    <x v="2"/>
    <n v="69.5"/>
    <n v="208.5"/>
    <x v="65"/>
    <d v="2025-03-08T00:00:00"/>
    <s v="F"/>
    <x v="3"/>
    <x v="2"/>
    <x v="0"/>
    <x v="8"/>
    <x v="3"/>
    <x v="9"/>
    <x v="2"/>
  </r>
  <r>
    <s v="TX501803"/>
    <x v="0"/>
    <x v="1"/>
    <n v="16.7"/>
    <n v="33.4"/>
    <x v="65"/>
    <d v="2025-03-08T00:00:00"/>
    <s v="F"/>
    <x v="3"/>
    <x v="1"/>
    <x v="0"/>
    <x v="8"/>
    <x v="3"/>
    <x v="9"/>
    <x v="2"/>
  </r>
  <r>
    <s v="TX501804"/>
    <x v="9"/>
    <x v="1"/>
    <n v="62.6"/>
    <n v="125.2"/>
    <x v="65"/>
    <d v="2025-03-08T00:00:00"/>
    <s v="M"/>
    <x v="2"/>
    <x v="2"/>
    <x v="0"/>
    <x v="9"/>
    <x v="3"/>
    <x v="9"/>
    <x v="1"/>
  </r>
  <r>
    <s v="TX501805"/>
    <x v="7"/>
    <x v="0"/>
    <n v="81.2"/>
    <n v="81.2"/>
    <x v="65"/>
    <d v="2025-03-13T00:00:00"/>
    <s v="M"/>
    <x v="4"/>
    <x v="4"/>
    <x v="0"/>
    <x v="9"/>
    <x v="4"/>
    <x v="9"/>
    <x v="1"/>
  </r>
  <r>
    <s v="TX501806"/>
    <x v="0"/>
    <x v="7"/>
    <n v="12.7"/>
    <n v="127"/>
    <x v="65"/>
    <d v="2025-03-08T00:00:00"/>
    <s v="F"/>
    <x v="0"/>
    <x v="2"/>
    <x v="0"/>
    <x v="9"/>
    <x v="3"/>
    <x v="9"/>
    <x v="2"/>
  </r>
  <r>
    <s v="TX501807"/>
    <x v="7"/>
    <x v="12"/>
    <n v="77.7"/>
    <n v="310.8"/>
    <x v="66"/>
    <d v="2025-03-12T00:00:00"/>
    <s v="M"/>
    <x v="1"/>
    <x v="0"/>
    <x v="0"/>
    <x v="11"/>
    <x v="5"/>
    <x v="9"/>
    <x v="1"/>
  </r>
  <r>
    <s v="TX501808"/>
    <x v="5"/>
    <x v="1"/>
    <n v="37.299999999999997"/>
    <n v="74.599999999999994"/>
    <x v="66"/>
    <d v="2025-03-09T00:00:00"/>
    <s v="F"/>
    <x v="0"/>
    <x v="2"/>
    <x v="0"/>
    <x v="18"/>
    <x v="3"/>
    <x v="9"/>
    <x v="2"/>
  </r>
  <r>
    <s v="TX501809"/>
    <x v="10"/>
    <x v="12"/>
    <n v="35.6"/>
    <n v="142.4"/>
    <x v="66"/>
    <d v="2025-03-10T00:00:00"/>
    <s v="F"/>
    <x v="1"/>
    <x v="1"/>
    <x v="0"/>
    <x v="19"/>
    <x v="1"/>
    <x v="9"/>
    <x v="2"/>
  </r>
  <r>
    <s v="TX501810"/>
    <x v="2"/>
    <x v="2"/>
    <n v="95"/>
    <n v="285"/>
    <x v="66"/>
    <d v="2025-03-12T00:00:00"/>
    <s v="F"/>
    <x v="2"/>
    <x v="2"/>
    <x v="0"/>
    <x v="56"/>
    <x v="5"/>
    <x v="9"/>
    <x v="2"/>
  </r>
  <r>
    <s v="TX501811"/>
    <x v="2"/>
    <x v="12"/>
    <n v="172.1"/>
    <n v="688.4"/>
    <x v="66"/>
    <d v="2025-03-12T00:00:00"/>
    <s v="O"/>
    <x v="2"/>
    <x v="2"/>
    <x v="0"/>
    <x v="21"/>
    <x v="5"/>
    <x v="9"/>
    <x v="3"/>
  </r>
  <r>
    <s v="TX501812"/>
    <x v="2"/>
    <x v="1"/>
    <n v="233"/>
    <n v="466"/>
    <x v="66"/>
    <d v="2025-03-11T00:00:00"/>
    <s v="F"/>
    <x v="1"/>
    <x v="0"/>
    <x v="0"/>
    <x v="21"/>
    <x v="2"/>
    <x v="9"/>
    <x v="2"/>
  </r>
  <r>
    <s v="TX501813"/>
    <x v="0"/>
    <x v="0"/>
    <n v="43.5"/>
    <n v="43.5"/>
    <x v="66"/>
    <d v="2025-03-09T00:00:00"/>
    <s v="F"/>
    <x v="2"/>
    <x v="2"/>
    <x v="0"/>
    <x v="21"/>
    <x v="3"/>
    <x v="9"/>
    <x v="2"/>
  </r>
  <r>
    <s v="TX501814"/>
    <x v="9"/>
    <x v="1"/>
    <n v="47.8"/>
    <n v="95.6"/>
    <x v="66"/>
    <d v="2025-03-11T00:00:00"/>
    <s v="M"/>
    <x v="4"/>
    <x v="2"/>
    <x v="0"/>
    <x v="1"/>
    <x v="2"/>
    <x v="9"/>
    <x v="1"/>
  </r>
  <r>
    <s v="TX501815"/>
    <x v="12"/>
    <x v="1"/>
    <n v="65.8"/>
    <n v="131.6"/>
    <x v="66"/>
    <d v="2025-03-10T00:00:00"/>
    <s v="F"/>
    <x v="0"/>
    <x v="3"/>
    <x v="0"/>
    <x v="33"/>
    <x v="1"/>
    <x v="9"/>
    <x v="2"/>
  </r>
  <r>
    <s v="TX501816"/>
    <x v="15"/>
    <x v="5"/>
    <n v="38.700000000000003"/>
    <n v="425.70000000000005"/>
    <x v="66"/>
    <d v="2025-03-08T00:00:00"/>
    <s v="M"/>
    <x v="0"/>
    <x v="0"/>
    <x v="0"/>
    <x v="22"/>
    <x v="7"/>
    <x v="9"/>
    <x v="1"/>
  </r>
  <r>
    <s v="TX501817"/>
    <x v="3"/>
    <x v="12"/>
    <n v="55.7"/>
    <n v="222.8"/>
    <x v="66"/>
    <d v="2025-03-10T00:00:00"/>
    <s v="O"/>
    <x v="0"/>
    <x v="1"/>
    <x v="0"/>
    <x v="22"/>
    <x v="1"/>
    <x v="9"/>
    <x v="3"/>
  </r>
  <r>
    <s v="TX501818"/>
    <x v="7"/>
    <x v="1"/>
    <n v="102.4"/>
    <n v="204.8"/>
    <x v="66"/>
    <d v="2025-03-08T00:00:00"/>
    <s v="F"/>
    <x v="1"/>
    <x v="0"/>
    <x v="0"/>
    <x v="3"/>
    <x v="7"/>
    <x v="9"/>
    <x v="2"/>
  </r>
  <r>
    <s v="TX501819"/>
    <x v="1"/>
    <x v="0"/>
    <n v="92"/>
    <n v="92"/>
    <x v="66"/>
    <d v="2025-03-12T00:00:00"/>
    <m/>
    <x v="2"/>
    <x v="0"/>
    <x v="0"/>
    <x v="3"/>
    <x v="5"/>
    <x v="9"/>
    <x v="0"/>
  </r>
  <r>
    <s v="TX501820"/>
    <x v="6"/>
    <x v="12"/>
    <n v="75.900000000000006"/>
    <n v="303.60000000000002"/>
    <x v="66"/>
    <d v="2025-03-10T00:00:00"/>
    <s v="F"/>
    <x v="1"/>
    <x v="0"/>
    <x v="0"/>
    <x v="3"/>
    <x v="1"/>
    <x v="9"/>
    <x v="2"/>
  </r>
  <r>
    <s v="TX501821"/>
    <x v="1"/>
    <x v="12"/>
    <n v="36.200000000000003"/>
    <n v="144.80000000000001"/>
    <x v="66"/>
    <d v="2025-03-09T00:00:00"/>
    <s v="F"/>
    <x v="1"/>
    <x v="0"/>
    <x v="0"/>
    <x v="3"/>
    <x v="3"/>
    <x v="9"/>
    <x v="2"/>
  </r>
  <r>
    <s v="TX501822"/>
    <x v="6"/>
    <x v="45"/>
    <n v="83.5"/>
    <n v="7264.5"/>
    <x v="66"/>
    <d v="2025-03-10T00:00:00"/>
    <m/>
    <x v="3"/>
    <x v="0"/>
    <x v="0"/>
    <x v="3"/>
    <x v="1"/>
    <x v="9"/>
    <x v="0"/>
  </r>
  <r>
    <s v="TX501823"/>
    <x v="19"/>
    <x v="4"/>
    <n v="52.4"/>
    <n v="628.79999999999995"/>
    <x v="66"/>
    <d v="2025-03-08T00:00:00"/>
    <s v="M"/>
    <x v="2"/>
    <x v="0"/>
    <x v="0"/>
    <x v="3"/>
    <x v="7"/>
    <x v="9"/>
    <x v="1"/>
  </r>
  <r>
    <s v="TX501824"/>
    <x v="12"/>
    <x v="2"/>
    <n v="69.5"/>
    <n v="208.5"/>
    <x v="66"/>
    <d v="2025-03-09T00:00:00"/>
    <s v="O"/>
    <x v="4"/>
    <x v="0"/>
    <x v="0"/>
    <x v="3"/>
    <x v="3"/>
    <x v="9"/>
    <x v="3"/>
  </r>
  <r>
    <s v="TX501825"/>
    <x v="0"/>
    <x v="0"/>
    <n v="15.5"/>
    <n v="15.5"/>
    <x v="66"/>
    <d v="2025-03-10T00:00:00"/>
    <s v="M"/>
    <x v="0"/>
    <x v="0"/>
    <x v="0"/>
    <x v="3"/>
    <x v="1"/>
    <x v="9"/>
    <x v="1"/>
  </r>
  <r>
    <s v="TX501826"/>
    <x v="4"/>
    <x v="12"/>
    <n v="35.200000000000003"/>
    <n v="140.80000000000001"/>
    <x v="66"/>
    <d v="2025-03-09T00:00:00"/>
    <s v="F"/>
    <x v="2"/>
    <x v="2"/>
    <x v="0"/>
    <x v="3"/>
    <x v="3"/>
    <x v="9"/>
    <x v="2"/>
  </r>
  <r>
    <s v="TX501827"/>
    <x v="8"/>
    <x v="13"/>
    <n v="34.6"/>
    <n v="207.60000000000002"/>
    <x v="66"/>
    <d v="2025-03-09T00:00:00"/>
    <m/>
    <x v="0"/>
    <x v="1"/>
    <x v="0"/>
    <x v="3"/>
    <x v="3"/>
    <x v="9"/>
    <x v="0"/>
  </r>
  <r>
    <s v="TX501828"/>
    <x v="4"/>
    <x v="0"/>
    <n v="21.3"/>
    <n v="21.3"/>
    <x v="67"/>
    <d v="2025-03-10T00:00:00"/>
    <s v="M"/>
    <x v="2"/>
    <x v="1"/>
    <x v="0"/>
    <x v="3"/>
    <x v="3"/>
    <x v="10"/>
    <x v="1"/>
  </r>
  <r>
    <s v="TX501829"/>
    <x v="6"/>
    <x v="1"/>
    <n v="136.5"/>
    <n v="273"/>
    <x v="67"/>
    <d v="2025-03-15T00:00:00"/>
    <s v="F"/>
    <x v="0"/>
    <x v="0"/>
    <x v="0"/>
    <x v="37"/>
    <x v="4"/>
    <x v="10"/>
    <x v="2"/>
  </r>
  <r>
    <s v="TX501830"/>
    <x v="9"/>
    <x v="3"/>
    <n v="30.7"/>
    <n v="214.9"/>
    <x v="67"/>
    <d v="2025-03-10T00:00:00"/>
    <s v="M"/>
    <x v="2"/>
    <x v="2"/>
    <x v="0"/>
    <x v="25"/>
    <x v="3"/>
    <x v="10"/>
    <x v="1"/>
  </r>
  <r>
    <s v="TX501831"/>
    <x v="1"/>
    <x v="1"/>
    <n v="61.6"/>
    <n v="123.2"/>
    <x v="67"/>
    <d v="2025-03-10T00:00:00"/>
    <s v="F"/>
    <x v="2"/>
    <x v="2"/>
    <x v="0"/>
    <x v="23"/>
    <x v="3"/>
    <x v="10"/>
    <x v="2"/>
  </r>
  <r>
    <s v="TX501832"/>
    <x v="6"/>
    <x v="12"/>
    <n v="54.3"/>
    <n v="217.2"/>
    <x v="67"/>
    <d v="2025-03-11T00:00:00"/>
    <m/>
    <x v="4"/>
    <x v="0"/>
    <x v="0"/>
    <x v="7"/>
    <x v="1"/>
    <x v="10"/>
    <x v="0"/>
  </r>
  <r>
    <s v="TX501833"/>
    <x v="1"/>
    <x v="1"/>
    <n v="44.1"/>
    <n v="88.2"/>
    <x v="67"/>
    <d v="2025-03-21T00:00:00"/>
    <s v="F"/>
    <x v="0"/>
    <x v="2"/>
    <x v="0"/>
    <x v="8"/>
    <x v="13"/>
    <x v="10"/>
    <x v="2"/>
  </r>
  <r>
    <s v="TX501834"/>
    <x v="8"/>
    <x v="12"/>
    <n v="43.5"/>
    <n v="174"/>
    <x v="67"/>
    <d v="2025-03-15T00:00:00"/>
    <s v="M"/>
    <x v="3"/>
    <x v="0"/>
    <x v="0"/>
    <x v="8"/>
    <x v="4"/>
    <x v="10"/>
    <x v="1"/>
  </r>
  <r>
    <s v="TX501835"/>
    <x v="8"/>
    <x v="2"/>
    <n v="48.2"/>
    <n v="144.60000000000002"/>
    <x v="67"/>
    <d v="2025-03-13T00:00:00"/>
    <s v="M"/>
    <x v="3"/>
    <x v="1"/>
    <x v="0"/>
    <x v="8"/>
    <x v="5"/>
    <x v="10"/>
    <x v="1"/>
  </r>
  <r>
    <s v="TX501836"/>
    <x v="19"/>
    <x v="0"/>
    <n v="13.7"/>
    <n v="13.7"/>
    <x v="67"/>
    <d v="2025-03-10T00:00:00"/>
    <s v="F"/>
    <x v="2"/>
    <x v="2"/>
    <x v="0"/>
    <x v="8"/>
    <x v="3"/>
    <x v="10"/>
    <x v="2"/>
  </r>
  <r>
    <s v="TX501837"/>
    <x v="2"/>
    <x v="1"/>
    <n v="110.5"/>
    <n v="221"/>
    <x v="67"/>
    <d v="2025-03-10T00:00:00"/>
    <s v="F"/>
    <x v="0"/>
    <x v="1"/>
    <x v="0"/>
    <x v="8"/>
    <x v="3"/>
    <x v="10"/>
    <x v="2"/>
  </r>
  <r>
    <s v="TX501838"/>
    <x v="8"/>
    <x v="2"/>
    <n v="26"/>
    <n v="78"/>
    <x v="67"/>
    <d v="2025-03-14T00:00:00"/>
    <s v="F"/>
    <x v="1"/>
    <x v="1"/>
    <x v="0"/>
    <x v="8"/>
    <x v="0"/>
    <x v="10"/>
    <x v="2"/>
  </r>
  <r>
    <s v="TX501839"/>
    <x v="2"/>
    <x v="7"/>
    <n v="140.69999999999999"/>
    <n v="1407"/>
    <x v="67"/>
    <d v="2025-03-15T00:00:00"/>
    <s v="M"/>
    <x v="3"/>
    <x v="1"/>
    <x v="0"/>
    <x v="8"/>
    <x v="4"/>
    <x v="10"/>
    <x v="1"/>
  </r>
  <r>
    <s v="TX501840"/>
    <x v="17"/>
    <x v="1"/>
    <n v="41.7"/>
    <n v="83.4"/>
    <x v="67"/>
    <d v="2025-03-17T00:00:00"/>
    <s v="F"/>
    <x v="0"/>
    <x v="4"/>
    <x v="0"/>
    <x v="8"/>
    <x v="9"/>
    <x v="10"/>
    <x v="2"/>
  </r>
  <r>
    <s v="TX501841"/>
    <x v="2"/>
    <x v="1"/>
    <n v="135.1"/>
    <n v="270.2"/>
    <x v="67"/>
    <d v="2025-03-10T00:00:00"/>
    <s v="M"/>
    <x v="0"/>
    <x v="2"/>
    <x v="0"/>
    <x v="17"/>
    <x v="3"/>
    <x v="10"/>
    <x v="1"/>
  </r>
  <r>
    <s v="TX501842"/>
    <x v="12"/>
    <x v="32"/>
    <n v="95.5"/>
    <n v="2101"/>
    <x v="67"/>
    <d v="2025-03-10T00:00:00"/>
    <s v="F"/>
    <x v="4"/>
    <x v="4"/>
    <x v="0"/>
    <x v="26"/>
    <x v="3"/>
    <x v="10"/>
    <x v="2"/>
  </r>
  <r>
    <s v="TX501843"/>
    <x v="15"/>
    <x v="0"/>
    <n v="25.5"/>
    <n v="25.5"/>
    <x v="67"/>
    <d v="2025-03-12T00:00:00"/>
    <m/>
    <x v="2"/>
    <x v="2"/>
    <x v="0"/>
    <x v="11"/>
    <x v="2"/>
    <x v="10"/>
    <x v="0"/>
  </r>
  <r>
    <s v="TX501844"/>
    <x v="1"/>
    <x v="0"/>
    <n v="42.6"/>
    <n v="42.6"/>
    <x v="67"/>
    <d v="2025-03-13T00:00:00"/>
    <s v="F"/>
    <x v="0"/>
    <x v="0"/>
    <x v="0"/>
    <x v="11"/>
    <x v="5"/>
    <x v="10"/>
    <x v="2"/>
  </r>
  <r>
    <s v="TX501845"/>
    <x v="8"/>
    <x v="20"/>
    <n v="32.4"/>
    <n v="486"/>
    <x v="67"/>
    <d v="2025-03-10T00:00:00"/>
    <s v="M"/>
    <x v="1"/>
    <x v="1"/>
    <x v="0"/>
    <x v="11"/>
    <x v="3"/>
    <x v="10"/>
    <x v="1"/>
  </r>
  <r>
    <s v="TX501846"/>
    <x v="4"/>
    <x v="12"/>
    <n v="20.2"/>
    <n v="80.8"/>
    <x v="67"/>
    <d v="2025-03-10T00:00:00"/>
    <s v="O"/>
    <x v="2"/>
    <x v="0"/>
    <x v="0"/>
    <x v="11"/>
    <x v="3"/>
    <x v="10"/>
    <x v="3"/>
  </r>
  <r>
    <s v="TX501847"/>
    <x v="16"/>
    <x v="2"/>
    <n v="52.5"/>
    <n v="157.5"/>
    <x v="67"/>
    <d v="2025-03-14T00:00:00"/>
    <s v="F"/>
    <x v="4"/>
    <x v="0"/>
    <x v="0"/>
    <x v="18"/>
    <x v="0"/>
    <x v="10"/>
    <x v="2"/>
  </r>
  <r>
    <s v="TX501848"/>
    <x v="2"/>
    <x v="9"/>
    <n v="59.9"/>
    <n v="299.5"/>
    <x v="67"/>
    <d v="2025-03-11T00:00:00"/>
    <s v="F"/>
    <x v="2"/>
    <x v="0"/>
    <x v="0"/>
    <x v="19"/>
    <x v="1"/>
    <x v="10"/>
    <x v="2"/>
  </r>
  <r>
    <s v="TX501849"/>
    <x v="4"/>
    <x v="1"/>
    <n v="53.2"/>
    <n v="106.4"/>
    <x v="67"/>
    <d v="2025-03-10T00:00:00"/>
    <s v="F"/>
    <x v="1"/>
    <x v="3"/>
    <x v="0"/>
    <x v="20"/>
    <x v="3"/>
    <x v="10"/>
    <x v="2"/>
  </r>
  <r>
    <s v="TX501850"/>
    <x v="2"/>
    <x v="1"/>
    <n v="60"/>
    <n v="120"/>
    <x v="67"/>
    <d v="2025-03-15T00:00:00"/>
    <s v="M"/>
    <x v="1"/>
    <x v="2"/>
    <x v="0"/>
    <x v="20"/>
    <x v="4"/>
    <x v="10"/>
    <x v="1"/>
  </r>
  <r>
    <s v="TX501851"/>
    <x v="8"/>
    <x v="2"/>
    <n v="29.3"/>
    <n v="87.9"/>
    <x v="67"/>
    <d v="2025-03-10T00:00:00"/>
    <s v="F"/>
    <x v="4"/>
    <x v="0"/>
    <x v="0"/>
    <x v="13"/>
    <x v="3"/>
    <x v="10"/>
    <x v="2"/>
  </r>
  <r>
    <s v="TX501852"/>
    <x v="12"/>
    <x v="1"/>
    <n v="55.4"/>
    <n v="110.8"/>
    <x v="67"/>
    <d v="2025-03-10T00:00:00"/>
    <s v="F"/>
    <x v="0"/>
    <x v="2"/>
    <x v="0"/>
    <x v="21"/>
    <x v="3"/>
    <x v="10"/>
    <x v="2"/>
  </r>
  <r>
    <s v="TX501853"/>
    <x v="0"/>
    <x v="9"/>
    <n v="20.100000000000001"/>
    <n v="100.5"/>
    <x v="67"/>
    <d v="2025-03-11T00:00:00"/>
    <s v="F"/>
    <x v="1"/>
    <x v="2"/>
    <x v="0"/>
    <x v="21"/>
    <x v="1"/>
    <x v="10"/>
    <x v="2"/>
  </r>
  <r>
    <s v="TX501854"/>
    <x v="14"/>
    <x v="9"/>
    <n v="24"/>
    <n v="120"/>
    <x v="67"/>
    <d v="2025-03-12T00:00:00"/>
    <s v="M"/>
    <x v="2"/>
    <x v="0"/>
    <x v="0"/>
    <x v="1"/>
    <x v="2"/>
    <x v="10"/>
    <x v="1"/>
  </r>
  <r>
    <s v="TX501855"/>
    <x v="8"/>
    <x v="1"/>
    <n v="30.6"/>
    <n v="61.2"/>
    <x v="68"/>
    <d v="2025-03-12T00:00:00"/>
    <s v="F"/>
    <x v="0"/>
    <x v="0"/>
    <x v="0"/>
    <x v="1"/>
    <x v="1"/>
    <x v="10"/>
    <x v="2"/>
  </r>
  <r>
    <s v="TX501856"/>
    <x v="10"/>
    <x v="9"/>
    <n v="33"/>
    <n v="165"/>
    <x v="68"/>
    <d v="2025-03-11T00:00:00"/>
    <s v="M"/>
    <x v="1"/>
    <x v="1"/>
    <x v="0"/>
    <x v="27"/>
    <x v="3"/>
    <x v="10"/>
    <x v="1"/>
  </r>
  <r>
    <s v="TX501857"/>
    <x v="17"/>
    <x v="11"/>
    <n v="42.1"/>
    <n v="378.90000000000003"/>
    <x v="68"/>
    <d v="2025-03-16T00:00:00"/>
    <s v="F"/>
    <x v="2"/>
    <x v="0"/>
    <x v="0"/>
    <x v="44"/>
    <x v="4"/>
    <x v="10"/>
    <x v="2"/>
  </r>
  <r>
    <s v="TX501858"/>
    <x v="6"/>
    <x v="3"/>
    <n v="77.7"/>
    <n v="543.9"/>
    <x v="68"/>
    <d v="2025-03-15T00:00:00"/>
    <s v="F"/>
    <x v="1"/>
    <x v="2"/>
    <x v="0"/>
    <x v="50"/>
    <x v="0"/>
    <x v="10"/>
    <x v="2"/>
  </r>
  <r>
    <s v="TX501859"/>
    <x v="17"/>
    <x v="13"/>
    <n v="22.7"/>
    <n v="136.19999999999999"/>
    <x v="68"/>
    <d v="2025-03-13T00:00:00"/>
    <s v="F"/>
    <x v="2"/>
    <x v="0"/>
    <x v="0"/>
    <x v="3"/>
    <x v="2"/>
    <x v="10"/>
    <x v="2"/>
  </r>
  <r>
    <s v="TX501860"/>
    <x v="2"/>
    <x v="1"/>
    <n v="133"/>
    <n v="266"/>
    <x v="68"/>
    <d v="2025-03-10T00:00:00"/>
    <s v="M"/>
    <x v="2"/>
    <x v="2"/>
    <x v="0"/>
    <x v="3"/>
    <x v="7"/>
    <x v="10"/>
    <x v="1"/>
  </r>
  <r>
    <s v="TX501861"/>
    <x v="0"/>
    <x v="1"/>
    <n v="23.3"/>
    <n v="46.6"/>
    <x v="68"/>
    <d v="2025-03-11T00:00:00"/>
    <s v="M"/>
    <x v="1"/>
    <x v="2"/>
    <x v="0"/>
    <x v="3"/>
    <x v="3"/>
    <x v="10"/>
    <x v="1"/>
  </r>
  <r>
    <s v="TX501862"/>
    <x v="8"/>
    <x v="2"/>
    <n v="20.7"/>
    <n v="62.099999999999994"/>
    <x v="68"/>
    <d v="2025-03-12T00:00:00"/>
    <s v="O"/>
    <x v="0"/>
    <x v="2"/>
    <x v="0"/>
    <x v="3"/>
    <x v="1"/>
    <x v="10"/>
    <x v="3"/>
  </r>
  <r>
    <s v="TX501863"/>
    <x v="12"/>
    <x v="1"/>
    <n v="47"/>
    <n v="94"/>
    <x v="68"/>
    <d v="2025-03-11T00:00:00"/>
    <s v="M"/>
    <x v="1"/>
    <x v="2"/>
    <x v="0"/>
    <x v="3"/>
    <x v="3"/>
    <x v="10"/>
    <x v="1"/>
  </r>
  <r>
    <s v="TX501864"/>
    <x v="12"/>
    <x v="2"/>
    <n v="38.200000000000003"/>
    <n v="114.60000000000001"/>
    <x v="68"/>
    <d v="2025-03-12T00:00:00"/>
    <s v="F"/>
    <x v="2"/>
    <x v="4"/>
    <x v="0"/>
    <x v="3"/>
    <x v="1"/>
    <x v="10"/>
    <x v="2"/>
  </r>
  <r>
    <s v="TX501865"/>
    <x v="9"/>
    <x v="0"/>
    <n v="39.1"/>
    <n v="39.1"/>
    <x v="68"/>
    <d v="2025-03-12T00:00:00"/>
    <s v="F"/>
    <x v="0"/>
    <x v="0"/>
    <x v="0"/>
    <x v="3"/>
    <x v="1"/>
    <x v="10"/>
    <x v="2"/>
  </r>
  <r>
    <s v="TX501866"/>
    <x v="7"/>
    <x v="30"/>
    <n v="55.6"/>
    <n v="1390"/>
    <x v="68"/>
    <d v="2025-03-12T00:00:00"/>
    <s v="M"/>
    <x v="0"/>
    <x v="2"/>
    <x v="0"/>
    <x v="3"/>
    <x v="1"/>
    <x v="10"/>
    <x v="1"/>
  </r>
  <r>
    <s v="TX501867"/>
    <x v="15"/>
    <x v="0"/>
    <n v="43.1"/>
    <n v="43.1"/>
    <x v="68"/>
    <d v="2025-03-10T00:00:00"/>
    <s v="O"/>
    <x v="1"/>
    <x v="2"/>
    <x v="0"/>
    <x v="3"/>
    <x v="7"/>
    <x v="10"/>
    <x v="3"/>
  </r>
  <r>
    <s v="TX501868"/>
    <x v="6"/>
    <x v="12"/>
    <n v="48.1"/>
    <n v="192.4"/>
    <x v="68"/>
    <d v="2025-03-11T00:00:00"/>
    <s v="F"/>
    <x v="4"/>
    <x v="2"/>
    <x v="0"/>
    <x v="3"/>
    <x v="3"/>
    <x v="10"/>
    <x v="2"/>
  </r>
  <r>
    <s v="TX501869"/>
    <x v="4"/>
    <x v="0"/>
    <n v="42"/>
    <n v="42"/>
    <x v="68"/>
    <d v="2025-03-11T00:00:00"/>
    <s v="O"/>
    <x v="0"/>
    <x v="0"/>
    <x v="0"/>
    <x v="3"/>
    <x v="3"/>
    <x v="10"/>
    <x v="3"/>
  </r>
  <r>
    <s v="TX501870"/>
    <x v="8"/>
    <x v="9"/>
    <n v="18.3"/>
    <n v="91.5"/>
    <x v="68"/>
    <d v="2025-03-10T00:00:00"/>
    <s v="F"/>
    <x v="2"/>
    <x v="0"/>
    <x v="0"/>
    <x v="3"/>
    <x v="7"/>
    <x v="10"/>
    <x v="2"/>
  </r>
  <r>
    <s v="TX501871"/>
    <x v="10"/>
    <x v="12"/>
    <n v="45.3"/>
    <n v="181.2"/>
    <x v="68"/>
    <d v="2025-03-13T00:00:00"/>
    <s v="F"/>
    <x v="0"/>
    <x v="2"/>
    <x v="0"/>
    <x v="3"/>
    <x v="2"/>
    <x v="10"/>
    <x v="2"/>
  </r>
  <r>
    <s v="TX501872"/>
    <x v="0"/>
    <x v="1"/>
    <n v="27.6"/>
    <n v="55.2"/>
    <x v="68"/>
    <d v="2025-03-12T00:00:00"/>
    <s v="M"/>
    <x v="0"/>
    <x v="2"/>
    <x v="0"/>
    <x v="37"/>
    <x v="1"/>
    <x v="10"/>
    <x v="1"/>
  </r>
  <r>
    <s v="TX501873"/>
    <x v="4"/>
    <x v="9"/>
    <n v="26.9"/>
    <n v="134.5"/>
    <x v="68"/>
    <d v="2025-03-11T00:00:00"/>
    <s v="F"/>
    <x v="2"/>
    <x v="0"/>
    <x v="0"/>
    <x v="25"/>
    <x v="3"/>
    <x v="10"/>
    <x v="2"/>
  </r>
  <r>
    <s v="TX501874"/>
    <x v="2"/>
    <x v="11"/>
    <n v="82.4"/>
    <n v="741.6"/>
    <x v="68"/>
    <d v="2025-03-12T00:00:00"/>
    <s v="O"/>
    <x v="2"/>
    <x v="0"/>
    <x v="0"/>
    <x v="5"/>
    <x v="1"/>
    <x v="10"/>
    <x v="3"/>
  </r>
  <r>
    <s v="TX501875"/>
    <x v="6"/>
    <x v="0"/>
    <n v="103.7"/>
    <n v="103.7"/>
    <x v="68"/>
    <d v="2025-03-12T00:00:00"/>
    <s v="F"/>
    <x v="1"/>
    <x v="0"/>
    <x v="0"/>
    <x v="5"/>
    <x v="1"/>
    <x v="10"/>
    <x v="2"/>
  </r>
  <r>
    <s v="TX501876"/>
    <x v="2"/>
    <x v="1"/>
    <n v="58.8"/>
    <n v="117.6"/>
    <x v="68"/>
    <d v="2025-03-15T00:00:00"/>
    <s v="F"/>
    <x v="1"/>
    <x v="2"/>
    <x v="0"/>
    <x v="6"/>
    <x v="0"/>
    <x v="10"/>
    <x v="2"/>
  </r>
  <r>
    <s v="TX501877"/>
    <x v="13"/>
    <x v="0"/>
    <n v="31.5"/>
    <n v="31.5"/>
    <x v="68"/>
    <d v="2025-03-11T00:00:00"/>
    <s v="F"/>
    <x v="1"/>
    <x v="1"/>
    <x v="0"/>
    <x v="6"/>
    <x v="3"/>
    <x v="10"/>
    <x v="2"/>
  </r>
  <r>
    <s v="TX501878"/>
    <x v="7"/>
    <x v="9"/>
    <n v="36.799999999999997"/>
    <n v="184"/>
    <x v="68"/>
    <d v="2025-03-12T00:00:00"/>
    <s v="F"/>
    <x v="0"/>
    <x v="0"/>
    <x v="0"/>
    <x v="8"/>
    <x v="1"/>
    <x v="10"/>
    <x v="2"/>
  </r>
  <r>
    <s v="TX501879"/>
    <x v="3"/>
    <x v="0"/>
    <n v="84.4"/>
    <n v="84.4"/>
    <x v="68"/>
    <d v="2025-03-11T00:00:00"/>
    <s v="F"/>
    <x v="0"/>
    <x v="0"/>
    <x v="0"/>
    <x v="8"/>
    <x v="3"/>
    <x v="10"/>
    <x v="2"/>
  </r>
  <r>
    <s v="TX501880"/>
    <x v="14"/>
    <x v="0"/>
    <n v="44.7"/>
    <n v="44.7"/>
    <x v="68"/>
    <d v="2025-03-11T00:00:00"/>
    <s v="M"/>
    <x v="0"/>
    <x v="1"/>
    <x v="0"/>
    <x v="8"/>
    <x v="3"/>
    <x v="10"/>
    <x v="1"/>
  </r>
  <r>
    <s v="TX501881"/>
    <x v="9"/>
    <x v="8"/>
    <n v="39.4"/>
    <n v="315.2"/>
    <x v="68"/>
    <d v="2025-03-11T00:00:00"/>
    <s v="F"/>
    <x v="1"/>
    <x v="2"/>
    <x v="0"/>
    <x v="8"/>
    <x v="3"/>
    <x v="10"/>
    <x v="2"/>
  </r>
  <r>
    <s v="TX501882"/>
    <x v="11"/>
    <x v="12"/>
    <n v="34.9"/>
    <n v="139.6"/>
    <x v="68"/>
    <d v="2025-03-12T00:00:00"/>
    <s v="F"/>
    <x v="0"/>
    <x v="2"/>
    <x v="0"/>
    <x v="8"/>
    <x v="1"/>
    <x v="10"/>
    <x v="2"/>
  </r>
  <r>
    <s v="TX501883"/>
    <x v="1"/>
    <x v="2"/>
    <n v="62.3"/>
    <n v="186.89999999999998"/>
    <x v="68"/>
    <d v="2025-03-12T00:00:00"/>
    <s v="M"/>
    <x v="4"/>
    <x v="2"/>
    <x v="0"/>
    <x v="8"/>
    <x v="1"/>
    <x v="10"/>
    <x v="1"/>
  </r>
  <r>
    <s v="TX501884"/>
    <x v="8"/>
    <x v="12"/>
    <n v="21.1"/>
    <n v="84.4"/>
    <x v="68"/>
    <d v="2025-03-13T00:00:00"/>
    <s v="M"/>
    <x v="3"/>
    <x v="0"/>
    <x v="0"/>
    <x v="8"/>
    <x v="2"/>
    <x v="10"/>
    <x v="1"/>
  </r>
  <r>
    <s v="TX501885"/>
    <x v="8"/>
    <x v="2"/>
    <n v="33.200000000000003"/>
    <n v="99.600000000000009"/>
    <x v="68"/>
    <d v="2025-03-24T00:00:00"/>
    <m/>
    <x v="0"/>
    <x v="4"/>
    <x v="0"/>
    <x v="8"/>
    <x v="12"/>
    <x v="10"/>
    <x v="0"/>
  </r>
  <r>
    <s v="TX501886"/>
    <x v="1"/>
    <x v="12"/>
    <n v="74.5"/>
    <n v="298"/>
    <x v="68"/>
    <d v="2025-03-11T00:00:00"/>
    <s v="M"/>
    <x v="4"/>
    <x v="0"/>
    <x v="0"/>
    <x v="8"/>
    <x v="3"/>
    <x v="10"/>
    <x v="1"/>
  </r>
  <r>
    <s v="TX501887"/>
    <x v="10"/>
    <x v="4"/>
    <n v="68.599999999999994"/>
    <n v="823.19999999999993"/>
    <x v="68"/>
    <d v="2025-03-13T00:00:00"/>
    <s v="F"/>
    <x v="0"/>
    <x v="2"/>
    <x v="0"/>
    <x v="8"/>
    <x v="2"/>
    <x v="10"/>
    <x v="2"/>
  </r>
  <r>
    <s v="TX501888"/>
    <x v="5"/>
    <x v="21"/>
    <n v="36.4"/>
    <n v="509.59999999999997"/>
    <x v="68"/>
    <d v="2025-03-12T00:00:00"/>
    <s v="F"/>
    <x v="0"/>
    <x v="1"/>
    <x v="0"/>
    <x v="9"/>
    <x v="1"/>
    <x v="10"/>
    <x v="2"/>
  </r>
  <r>
    <s v="TX501889"/>
    <x v="16"/>
    <x v="9"/>
    <n v="67.599999999999994"/>
    <n v="338"/>
    <x v="69"/>
    <d v="2025-03-14T00:00:00"/>
    <s v="F"/>
    <x v="4"/>
    <x v="1"/>
    <x v="0"/>
    <x v="9"/>
    <x v="2"/>
    <x v="10"/>
    <x v="2"/>
  </r>
  <r>
    <s v="TX501890"/>
    <x v="15"/>
    <x v="0"/>
    <n v="46.3"/>
    <n v="46.3"/>
    <x v="69"/>
    <d v="2025-03-12T00:00:00"/>
    <s v="M"/>
    <x v="2"/>
    <x v="0"/>
    <x v="0"/>
    <x v="9"/>
    <x v="3"/>
    <x v="10"/>
    <x v="1"/>
  </r>
  <r>
    <s v="TX501891"/>
    <x v="1"/>
    <x v="2"/>
    <n v="124.2"/>
    <n v="372.6"/>
    <x v="69"/>
    <d v="2025-03-13T00:00:00"/>
    <s v="F"/>
    <x v="1"/>
    <x v="2"/>
    <x v="0"/>
    <x v="11"/>
    <x v="1"/>
    <x v="10"/>
    <x v="2"/>
  </r>
  <r>
    <s v="TX501892"/>
    <x v="10"/>
    <x v="1"/>
    <n v="37"/>
    <n v="74"/>
    <x v="69"/>
    <d v="2025-03-17T00:00:00"/>
    <s v="M"/>
    <x v="0"/>
    <x v="0"/>
    <x v="0"/>
    <x v="11"/>
    <x v="4"/>
    <x v="10"/>
    <x v="1"/>
  </r>
  <r>
    <s v="TX501893"/>
    <x v="5"/>
    <x v="0"/>
    <n v="41.8"/>
    <n v="41.8"/>
    <x v="69"/>
    <d v="2025-03-12T00:00:00"/>
    <s v="M"/>
    <x v="2"/>
    <x v="0"/>
    <x v="0"/>
    <x v="31"/>
    <x v="3"/>
    <x v="10"/>
    <x v="1"/>
  </r>
  <r>
    <s v="TX501894"/>
    <x v="9"/>
    <x v="1"/>
    <n v="57.2"/>
    <n v="114.4"/>
    <x v="69"/>
    <d v="2025-03-13T00:00:00"/>
    <s v="M"/>
    <x v="2"/>
    <x v="1"/>
    <x v="0"/>
    <x v="20"/>
    <x v="1"/>
    <x v="10"/>
    <x v="1"/>
  </r>
  <r>
    <s v="TX501895"/>
    <x v="6"/>
    <x v="1"/>
    <n v="47.1"/>
    <n v="94.2"/>
    <x v="69"/>
    <d v="2025-03-13T00:00:00"/>
    <s v="F"/>
    <x v="0"/>
    <x v="4"/>
    <x v="0"/>
    <x v="20"/>
    <x v="1"/>
    <x v="10"/>
    <x v="2"/>
  </r>
  <r>
    <s v="TX501896"/>
    <x v="5"/>
    <x v="2"/>
    <n v="86.4"/>
    <n v="259.20000000000005"/>
    <x v="69"/>
    <d v="2025-03-12T00:00:00"/>
    <s v="M"/>
    <x v="2"/>
    <x v="1"/>
    <x v="0"/>
    <x v="52"/>
    <x v="3"/>
    <x v="10"/>
    <x v="1"/>
  </r>
  <r>
    <s v="TX501897"/>
    <x v="6"/>
    <x v="9"/>
    <n v="105"/>
    <n v="525"/>
    <x v="69"/>
    <d v="2025-03-14T00:00:00"/>
    <s v="M"/>
    <x v="0"/>
    <x v="0"/>
    <x v="0"/>
    <x v="13"/>
    <x v="2"/>
    <x v="10"/>
    <x v="1"/>
  </r>
  <r>
    <s v="TX501898"/>
    <x v="18"/>
    <x v="0"/>
    <n v="33"/>
    <n v="33"/>
    <x v="69"/>
    <d v="2025-03-14T00:00:00"/>
    <s v="M"/>
    <x v="4"/>
    <x v="0"/>
    <x v="0"/>
    <x v="21"/>
    <x v="2"/>
    <x v="10"/>
    <x v="1"/>
  </r>
  <r>
    <s v="TX501899"/>
    <x v="6"/>
    <x v="9"/>
    <n v="106.6"/>
    <n v="533"/>
    <x v="69"/>
    <d v="2025-03-24T00:00:00"/>
    <s v="F"/>
    <x v="2"/>
    <x v="0"/>
    <x v="0"/>
    <x v="1"/>
    <x v="10"/>
    <x v="10"/>
    <x v="2"/>
  </r>
  <r>
    <s v="TX501900"/>
    <x v="10"/>
    <x v="46"/>
    <n v="26.8"/>
    <n v="857.6"/>
    <x v="69"/>
    <d v="2025-03-12T00:00:00"/>
    <s v="F"/>
    <x v="2"/>
    <x v="0"/>
    <x v="0"/>
    <x v="1"/>
    <x v="3"/>
    <x v="10"/>
    <x v="2"/>
  </r>
  <r>
    <s v="TX501901"/>
    <x v="17"/>
    <x v="9"/>
    <n v="25.8"/>
    <n v="129"/>
    <x v="69"/>
    <d v="2025-03-11T00:00:00"/>
    <s v="F"/>
    <x v="1"/>
    <x v="2"/>
    <x v="0"/>
    <x v="3"/>
    <x v="7"/>
    <x v="10"/>
    <x v="2"/>
  </r>
  <r>
    <s v="TX501902"/>
    <x v="2"/>
    <x v="2"/>
    <n v="217"/>
    <n v="651"/>
    <x v="69"/>
    <d v="2025-03-12T00:00:00"/>
    <s v="F"/>
    <x v="1"/>
    <x v="1"/>
    <x v="0"/>
    <x v="3"/>
    <x v="3"/>
    <x v="10"/>
    <x v="2"/>
  </r>
  <r>
    <s v="TX501903"/>
    <x v="2"/>
    <x v="1"/>
    <n v="97.3"/>
    <n v="194.6"/>
    <x v="69"/>
    <d v="2025-03-12T00:00:00"/>
    <s v="M"/>
    <x v="2"/>
    <x v="4"/>
    <x v="0"/>
    <x v="3"/>
    <x v="3"/>
    <x v="10"/>
    <x v="1"/>
  </r>
  <r>
    <s v="TX501904"/>
    <x v="1"/>
    <x v="0"/>
    <n v="49.8"/>
    <n v="49.8"/>
    <x v="69"/>
    <d v="2025-03-12T00:00:00"/>
    <s v="F"/>
    <x v="0"/>
    <x v="0"/>
    <x v="0"/>
    <x v="3"/>
    <x v="3"/>
    <x v="10"/>
    <x v="2"/>
  </r>
  <r>
    <s v="TX501905"/>
    <x v="12"/>
    <x v="9"/>
    <n v="32.6"/>
    <n v="163"/>
    <x v="69"/>
    <d v="2025-03-12T00:00:00"/>
    <s v="F"/>
    <x v="0"/>
    <x v="0"/>
    <x v="0"/>
    <x v="3"/>
    <x v="3"/>
    <x v="10"/>
    <x v="2"/>
  </r>
  <r>
    <s v="TX501906"/>
    <x v="9"/>
    <x v="1"/>
    <n v="40.1"/>
    <n v="80.2"/>
    <x v="69"/>
    <d v="2025-03-14T00:00:00"/>
    <s v="M"/>
    <x v="1"/>
    <x v="2"/>
    <x v="0"/>
    <x v="3"/>
    <x v="2"/>
    <x v="10"/>
    <x v="1"/>
  </r>
  <r>
    <s v="TX501907"/>
    <x v="10"/>
    <x v="1"/>
    <n v="49.4"/>
    <n v="98.8"/>
    <x v="69"/>
    <d v="2025-03-13T00:00:00"/>
    <s v="M"/>
    <x v="1"/>
    <x v="0"/>
    <x v="0"/>
    <x v="3"/>
    <x v="1"/>
    <x v="10"/>
    <x v="1"/>
  </r>
  <r>
    <s v="TX501908"/>
    <x v="2"/>
    <x v="0"/>
    <n v="67.3"/>
    <n v="67.3"/>
    <x v="69"/>
    <d v="2025-03-12T00:00:00"/>
    <s v="F"/>
    <x v="0"/>
    <x v="2"/>
    <x v="0"/>
    <x v="3"/>
    <x v="3"/>
    <x v="10"/>
    <x v="2"/>
  </r>
  <r>
    <s v="TX501909"/>
    <x v="18"/>
    <x v="12"/>
    <n v="44.5"/>
    <n v="178"/>
    <x v="69"/>
    <d v="2025-03-14T00:00:00"/>
    <m/>
    <x v="1"/>
    <x v="0"/>
    <x v="0"/>
    <x v="3"/>
    <x v="2"/>
    <x v="10"/>
    <x v="0"/>
  </r>
  <r>
    <s v="TX501910"/>
    <x v="6"/>
    <x v="5"/>
    <n v="111.1"/>
    <n v="1222.0999999999999"/>
    <x v="69"/>
    <d v="2025-03-12T00:00:00"/>
    <s v="F"/>
    <x v="4"/>
    <x v="0"/>
    <x v="0"/>
    <x v="3"/>
    <x v="3"/>
    <x v="10"/>
    <x v="2"/>
  </r>
  <r>
    <s v="TX501911"/>
    <x v="8"/>
    <x v="2"/>
    <n v="19.7"/>
    <n v="59.099999999999994"/>
    <x v="69"/>
    <d v="2025-03-12T00:00:00"/>
    <s v="F"/>
    <x v="4"/>
    <x v="4"/>
    <x v="0"/>
    <x v="3"/>
    <x v="3"/>
    <x v="10"/>
    <x v="2"/>
  </r>
  <r>
    <s v="TX501912"/>
    <x v="1"/>
    <x v="0"/>
    <n v="40.299999999999997"/>
    <n v="40.299999999999997"/>
    <x v="69"/>
    <d v="2025-03-12T00:00:00"/>
    <s v="O"/>
    <x v="1"/>
    <x v="0"/>
    <x v="0"/>
    <x v="3"/>
    <x v="3"/>
    <x v="10"/>
    <x v="3"/>
  </r>
  <r>
    <s v="TX501913"/>
    <x v="6"/>
    <x v="1"/>
    <n v="108.8"/>
    <n v="217.6"/>
    <x v="69"/>
    <d v="2025-03-16T00:00:00"/>
    <s v="M"/>
    <x v="0"/>
    <x v="2"/>
    <x v="0"/>
    <x v="6"/>
    <x v="0"/>
    <x v="10"/>
    <x v="1"/>
  </r>
  <r>
    <s v="TX501914"/>
    <x v="8"/>
    <x v="2"/>
    <n v="48.2"/>
    <n v="144.60000000000002"/>
    <x v="69"/>
    <d v="2025-03-16T00:00:00"/>
    <s v="F"/>
    <x v="4"/>
    <x v="0"/>
    <x v="0"/>
    <x v="7"/>
    <x v="0"/>
    <x v="10"/>
    <x v="2"/>
  </r>
  <r>
    <s v="TX501915"/>
    <x v="2"/>
    <x v="2"/>
    <n v="104.7"/>
    <n v="314.10000000000002"/>
    <x v="69"/>
    <d v="2025-03-13T00:00:00"/>
    <s v="F"/>
    <x v="0"/>
    <x v="1"/>
    <x v="0"/>
    <x v="7"/>
    <x v="1"/>
    <x v="10"/>
    <x v="2"/>
  </r>
  <r>
    <s v="TX501916"/>
    <x v="1"/>
    <x v="1"/>
    <n v="80.599999999999994"/>
    <n v="161.19999999999999"/>
    <x v="69"/>
    <d v="2025-03-11T00:00:00"/>
    <s v="F"/>
    <x v="1"/>
    <x v="0"/>
    <x v="0"/>
    <x v="8"/>
    <x v="7"/>
    <x v="10"/>
    <x v="2"/>
  </r>
  <r>
    <s v="TX501917"/>
    <x v="6"/>
    <x v="0"/>
    <n v="65.5"/>
    <n v="65.5"/>
    <x v="69"/>
    <d v="2025-03-13T00:00:00"/>
    <s v="O"/>
    <x v="1"/>
    <x v="0"/>
    <x v="0"/>
    <x v="8"/>
    <x v="1"/>
    <x v="10"/>
    <x v="3"/>
  </r>
  <r>
    <s v="TX501918"/>
    <x v="9"/>
    <x v="2"/>
    <n v="61.4"/>
    <n v="184.2"/>
    <x v="69"/>
    <d v="2025-03-13T00:00:00"/>
    <s v="F"/>
    <x v="4"/>
    <x v="2"/>
    <x v="0"/>
    <x v="8"/>
    <x v="1"/>
    <x v="10"/>
    <x v="2"/>
  </r>
  <r>
    <s v="TX501919"/>
    <x v="0"/>
    <x v="0"/>
    <n v="12.5"/>
    <n v="12.5"/>
    <x v="70"/>
    <d v="2025-03-15T00:00:00"/>
    <s v="F"/>
    <x v="0"/>
    <x v="1"/>
    <x v="0"/>
    <x v="8"/>
    <x v="2"/>
    <x v="10"/>
    <x v="2"/>
  </r>
  <r>
    <s v="TX501920"/>
    <x v="4"/>
    <x v="12"/>
    <n v="35.1"/>
    <n v="140.4"/>
    <x v="70"/>
    <d v="2025-03-13T00:00:00"/>
    <s v="M"/>
    <x v="2"/>
    <x v="1"/>
    <x v="0"/>
    <x v="17"/>
    <x v="3"/>
    <x v="10"/>
    <x v="1"/>
  </r>
  <r>
    <s v="TX501921"/>
    <x v="5"/>
    <x v="1"/>
    <n v="55.7"/>
    <n v="111.4"/>
    <x v="70"/>
    <d v="2025-03-13T00:00:00"/>
    <s v="M"/>
    <x v="0"/>
    <x v="1"/>
    <x v="0"/>
    <x v="26"/>
    <x v="3"/>
    <x v="10"/>
    <x v="1"/>
  </r>
  <r>
    <s v="TX501922"/>
    <x v="7"/>
    <x v="1"/>
    <n v="57.7"/>
    <n v="115.4"/>
    <x v="70"/>
    <d v="2025-03-14T00:00:00"/>
    <s v="M"/>
    <x v="4"/>
    <x v="1"/>
    <x v="0"/>
    <x v="9"/>
    <x v="1"/>
    <x v="10"/>
    <x v="1"/>
  </r>
  <r>
    <s v="TX501923"/>
    <x v="2"/>
    <x v="13"/>
    <n v="85.7"/>
    <n v="514.20000000000005"/>
    <x v="70"/>
    <d v="2025-03-13T00:00:00"/>
    <s v="M"/>
    <x v="3"/>
    <x v="2"/>
    <x v="0"/>
    <x v="9"/>
    <x v="3"/>
    <x v="10"/>
    <x v="1"/>
  </r>
  <r>
    <s v="TX501924"/>
    <x v="2"/>
    <x v="2"/>
    <n v="86.9"/>
    <n v="260.70000000000005"/>
    <x v="70"/>
    <d v="2025-03-14T00:00:00"/>
    <s v="F"/>
    <x v="1"/>
    <x v="0"/>
    <x v="0"/>
    <x v="11"/>
    <x v="1"/>
    <x v="10"/>
    <x v="2"/>
  </r>
  <r>
    <s v="TX501925"/>
    <x v="18"/>
    <x v="1"/>
    <n v="46.4"/>
    <n v="92.8"/>
    <x v="70"/>
    <d v="2025-03-15T00:00:00"/>
    <s v="F"/>
    <x v="4"/>
    <x v="0"/>
    <x v="0"/>
    <x v="11"/>
    <x v="2"/>
    <x v="10"/>
    <x v="2"/>
  </r>
  <r>
    <s v="TX501926"/>
    <x v="5"/>
    <x v="2"/>
    <n v="25.4"/>
    <n v="76.199999999999989"/>
    <x v="70"/>
    <d v="2025-03-12T00:00:00"/>
    <s v="F"/>
    <x v="2"/>
    <x v="2"/>
    <x v="0"/>
    <x v="18"/>
    <x v="7"/>
    <x v="10"/>
    <x v="2"/>
  </r>
  <r>
    <s v="TX501927"/>
    <x v="10"/>
    <x v="2"/>
    <n v="47.8"/>
    <n v="143.39999999999998"/>
    <x v="70"/>
    <d v="2025-03-12T00:00:00"/>
    <m/>
    <x v="2"/>
    <x v="2"/>
    <x v="0"/>
    <x v="19"/>
    <x v="7"/>
    <x v="10"/>
    <x v="0"/>
  </r>
  <r>
    <s v="TX501928"/>
    <x v="8"/>
    <x v="10"/>
    <n v="18.399999999999999"/>
    <n v="349.59999999999997"/>
    <x v="70"/>
    <d v="2025-03-14T00:00:00"/>
    <s v="O"/>
    <x v="2"/>
    <x v="0"/>
    <x v="0"/>
    <x v="20"/>
    <x v="1"/>
    <x v="10"/>
    <x v="3"/>
  </r>
  <r>
    <s v="TX501929"/>
    <x v="12"/>
    <x v="2"/>
    <n v="65.5"/>
    <n v="196.5"/>
    <x v="70"/>
    <d v="2025-03-20T00:00:00"/>
    <s v="F"/>
    <x v="0"/>
    <x v="0"/>
    <x v="0"/>
    <x v="21"/>
    <x v="9"/>
    <x v="10"/>
    <x v="2"/>
  </r>
  <r>
    <s v="TX501930"/>
    <x v="10"/>
    <x v="1"/>
    <n v="50.6"/>
    <n v="101.2"/>
    <x v="70"/>
    <d v="2025-03-15T00:00:00"/>
    <s v="M"/>
    <x v="2"/>
    <x v="4"/>
    <x v="0"/>
    <x v="21"/>
    <x v="2"/>
    <x v="10"/>
    <x v="1"/>
  </r>
  <r>
    <s v="TX501931"/>
    <x v="3"/>
    <x v="9"/>
    <n v="69"/>
    <n v="345"/>
    <x v="70"/>
    <d v="2025-03-16T00:00:00"/>
    <s v="M"/>
    <x v="3"/>
    <x v="0"/>
    <x v="0"/>
    <x v="21"/>
    <x v="5"/>
    <x v="10"/>
    <x v="1"/>
  </r>
  <r>
    <s v="TX501932"/>
    <x v="9"/>
    <x v="8"/>
    <n v="51.1"/>
    <n v="408.8"/>
    <x v="70"/>
    <d v="2025-03-14T00:00:00"/>
    <s v="F"/>
    <x v="0"/>
    <x v="0"/>
    <x v="0"/>
    <x v="1"/>
    <x v="1"/>
    <x v="10"/>
    <x v="2"/>
  </r>
  <r>
    <s v="TX501933"/>
    <x v="9"/>
    <x v="0"/>
    <n v="36.1"/>
    <n v="36.1"/>
    <x v="70"/>
    <d v="2025-03-13T00:00:00"/>
    <s v="F"/>
    <x v="0"/>
    <x v="2"/>
    <x v="0"/>
    <x v="34"/>
    <x v="3"/>
    <x v="10"/>
    <x v="2"/>
  </r>
  <r>
    <s v="TX501934"/>
    <x v="14"/>
    <x v="0"/>
    <n v="18.7"/>
    <n v="18.7"/>
    <x v="70"/>
    <d v="2025-03-13T00:00:00"/>
    <s v="M"/>
    <x v="0"/>
    <x v="0"/>
    <x v="0"/>
    <x v="3"/>
    <x v="3"/>
    <x v="10"/>
    <x v="1"/>
  </r>
  <r>
    <s v="TX501935"/>
    <x v="17"/>
    <x v="0"/>
    <n v="30.1"/>
    <n v="30.1"/>
    <x v="70"/>
    <d v="2025-03-15T00:00:00"/>
    <s v="F"/>
    <x v="3"/>
    <x v="1"/>
    <x v="0"/>
    <x v="3"/>
    <x v="2"/>
    <x v="10"/>
    <x v="2"/>
  </r>
  <r>
    <s v="TX501936"/>
    <x v="8"/>
    <x v="0"/>
    <n v="16.3"/>
    <n v="16.3"/>
    <x v="70"/>
    <d v="2025-03-13T00:00:00"/>
    <s v="M"/>
    <x v="3"/>
    <x v="0"/>
    <x v="0"/>
    <x v="3"/>
    <x v="3"/>
    <x v="10"/>
    <x v="1"/>
  </r>
  <r>
    <s v="TX501937"/>
    <x v="1"/>
    <x v="2"/>
    <n v="63.8"/>
    <n v="191.39999999999998"/>
    <x v="70"/>
    <d v="2025-03-17T00:00:00"/>
    <s v="F"/>
    <x v="2"/>
    <x v="1"/>
    <x v="0"/>
    <x v="3"/>
    <x v="0"/>
    <x v="10"/>
    <x v="2"/>
  </r>
  <r>
    <s v="TX501938"/>
    <x v="1"/>
    <x v="3"/>
    <n v="73.900000000000006"/>
    <n v="517.30000000000007"/>
    <x v="70"/>
    <d v="2025-03-12T00:00:00"/>
    <s v="F"/>
    <x v="0"/>
    <x v="1"/>
    <x v="0"/>
    <x v="3"/>
    <x v="7"/>
    <x v="10"/>
    <x v="2"/>
  </r>
  <r>
    <s v="TX501939"/>
    <x v="0"/>
    <x v="1"/>
    <n v="20.2"/>
    <n v="40.4"/>
    <x v="70"/>
    <d v="2025-03-13T00:00:00"/>
    <s v="M"/>
    <x v="0"/>
    <x v="1"/>
    <x v="0"/>
    <x v="3"/>
    <x v="3"/>
    <x v="10"/>
    <x v="1"/>
  </r>
  <r>
    <s v="TX501940"/>
    <x v="11"/>
    <x v="5"/>
    <n v="29.5"/>
    <n v="324.5"/>
    <x v="70"/>
    <d v="2025-03-13T00:00:00"/>
    <s v="M"/>
    <x v="0"/>
    <x v="0"/>
    <x v="0"/>
    <x v="3"/>
    <x v="3"/>
    <x v="10"/>
    <x v="1"/>
  </r>
  <r>
    <s v="TX501941"/>
    <x v="15"/>
    <x v="3"/>
    <n v="37.9"/>
    <n v="265.3"/>
    <x v="70"/>
    <d v="2025-03-13T00:00:00"/>
    <s v="M"/>
    <x v="1"/>
    <x v="0"/>
    <x v="0"/>
    <x v="3"/>
    <x v="3"/>
    <x v="10"/>
    <x v="1"/>
  </r>
  <r>
    <s v="TX501942"/>
    <x v="2"/>
    <x v="0"/>
    <n v="56.5"/>
    <n v="56.5"/>
    <x v="70"/>
    <d v="2025-03-13T00:00:00"/>
    <s v="F"/>
    <x v="2"/>
    <x v="1"/>
    <x v="0"/>
    <x v="3"/>
    <x v="3"/>
    <x v="10"/>
    <x v="2"/>
  </r>
  <r>
    <s v="TX501943"/>
    <x v="2"/>
    <x v="1"/>
    <n v="66.900000000000006"/>
    <n v="133.80000000000001"/>
    <x v="70"/>
    <d v="2025-03-18T00:00:00"/>
    <s v="M"/>
    <x v="1"/>
    <x v="4"/>
    <x v="0"/>
    <x v="25"/>
    <x v="4"/>
    <x v="10"/>
    <x v="1"/>
  </r>
  <r>
    <s v="TX501944"/>
    <x v="2"/>
    <x v="9"/>
    <n v="51.9"/>
    <n v="259.5"/>
    <x v="70"/>
    <d v="2025-03-15T00:00:00"/>
    <s v="M"/>
    <x v="1"/>
    <x v="0"/>
    <x v="0"/>
    <x v="7"/>
    <x v="2"/>
    <x v="10"/>
    <x v="1"/>
  </r>
  <r>
    <s v="TX501945"/>
    <x v="2"/>
    <x v="1"/>
    <n v="75.599999999999994"/>
    <n v="151.19999999999999"/>
    <x v="70"/>
    <d v="2025-03-15T00:00:00"/>
    <s v="M"/>
    <x v="1"/>
    <x v="0"/>
    <x v="0"/>
    <x v="8"/>
    <x v="2"/>
    <x v="10"/>
    <x v="1"/>
  </r>
  <r>
    <s v="TX501946"/>
    <x v="12"/>
    <x v="13"/>
    <n v="47.3"/>
    <n v="283.79999999999995"/>
    <x v="70"/>
    <d v="2025-03-23T00:00:00"/>
    <s v="M"/>
    <x v="0"/>
    <x v="0"/>
    <x v="0"/>
    <x v="8"/>
    <x v="11"/>
    <x v="10"/>
    <x v="1"/>
  </r>
  <r>
    <s v="TX501947"/>
    <x v="4"/>
    <x v="0"/>
    <n v="20.6"/>
    <n v="20.6"/>
    <x v="70"/>
    <d v="2025-03-13T00:00:00"/>
    <m/>
    <x v="0"/>
    <x v="1"/>
    <x v="0"/>
    <x v="8"/>
    <x v="3"/>
    <x v="10"/>
    <x v="0"/>
  </r>
  <r>
    <s v="TX501948"/>
    <x v="6"/>
    <x v="2"/>
    <n v="49.7"/>
    <n v="149.10000000000002"/>
    <x v="70"/>
    <d v="2025-03-14T00:00:00"/>
    <s v="M"/>
    <x v="0"/>
    <x v="1"/>
    <x v="0"/>
    <x v="8"/>
    <x v="1"/>
    <x v="10"/>
    <x v="1"/>
  </r>
  <r>
    <s v="TX501949"/>
    <x v="3"/>
    <x v="0"/>
    <n v="37.9"/>
    <n v="37.9"/>
    <x v="70"/>
    <d v="2025-03-14T00:00:00"/>
    <s v="F"/>
    <x v="0"/>
    <x v="0"/>
    <x v="0"/>
    <x v="8"/>
    <x v="1"/>
    <x v="10"/>
    <x v="2"/>
  </r>
  <r>
    <s v="TX501950"/>
    <x v="13"/>
    <x v="20"/>
    <n v="32"/>
    <n v="480"/>
    <x v="70"/>
    <d v="2025-03-14T00:00:00"/>
    <s v="F"/>
    <x v="4"/>
    <x v="0"/>
    <x v="0"/>
    <x v="11"/>
    <x v="1"/>
    <x v="10"/>
    <x v="2"/>
  </r>
  <r>
    <s v="TX501951"/>
    <x v="10"/>
    <x v="16"/>
    <n v="38.5"/>
    <n v="693"/>
    <x v="71"/>
    <d v="2025-03-14T00:00:00"/>
    <s v="M"/>
    <x v="0"/>
    <x v="2"/>
    <x v="0"/>
    <x v="11"/>
    <x v="3"/>
    <x v="10"/>
    <x v="1"/>
  </r>
  <r>
    <s v="TX501952"/>
    <x v="0"/>
    <x v="12"/>
    <n v="11.7"/>
    <n v="46.8"/>
    <x v="71"/>
    <d v="2025-03-15T00:00:00"/>
    <s v="F"/>
    <x v="1"/>
    <x v="0"/>
    <x v="0"/>
    <x v="20"/>
    <x v="1"/>
    <x v="10"/>
    <x v="2"/>
  </r>
  <r>
    <s v="TX501953"/>
    <x v="3"/>
    <x v="13"/>
    <n v="83.8"/>
    <n v="502.79999999999995"/>
    <x v="71"/>
    <d v="2025-03-14T00:00:00"/>
    <s v="M"/>
    <x v="0"/>
    <x v="0"/>
    <x v="0"/>
    <x v="21"/>
    <x v="3"/>
    <x v="10"/>
    <x v="1"/>
  </r>
  <r>
    <s v="TX501954"/>
    <x v="0"/>
    <x v="3"/>
    <n v="14"/>
    <n v="98"/>
    <x v="71"/>
    <d v="2025-03-16T00:00:00"/>
    <s v="M"/>
    <x v="0"/>
    <x v="1"/>
    <x v="0"/>
    <x v="22"/>
    <x v="2"/>
    <x v="10"/>
    <x v="1"/>
  </r>
  <r>
    <s v="TX501955"/>
    <x v="16"/>
    <x v="12"/>
    <n v="77.3"/>
    <n v="309.2"/>
    <x v="71"/>
    <d v="2025-03-15T00:00:00"/>
    <s v="F"/>
    <x v="4"/>
    <x v="2"/>
    <x v="0"/>
    <x v="3"/>
    <x v="1"/>
    <x v="10"/>
    <x v="2"/>
  </r>
  <r>
    <s v="TX501956"/>
    <x v="2"/>
    <x v="1"/>
    <n v="76.900000000000006"/>
    <n v="153.80000000000001"/>
    <x v="71"/>
    <d v="2025-03-17T00:00:00"/>
    <s v="F"/>
    <x v="0"/>
    <x v="1"/>
    <x v="0"/>
    <x v="3"/>
    <x v="5"/>
    <x v="10"/>
    <x v="2"/>
  </r>
  <r>
    <s v="TX501957"/>
    <x v="1"/>
    <x v="0"/>
    <n v="48"/>
    <n v="48"/>
    <x v="71"/>
    <d v="2025-03-15T00:00:00"/>
    <s v="F"/>
    <x v="1"/>
    <x v="2"/>
    <x v="0"/>
    <x v="3"/>
    <x v="1"/>
    <x v="10"/>
    <x v="2"/>
  </r>
  <r>
    <s v="TX501958"/>
    <x v="2"/>
    <x v="0"/>
    <n v="94.5"/>
    <n v="94.5"/>
    <x v="71"/>
    <d v="2025-03-16T00:00:00"/>
    <s v="M"/>
    <x v="1"/>
    <x v="1"/>
    <x v="0"/>
    <x v="3"/>
    <x v="2"/>
    <x v="10"/>
    <x v="1"/>
  </r>
  <r>
    <s v="TX501959"/>
    <x v="10"/>
    <x v="2"/>
    <n v="58.4"/>
    <n v="175.2"/>
    <x v="71"/>
    <d v="2025-03-15T00:00:00"/>
    <s v="F"/>
    <x v="1"/>
    <x v="2"/>
    <x v="0"/>
    <x v="3"/>
    <x v="1"/>
    <x v="10"/>
    <x v="2"/>
  </r>
  <r>
    <s v="TX501960"/>
    <x v="7"/>
    <x v="15"/>
    <n v="42.2"/>
    <n v="548.6"/>
    <x v="71"/>
    <d v="2025-03-13T00:00:00"/>
    <s v="M"/>
    <x v="0"/>
    <x v="0"/>
    <x v="0"/>
    <x v="25"/>
    <x v="7"/>
    <x v="10"/>
    <x v="1"/>
  </r>
  <r>
    <s v="TX501961"/>
    <x v="6"/>
    <x v="1"/>
    <n v="152.19999999999999"/>
    <n v="304.39999999999998"/>
    <x v="71"/>
    <d v="2025-03-14T00:00:00"/>
    <s v="M"/>
    <x v="4"/>
    <x v="1"/>
    <x v="0"/>
    <x v="25"/>
    <x v="3"/>
    <x v="10"/>
    <x v="1"/>
  </r>
  <r>
    <s v="TX501962"/>
    <x v="6"/>
    <x v="25"/>
    <n v="72"/>
    <n v="1728"/>
    <x v="71"/>
    <d v="2025-03-14T00:00:00"/>
    <s v="M"/>
    <x v="0"/>
    <x v="1"/>
    <x v="0"/>
    <x v="6"/>
    <x v="3"/>
    <x v="10"/>
    <x v="1"/>
  </r>
  <r>
    <s v="TX501963"/>
    <x v="1"/>
    <x v="44"/>
    <n v="70.900000000000006"/>
    <n v="1630.7"/>
    <x v="71"/>
    <d v="2025-03-14T00:00:00"/>
    <s v="F"/>
    <x v="2"/>
    <x v="0"/>
    <x v="0"/>
    <x v="8"/>
    <x v="3"/>
    <x v="10"/>
    <x v="2"/>
  </r>
  <r>
    <s v="TX501964"/>
    <x v="2"/>
    <x v="1"/>
    <n v="53.7"/>
    <n v="107.4"/>
    <x v="71"/>
    <d v="2025-03-14T00:00:00"/>
    <s v="M"/>
    <x v="2"/>
    <x v="2"/>
    <x v="0"/>
    <x v="8"/>
    <x v="3"/>
    <x v="10"/>
    <x v="1"/>
  </r>
  <r>
    <s v="TX501965"/>
    <x v="9"/>
    <x v="12"/>
    <n v="42.9"/>
    <n v="171.6"/>
    <x v="71"/>
    <d v="2025-03-14T00:00:00"/>
    <s v="F"/>
    <x v="2"/>
    <x v="4"/>
    <x v="0"/>
    <x v="9"/>
    <x v="3"/>
    <x v="10"/>
    <x v="2"/>
  </r>
  <r>
    <s v="TX501966"/>
    <x v="2"/>
    <x v="3"/>
    <n v="107.5"/>
    <n v="752.5"/>
    <x v="71"/>
    <d v="2025-03-14T00:00:00"/>
    <s v="M"/>
    <x v="1"/>
    <x v="0"/>
    <x v="0"/>
    <x v="11"/>
    <x v="3"/>
    <x v="10"/>
    <x v="1"/>
  </r>
  <r>
    <s v="TX501967"/>
    <x v="17"/>
    <x v="27"/>
    <n v="21.5"/>
    <n v="344"/>
    <x v="71"/>
    <d v="2025-03-14T00:00:00"/>
    <s v="M"/>
    <x v="1"/>
    <x v="1"/>
    <x v="0"/>
    <x v="32"/>
    <x v="3"/>
    <x v="10"/>
    <x v="1"/>
  </r>
  <r>
    <s v="TX501968"/>
    <x v="3"/>
    <x v="9"/>
    <n v="85.3"/>
    <n v="426.5"/>
    <x v="71"/>
    <d v="2025-03-15T00:00:00"/>
    <s v="F"/>
    <x v="3"/>
    <x v="0"/>
    <x v="0"/>
    <x v="18"/>
    <x v="1"/>
    <x v="10"/>
    <x v="2"/>
  </r>
  <r>
    <s v="TX501969"/>
    <x v="7"/>
    <x v="9"/>
    <n v="80.8"/>
    <n v="404"/>
    <x v="71"/>
    <d v="2025-03-21T00:00:00"/>
    <s v="O"/>
    <x v="1"/>
    <x v="1"/>
    <x v="0"/>
    <x v="19"/>
    <x v="9"/>
    <x v="10"/>
    <x v="3"/>
  </r>
  <r>
    <s v="TX501970"/>
    <x v="2"/>
    <x v="2"/>
    <n v="123.1"/>
    <n v="369.29999999999995"/>
    <x v="71"/>
    <d v="2025-03-15T00:00:00"/>
    <m/>
    <x v="2"/>
    <x v="0"/>
    <x v="0"/>
    <x v="21"/>
    <x v="1"/>
    <x v="10"/>
    <x v="0"/>
  </r>
  <r>
    <s v="TX501971"/>
    <x v="8"/>
    <x v="1"/>
    <n v="36.9"/>
    <n v="73.8"/>
    <x v="71"/>
    <d v="2025-03-15T00:00:00"/>
    <s v="F"/>
    <x v="2"/>
    <x v="4"/>
    <x v="0"/>
    <x v="51"/>
    <x v="1"/>
    <x v="10"/>
    <x v="2"/>
  </r>
  <r>
    <s v="TX501972"/>
    <x v="11"/>
    <x v="9"/>
    <n v="40"/>
    <n v="200"/>
    <x v="71"/>
    <d v="2025-03-14T00:00:00"/>
    <s v="M"/>
    <x v="0"/>
    <x v="0"/>
    <x v="0"/>
    <x v="1"/>
    <x v="3"/>
    <x v="10"/>
    <x v="1"/>
  </r>
  <r>
    <s v="TX501973"/>
    <x v="6"/>
    <x v="2"/>
    <n v="55.5"/>
    <n v="166.5"/>
    <x v="71"/>
    <d v="2025-03-14T00:00:00"/>
    <s v="M"/>
    <x v="4"/>
    <x v="2"/>
    <x v="0"/>
    <x v="1"/>
    <x v="3"/>
    <x v="10"/>
    <x v="1"/>
  </r>
  <r>
    <s v="TX501974"/>
    <x v="0"/>
    <x v="12"/>
    <n v="20.5"/>
    <n v="82"/>
    <x v="71"/>
    <d v="2025-03-17T00:00:00"/>
    <s v="F"/>
    <x v="4"/>
    <x v="0"/>
    <x v="0"/>
    <x v="1"/>
    <x v="5"/>
    <x v="10"/>
    <x v="2"/>
  </r>
  <r>
    <s v="TX501975"/>
    <x v="18"/>
    <x v="12"/>
    <n v="50.1"/>
    <n v="200.4"/>
    <x v="71"/>
    <d v="2025-03-14T00:00:00"/>
    <s v="F"/>
    <x v="4"/>
    <x v="0"/>
    <x v="0"/>
    <x v="1"/>
    <x v="3"/>
    <x v="10"/>
    <x v="2"/>
  </r>
  <r>
    <s v="TX501976"/>
    <x v="9"/>
    <x v="0"/>
    <n v="35.9"/>
    <n v="35.9"/>
    <x v="71"/>
    <d v="2025-03-15T00:00:00"/>
    <s v="M"/>
    <x v="1"/>
    <x v="2"/>
    <x v="0"/>
    <x v="1"/>
    <x v="1"/>
    <x v="10"/>
    <x v="1"/>
  </r>
  <r>
    <s v="TX501977"/>
    <x v="13"/>
    <x v="12"/>
    <n v="29.4"/>
    <n v="117.6"/>
    <x v="72"/>
    <d v="2025-03-15T00:00:00"/>
    <s v="M"/>
    <x v="2"/>
    <x v="2"/>
    <x v="0"/>
    <x v="33"/>
    <x v="3"/>
    <x v="10"/>
    <x v="1"/>
  </r>
  <r>
    <s v="TX501978"/>
    <x v="8"/>
    <x v="9"/>
    <n v="29.1"/>
    <n v="145.5"/>
    <x v="72"/>
    <d v="2025-03-22T00:00:00"/>
    <s v="O"/>
    <x v="2"/>
    <x v="1"/>
    <x v="0"/>
    <x v="33"/>
    <x v="9"/>
    <x v="10"/>
    <x v="3"/>
  </r>
  <r>
    <s v="TX501979"/>
    <x v="8"/>
    <x v="2"/>
    <n v="33.5"/>
    <n v="100.5"/>
    <x v="72"/>
    <d v="2025-03-26T00:00:00"/>
    <s v="M"/>
    <x v="0"/>
    <x v="2"/>
    <x v="0"/>
    <x v="22"/>
    <x v="13"/>
    <x v="10"/>
    <x v="1"/>
  </r>
  <r>
    <s v="TX501980"/>
    <x v="4"/>
    <x v="7"/>
    <n v="36"/>
    <n v="360"/>
    <x v="72"/>
    <d v="2025-03-14T00:00:00"/>
    <s v="M"/>
    <x v="3"/>
    <x v="2"/>
    <x v="0"/>
    <x v="3"/>
    <x v="7"/>
    <x v="10"/>
    <x v="1"/>
  </r>
  <r>
    <s v="TX501981"/>
    <x v="16"/>
    <x v="2"/>
    <n v="57.3"/>
    <n v="171.89999999999998"/>
    <x v="72"/>
    <d v="2025-03-18T00:00:00"/>
    <s v="F"/>
    <x v="0"/>
    <x v="2"/>
    <x v="0"/>
    <x v="3"/>
    <x v="5"/>
    <x v="10"/>
    <x v="2"/>
  </r>
  <r>
    <s v="TX501982"/>
    <x v="1"/>
    <x v="0"/>
    <n v="81.400000000000006"/>
    <n v="81.400000000000006"/>
    <x v="72"/>
    <d v="2025-03-15T00:00:00"/>
    <s v="F"/>
    <x v="2"/>
    <x v="2"/>
    <x v="0"/>
    <x v="3"/>
    <x v="3"/>
    <x v="10"/>
    <x v="2"/>
  </r>
  <r>
    <s v="TX501983"/>
    <x v="10"/>
    <x v="1"/>
    <n v="35.299999999999997"/>
    <n v="70.599999999999994"/>
    <x v="72"/>
    <d v="2025-03-18T00:00:00"/>
    <s v="M"/>
    <x v="0"/>
    <x v="2"/>
    <x v="0"/>
    <x v="3"/>
    <x v="5"/>
    <x v="10"/>
    <x v="1"/>
  </r>
  <r>
    <s v="TX501984"/>
    <x v="3"/>
    <x v="0"/>
    <n v="36.1"/>
    <n v="36.1"/>
    <x v="72"/>
    <d v="2025-03-15T00:00:00"/>
    <s v="F"/>
    <x v="4"/>
    <x v="0"/>
    <x v="0"/>
    <x v="3"/>
    <x v="3"/>
    <x v="10"/>
    <x v="2"/>
  </r>
  <r>
    <s v="TX501985"/>
    <x v="1"/>
    <x v="1"/>
    <n v="36.700000000000003"/>
    <n v="73.400000000000006"/>
    <x v="72"/>
    <d v="2025-03-16T00:00:00"/>
    <s v="F"/>
    <x v="0"/>
    <x v="2"/>
    <x v="0"/>
    <x v="3"/>
    <x v="1"/>
    <x v="10"/>
    <x v="2"/>
  </r>
  <r>
    <s v="TX501986"/>
    <x v="10"/>
    <x v="0"/>
    <n v="20.9"/>
    <n v="20.9"/>
    <x v="72"/>
    <d v="2025-03-16T00:00:00"/>
    <s v="F"/>
    <x v="0"/>
    <x v="4"/>
    <x v="0"/>
    <x v="3"/>
    <x v="1"/>
    <x v="10"/>
    <x v="2"/>
  </r>
  <r>
    <s v="TX501987"/>
    <x v="12"/>
    <x v="2"/>
    <n v="58.8"/>
    <n v="176.39999999999998"/>
    <x v="72"/>
    <d v="2025-03-18T00:00:00"/>
    <s v="M"/>
    <x v="0"/>
    <x v="2"/>
    <x v="0"/>
    <x v="25"/>
    <x v="5"/>
    <x v="10"/>
    <x v="1"/>
  </r>
  <r>
    <s v="TX501988"/>
    <x v="2"/>
    <x v="2"/>
    <n v="97.6"/>
    <n v="292.79999999999995"/>
    <x v="73"/>
    <d v="2025-03-17T00:00:00"/>
    <m/>
    <x v="0"/>
    <x v="0"/>
    <x v="0"/>
    <x v="6"/>
    <x v="1"/>
    <x v="10"/>
    <x v="0"/>
  </r>
  <r>
    <s v="TX501989"/>
    <x v="1"/>
    <x v="1"/>
    <n v="58.7"/>
    <n v="117.4"/>
    <x v="73"/>
    <d v="2025-03-18T00:00:00"/>
    <s v="F"/>
    <x v="0"/>
    <x v="1"/>
    <x v="0"/>
    <x v="6"/>
    <x v="2"/>
    <x v="10"/>
    <x v="2"/>
  </r>
  <r>
    <s v="TX501990"/>
    <x v="6"/>
    <x v="9"/>
    <n v="71.900000000000006"/>
    <n v="359.5"/>
    <x v="73"/>
    <d v="2025-03-16T00:00:00"/>
    <m/>
    <x v="0"/>
    <x v="1"/>
    <x v="0"/>
    <x v="6"/>
    <x v="3"/>
    <x v="10"/>
    <x v="0"/>
  </r>
  <r>
    <s v="TX501991"/>
    <x v="1"/>
    <x v="1"/>
    <n v="62.4"/>
    <n v="124.8"/>
    <x v="73"/>
    <d v="2025-03-17T00:00:00"/>
    <m/>
    <x v="0"/>
    <x v="1"/>
    <x v="0"/>
    <x v="8"/>
    <x v="1"/>
    <x v="10"/>
    <x v="0"/>
  </r>
  <r>
    <s v="TX501992"/>
    <x v="6"/>
    <x v="27"/>
    <n v="53.8"/>
    <n v="860.8"/>
    <x v="73"/>
    <d v="2025-03-16T00:00:00"/>
    <s v="F"/>
    <x v="1"/>
    <x v="0"/>
    <x v="0"/>
    <x v="8"/>
    <x v="3"/>
    <x v="10"/>
    <x v="2"/>
  </r>
  <r>
    <s v="TX501993"/>
    <x v="9"/>
    <x v="0"/>
    <n v="43.8"/>
    <n v="43.8"/>
    <x v="73"/>
    <d v="2025-03-22T00:00:00"/>
    <s v="F"/>
    <x v="0"/>
    <x v="2"/>
    <x v="0"/>
    <x v="8"/>
    <x v="6"/>
    <x v="10"/>
    <x v="2"/>
  </r>
  <r>
    <s v="TX501994"/>
    <x v="5"/>
    <x v="2"/>
    <n v="53.6"/>
    <n v="160.80000000000001"/>
    <x v="73"/>
    <d v="2025-03-16T00:00:00"/>
    <s v="M"/>
    <x v="3"/>
    <x v="0"/>
    <x v="0"/>
    <x v="8"/>
    <x v="3"/>
    <x v="10"/>
    <x v="1"/>
  </r>
  <r>
    <s v="TX501995"/>
    <x v="12"/>
    <x v="1"/>
    <n v="84.3"/>
    <n v="168.6"/>
    <x v="73"/>
    <d v="2025-03-18T00:00:00"/>
    <s v="M"/>
    <x v="4"/>
    <x v="1"/>
    <x v="0"/>
    <x v="8"/>
    <x v="2"/>
    <x v="10"/>
    <x v="1"/>
  </r>
  <r>
    <s v="TX501996"/>
    <x v="6"/>
    <x v="11"/>
    <n v="117.9"/>
    <n v="1061.1000000000001"/>
    <x v="73"/>
    <d v="2025-03-16T00:00:00"/>
    <s v="F"/>
    <x v="1"/>
    <x v="2"/>
    <x v="0"/>
    <x v="8"/>
    <x v="3"/>
    <x v="10"/>
    <x v="2"/>
  </r>
  <r>
    <s v="TX501997"/>
    <x v="4"/>
    <x v="8"/>
    <n v="30"/>
    <n v="240"/>
    <x v="73"/>
    <d v="2025-03-16T00:00:00"/>
    <s v="F"/>
    <x v="1"/>
    <x v="0"/>
    <x v="0"/>
    <x v="26"/>
    <x v="3"/>
    <x v="10"/>
    <x v="2"/>
  </r>
  <r>
    <s v="TX501998"/>
    <x v="14"/>
    <x v="2"/>
    <n v="37.299999999999997"/>
    <n v="111.89999999999999"/>
    <x v="73"/>
    <d v="2025-03-16T00:00:00"/>
    <s v="M"/>
    <x v="2"/>
    <x v="0"/>
    <x v="0"/>
    <x v="9"/>
    <x v="3"/>
    <x v="10"/>
    <x v="1"/>
  </r>
  <r>
    <s v="TX501999"/>
    <x v="4"/>
    <x v="11"/>
    <n v="25.1"/>
    <n v="225.9"/>
    <x v="73"/>
    <d v="2025-03-17T00:00:00"/>
    <s v="M"/>
    <x v="1"/>
    <x v="2"/>
    <x v="0"/>
    <x v="11"/>
    <x v="1"/>
    <x v="10"/>
    <x v="1"/>
  </r>
  <r>
    <s v="TX502000"/>
    <x v="8"/>
    <x v="5"/>
    <n v="36"/>
    <n v="396"/>
    <x v="73"/>
    <d v="2025-03-25T00:00:00"/>
    <s v="M"/>
    <x v="1"/>
    <x v="0"/>
    <x v="0"/>
    <x v="18"/>
    <x v="14"/>
    <x v="10"/>
    <x v="1"/>
  </r>
  <r>
    <s v="TX502001"/>
    <x v="16"/>
    <x v="2"/>
    <n v="48.5"/>
    <n v="145.5"/>
    <x v="73"/>
    <d v="2025-03-19T00:00:00"/>
    <s v="F"/>
    <x v="1"/>
    <x v="0"/>
    <x v="0"/>
    <x v="19"/>
    <x v="5"/>
    <x v="10"/>
    <x v="2"/>
  </r>
  <r>
    <s v="TX502002"/>
    <x v="17"/>
    <x v="13"/>
    <n v="21.1"/>
    <n v="126.60000000000001"/>
    <x v="73"/>
    <d v="2025-03-16T00:00:00"/>
    <s v="M"/>
    <x v="1"/>
    <x v="2"/>
    <x v="0"/>
    <x v="21"/>
    <x v="3"/>
    <x v="10"/>
    <x v="1"/>
  </r>
  <r>
    <s v="TX502003"/>
    <x v="15"/>
    <x v="21"/>
    <n v="43.2"/>
    <n v="604.80000000000007"/>
    <x v="73"/>
    <d v="2025-03-16T00:00:00"/>
    <s v="O"/>
    <x v="0"/>
    <x v="1"/>
    <x v="0"/>
    <x v="21"/>
    <x v="3"/>
    <x v="10"/>
    <x v="3"/>
  </r>
  <r>
    <s v="TX502004"/>
    <x v="9"/>
    <x v="1"/>
    <n v="21.1"/>
    <n v="42.2"/>
    <x v="73"/>
    <d v="2025-03-16T00:00:00"/>
    <m/>
    <x v="3"/>
    <x v="1"/>
    <x v="0"/>
    <x v="21"/>
    <x v="3"/>
    <x v="10"/>
    <x v="0"/>
  </r>
  <r>
    <s v="TX502005"/>
    <x v="6"/>
    <x v="12"/>
    <n v="41.3"/>
    <n v="165.2"/>
    <x v="73"/>
    <d v="2025-03-17T00:00:00"/>
    <s v="F"/>
    <x v="3"/>
    <x v="2"/>
    <x v="0"/>
    <x v="1"/>
    <x v="1"/>
    <x v="10"/>
    <x v="2"/>
  </r>
  <r>
    <s v="TX502006"/>
    <x v="8"/>
    <x v="1"/>
    <n v="15.3"/>
    <n v="30.6"/>
    <x v="73"/>
    <d v="2025-03-18T00:00:00"/>
    <m/>
    <x v="2"/>
    <x v="2"/>
    <x v="0"/>
    <x v="1"/>
    <x v="2"/>
    <x v="10"/>
    <x v="0"/>
  </r>
  <r>
    <s v="TX502007"/>
    <x v="1"/>
    <x v="0"/>
    <n v="54.6"/>
    <n v="54.6"/>
    <x v="73"/>
    <d v="2025-03-17T00:00:00"/>
    <s v="M"/>
    <x v="1"/>
    <x v="1"/>
    <x v="0"/>
    <x v="2"/>
    <x v="1"/>
    <x v="10"/>
    <x v="1"/>
  </r>
  <r>
    <s v="TX502008"/>
    <x v="8"/>
    <x v="0"/>
    <n v="15.9"/>
    <n v="15.9"/>
    <x v="73"/>
    <d v="2025-03-16T00:00:00"/>
    <s v="M"/>
    <x v="0"/>
    <x v="1"/>
    <x v="0"/>
    <x v="22"/>
    <x v="3"/>
    <x v="10"/>
    <x v="1"/>
  </r>
  <r>
    <s v="TX502009"/>
    <x v="9"/>
    <x v="0"/>
    <n v="50.2"/>
    <n v="50.2"/>
    <x v="73"/>
    <d v="2025-03-17T00:00:00"/>
    <s v="F"/>
    <x v="3"/>
    <x v="2"/>
    <x v="0"/>
    <x v="34"/>
    <x v="1"/>
    <x v="10"/>
    <x v="2"/>
  </r>
  <r>
    <s v="TX502010"/>
    <x v="11"/>
    <x v="12"/>
    <n v="85.1"/>
    <n v="340.4"/>
    <x v="73"/>
    <d v="2025-03-16T00:00:00"/>
    <s v="F"/>
    <x v="3"/>
    <x v="4"/>
    <x v="0"/>
    <x v="34"/>
    <x v="3"/>
    <x v="10"/>
    <x v="2"/>
  </r>
  <r>
    <s v="TX502011"/>
    <x v="11"/>
    <x v="1"/>
    <n v="41.4"/>
    <n v="82.8"/>
    <x v="73"/>
    <d v="2025-03-16T00:00:00"/>
    <s v="F"/>
    <x v="0"/>
    <x v="2"/>
    <x v="0"/>
    <x v="3"/>
    <x v="3"/>
    <x v="10"/>
    <x v="2"/>
  </r>
  <r>
    <s v="TX502012"/>
    <x v="4"/>
    <x v="3"/>
    <n v="32.700000000000003"/>
    <n v="228.90000000000003"/>
    <x v="73"/>
    <d v="2025-03-16T00:00:00"/>
    <s v="F"/>
    <x v="2"/>
    <x v="1"/>
    <x v="0"/>
    <x v="3"/>
    <x v="3"/>
    <x v="10"/>
    <x v="2"/>
  </r>
  <r>
    <s v="TX502013"/>
    <x v="4"/>
    <x v="1"/>
    <n v="41.6"/>
    <n v="83.2"/>
    <x v="73"/>
    <d v="2025-03-17T00:00:00"/>
    <s v="M"/>
    <x v="4"/>
    <x v="1"/>
    <x v="0"/>
    <x v="3"/>
    <x v="1"/>
    <x v="10"/>
    <x v="1"/>
  </r>
  <r>
    <s v="TX502014"/>
    <x v="5"/>
    <x v="12"/>
    <n v="64.8"/>
    <n v="259.2"/>
    <x v="73"/>
    <d v="2025-03-16T00:00:00"/>
    <m/>
    <x v="2"/>
    <x v="0"/>
    <x v="0"/>
    <x v="3"/>
    <x v="3"/>
    <x v="10"/>
    <x v="0"/>
  </r>
  <r>
    <s v="TX502015"/>
    <x v="15"/>
    <x v="1"/>
    <n v="33.6"/>
    <n v="67.2"/>
    <x v="73"/>
    <d v="2025-03-16T00:00:00"/>
    <s v="M"/>
    <x v="0"/>
    <x v="2"/>
    <x v="0"/>
    <x v="3"/>
    <x v="3"/>
    <x v="10"/>
    <x v="1"/>
  </r>
  <r>
    <s v="TX502016"/>
    <x v="6"/>
    <x v="2"/>
    <n v="100.7"/>
    <n v="302.10000000000002"/>
    <x v="73"/>
    <d v="2025-03-16T00:00:00"/>
    <m/>
    <x v="1"/>
    <x v="0"/>
    <x v="0"/>
    <x v="3"/>
    <x v="3"/>
    <x v="10"/>
    <x v="0"/>
  </r>
  <r>
    <s v="TX502017"/>
    <x v="4"/>
    <x v="1"/>
    <n v="49.3"/>
    <n v="98.6"/>
    <x v="74"/>
    <d v="2025-03-18T00:00:00"/>
    <s v="F"/>
    <x v="4"/>
    <x v="2"/>
    <x v="0"/>
    <x v="3"/>
    <x v="1"/>
    <x v="11"/>
    <x v="2"/>
  </r>
  <r>
    <s v="TX502018"/>
    <x v="2"/>
    <x v="13"/>
    <n v="97"/>
    <n v="582"/>
    <x v="74"/>
    <d v="2025-03-19T00:00:00"/>
    <s v="M"/>
    <x v="2"/>
    <x v="2"/>
    <x v="0"/>
    <x v="3"/>
    <x v="2"/>
    <x v="11"/>
    <x v="1"/>
  </r>
  <r>
    <s v="TX502019"/>
    <x v="0"/>
    <x v="13"/>
    <n v="25.2"/>
    <n v="151.19999999999999"/>
    <x v="74"/>
    <d v="2025-03-19T00:00:00"/>
    <s v="F"/>
    <x v="4"/>
    <x v="2"/>
    <x v="0"/>
    <x v="3"/>
    <x v="2"/>
    <x v="11"/>
    <x v="2"/>
  </r>
  <r>
    <s v="TX502020"/>
    <x v="0"/>
    <x v="5"/>
    <n v="12.2"/>
    <n v="134.19999999999999"/>
    <x v="74"/>
    <d v="2025-03-17T00:00:00"/>
    <m/>
    <x v="0"/>
    <x v="1"/>
    <x v="0"/>
    <x v="3"/>
    <x v="3"/>
    <x v="11"/>
    <x v="0"/>
  </r>
  <r>
    <s v="TX502021"/>
    <x v="8"/>
    <x v="3"/>
    <n v="38.799999999999997"/>
    <n v="271.59999999999997"/>
    <x v="74"/>
    <d v="2025-03-18T00:00:00"/>
    <s v="F"/>
    <x v="1"/>
    <x v="1"/>
    <x v="0"/>
    <x v="23"/>
    <x v="1"/>
    <x v="11"/>
    <x v="2"/>
  </r>
  <r>
    <s v="TX502022"/>
    <x v="2"/>
    <x v="12"/>
    <n v="53.2"/>
    <n v="212.8"/>
    <x v="74"/>
    <d v="2025-03-17T00:00:00"/>
    <s v="M"/>
    <x v="0"/>
    <x v="2"/>
    <x v="0"/>
    <x v="8"/>
    <x v="3"/>
    <x v="11"/>
    <x v="1"/>
  </r>
  <r>
    <s v="TX502023"/>
    <x v="6"/>
    <x v="3"/>
    <n v="151"/>
    <n v="1057"/>
    <x v="74"/>
    <d v="2025-03-17T00:00:00"/>
    <s v="O"/>
    <x v="1"/>
    <x v="1"/>
    <x v="0"/>
    <x v="8"/>
    <x v="3"/>
    <x v="11"/>
    <x v="3"/>
  </r>
  <r>
    <s v="TX502024"/>
    <x v="1"/>
    <x v="1"/>
    <n v="37.1"/>
    <n v="74.2"/>
    <x v="74"/>
    <d v="2025-03-17T00:00:00"/>
    <s v="F"/>
    <x v="4"/>
    <x v="0"/>
    <x v="0"/>
    <x v="8"/>
    <x v="3"/>
    <x v="11"/>
    <x v="2"/>
  </r>
  <r>
    <s v="TX502025"/>
    <x v="5"/>
    <x v="1"/>
    <n v="38.9"/>
    <n v="77.8"/>
    <x v="74"/>
    <d v="2025-03-17T00:00:00"/>
    <s v="M"/>
    <x v="4"/>
    <x v="0"/>
    <x v="0"/>
    <x v="8"/>
    <x v="3"/>
    <x v="11"/>
    <x v="1"/>
  </r>
  <r>
    <s v="TX502026"/>
    <x v="10"/>
    <x v="1"/>
    <n v="35.200000000000003"/>
    <n v="70.400000000000006"/>
    <x v="74"/>
    <d v="2025-03-17T00:00:00"/>
    <s v="M"/>
    <x v="0"/>
    <x v="2"/>
    <x v="0"/>
    <x v="17"/>
    <x v="3"/>
    <x v="11"/>
    <x v="1"/>
  </r>
  <r>
    <s v="TX502027"/>
    <x v="0"/>
    <x v="1"/>
    <n v="22.3"/>
    <n v="44.6"/>
    <x v="74"/>
    <d v="2025-03-18T00:00:00"/>
    <s v="F"/>
    <x v="1"/>
    <x v="0"/>
    <x v="0"/>
    <x v="9"/>
    <x v="1"/>
    <x v="11"/>
    <x v="2"/>
  </r>
  <r>
    <s v="TX502028"/>
    <x v="9"/>
    <x v="0"/>
    <n v="43.3"/>
    <n v="43.3"/>
    <x v="74"/>
    <d v="2025-03-19T00:00:00"/>
    <s v="F"/>
    <x v="0"/>
    <x v="2"/>
    <x v="0"/>
    <x v="11"/>
    <x v="2"/>
    <x v="11"/>
    <x v="2"/>
  </r>
  <r>
    <s v="TX502029"/>
    <x v="6"/>
    <x v="13"/>
    <n v="75.900000000000006"/>
    <n v="455.40000000000003"/>
    <x v="74"/>
    <d v="2025-03-22T00:00:00"/>
    <s v="M"/>
    <x v="0"/>
    <x v="0"/>
    <x v="0"/>
    <x v="11"/>
    <x v="4"/>
    <x v="11"/>
    <x v="1"/>
  </r>
  <r>
    <s v="TX502030"/>
    <x v="6"/>
    <x v="2"/>
    <n v="78.7"/>
    <n v="236.10000000000002"/>
    <x v="74"/>
    <d v="2025-03-20T00:00:00"/>
    <s v="F"/>
    <x v="2"/>
    <x v="1"/>
    <x v="0"/>
    <x v="11"/>
    <x v="5"/>
    <x v="11"/>
    <x v="2"/>
  </r>
  <r>
    <s v="TX502031"/>
    <x v="1"/>
    <x v="0"/>
    <n v="66.3"/>
    <n v="66.3"/>
    <x v="74"/>
    <d v="2025-03-20T00:00:00"/>
    <s v="F"/>
    <x v="0"/>
    <x v="2"/>
    <x v="0"/>
    <x v="19"/>
    <x v="5"/>
    <x v="11"/>
    <x v="2"/>
  </r>
  <r>
    <s v="TX502032"/>
    <x v="8"/>
    <x v="1"/>
    <n v="33.6"/>
    <n v="67.2"/>
    <x v="74"/>
    <d v="2025-03-16T00:00:00"/>
    <s v="M"/>
    <x v="0"/>
    <x v="1"/>
    <x v="0"/>
    <x v="19"/>
    <x v="7"/>
    <x v="11"/>
    <x v="1"/>
  </r>
  <r>
    <s v="TX502033"/>
    <x v="2"/>
    <x v="3"/>
    <n v="61.4"/>
    <n v="429.8"/>
    <x v="74"/>
    <d v="2025-03-17T00:00:00"/>
    <s v="M"/>
    <x v="4"/>
    <x v="0"/>
    <x v="0"/>
    <x v="19"/>
    <x v="3"/>
    <x v="11"/>
    <x v="1"/>
  </r>
  <r>
    <s v="TX502034"/>
    <x v="8"/>
    <x v="1"/>
    <n v="17.5"/>
    <n v="35"/>
    <x v="74"/>
    <d v="2025-03-19T00:00:00"/>
    <s v="F"/>
    <x v="0"/>
    <x v="0"/>
    <x v="0"/>
    <x v="21"/>
    <x v="2"/>
    <x v="11"/>
    <x v="2"/>
  </r>
  <r>
    <s v="TX502035"/>
    <x v="8"/>
    <x v="1"/>
    <n v="32.5"/>
    <n v="65"/>
    <x v="74"/>
    <d v="2025-03-19T00:00:00"/>
    <s v="F"/>
    <x v="1"/>
    <x v="0"/>
    <x v="0"/>
    <x v="21"/>
    <x v="2"/>
    <x v="11"/>
    <x v="2"/>
  </r>
  <r>
    <s v="TX502036"/>
    <x v="4"/>
    <x v="0"/>
    <n v="34.6"/>
    <n v="34.6"/>
    <x v="74"/>
    <d v="2025-03-17T00:00:00"/>
    <s v="F"/>
    <x v="4"/>
    <x v="0"/>
    <x v="0"/>
    <x v="21"/>
    <x v="3"/>
    <x v="11"/>
    <x v="2"/>
  </r>
  <r>
    <s v="TX502037"/>
    <x v="2"/>
    <x v="0"/>
    <n v="75.900000000000006"/>
    <n v="75.900000000000006"/>
    <x v="74"/>
    <d v="2025-03-16T00:00:00"/>
    <s v="M"/>
    <x v="1"/>
    <x v="2"/>
    <x v="0"/>
    <x v="21"/>
    <x v="7"/>
    <x v="11"/>
    <x v="1"/>
  </r>
  <r>
    <s v="TX502038"/>
    <x v="1"/>
    <x v="2"/>
    <n v="42.1"/>
    <n v="126.30000000000001"/>
    <x v="74"/>
    <d v="2025-03-19T00:00:00"/>
    <s v="M"/>
    <x v="1"/>
    <x v="1"/>
    <x v="0"/>
    <x v="21"/>
    <x v="2"/>
    <x v="11"/>
    <x v="1"/>
  </r>
  <r>
    <s v="TX502039"/>
    <x v="7"/>
    <x v="2"/>
    <n v="65.3"/>
    <n v="195.89999999999998"/>
    <x v="74"/>
    <d v="2025-03-23T00:00:00"/>
    <s v="M"/>
    <x v="0"/>
    <x v="0"/>
    <x v="0"/>
    <x v="1"/>
    <x v="6"/>
    <x v="11"/>
    <x v="1"/>
  </r>
  <r>
    <s v="TX502040"/>
    <x v="15"/>
    <x v="0"/>
    <n v="20.6"/>
    <n v="20.6"/>
    <x v="74"/>
    <d v="2025-03-19T00:00:00"/>
    <s v="M"/>
    <x v="3"/>
    <x v="0"/>
    <x v="0"/>
    <x v="42"/>
    <x v="2"/>
    <x v="11"/>
    <x v="1"/>
  </r>
  <r>
    <s v="TX502041"/>
    <x v="8"/>
    <x v="3"/>
    <n v="16.5"/>
    <n v="115.5"/>
    <x v="74"/>
    <d v="2025-03-17T00:00:00"/>
    <s v="M"/>
    <x v="1"/>
    <x v="1"/>
    <x v="0"/>
    <x v="2"/>
    <x v="3"/>
    <x v="11"/>
    <x v="1"/>
  </r>
  <r>
    <s v="TX502042"/>
    <x v="16"/>
    <x v="7"/>
    <n v="36.200000000000003"/>
    <n v="362"/>
    <x v="74"/>
    <d v="2025-03-18T00:00:00"/>
    <s v="M"/>
    <x v="0"/>
    <x v="2"/>
    <x v="0"/>
    <x v="2"/>
    <x v="1"/>
    <x v="11"/>
    <x v="1"/>
  </r>
  <r>
    <s v="TX502043"/>
    <x v="6"/>
    <x v="0"/>
    <n v="53.2"/>
    <n v="53.2"/>
    <x v="74"/>
    <d v="2025-03-17T00:00:00"/>
    <s v="F"/>
    <x v="0"/>
    <x v="1"/>
    <x v="0"/>
    <x v="22"/>
    <x v="3"/>
    <x v="11"/>
    <x v="2"/>
  </r>
  <r>
    <s v="TX502044"/>
    <x v="2"/>
    <x v="21"/>
    <n v="176"/>
    <n v="2464"/>
    <x v="74"/>
    <d v="2025-03-17T00:00:00"/>
    <s v="F"/>
    <x v="0"/>
    <x v="1"/>
    <x v="0"/>
    <x v="3"/>
    <x v="3"/>
    <x v="11"/>
    <x v="2"/>
  </r>
  <r>
    <s v="TX502045"/>
    <x v="1"/>
    <x v="0"/>
    <n v="52.4"/>
    <n v="52.4"/>
    <x v="74"/>
    <d v="2025-03-17T00:00:00"/>
    <s v="M"/>
    <x v="1"/>
    <x v="0"/>
    <x v="0"/>
    <x v="3"/>
    <x v="3"/>
    <x v="11"/>
    <x v="1"/>
  </r>
  <r>
    <s v="TX502046"/>
    <x v="10"/>
    <x v="2"/>
    <n v="48.2"/>
    <n v="144.60000000000002"/>
    <x v="74"/>
    <d v="2025-03-17T00:00:00"/>
    <s v="F"/>
    <x v="1"/>
    <x v="2"/>
    <x v="0"/>
    <x v="3"/>
    <x v="3"/>
    <x v="11"/>
    <x v="2"/>
  </r>
  <r>
    <s v="TX502047"/>
    <x v="15"/>
    <x v="0"/>
    <n v="51.6"/>
    <n v="51.6"/>
    <x v="74"/>
    <d v="2025-03-20T00:00:00"/>
    <s v="F"/>
    <x v="2"/>
    <x v="1"/>
    <x v="0"/>
    <x v="3"/>
    <x v="5"/>
    <x v="11"/>
    <x v="2"/>
  </r>
  <r>
    <s v="TX502048"/>
    <x v="0"/>
    <x v="12"/>
    <n v="33.700000000000003"/>
    <n v="134.80000000000001"/>
    <x v="75"/>
    <d v="2025-03-18T00:00:00"/>
    <s v="M"/>
    <x v="0"/>
    <x v="0"/>
    <x v="0"/>
    <x v="3"/>
    <x v="3"/>
    <x v="11"/>
    <x v="1"/>
  </r>
  <r>
    <s v="TX502049"/>
    <x v="4"/>
    <x v="7"/>
    <n v="36.299999999999997"/>
    <n v="363"/>
    <x v="75"/>
    <d v="2025-03-19T00:00:00"/>
    <s v="F"/>
    <x v="4"/>
    <x v="1"/>
    <x v="0"/>
    <x v="3"/>
    <x v="1"/>
    <x v="11"/>
    <x v="2"/>
  </r>
  <r>
    <s v="TX502050"/>
    <x v="8"/>
    <x v="0"/>
    <n v="23.4"/>
    <n v="23.4"/>
    <x v="75"/>
    <d v="2025-03-22T00:00:00"/>
    <s v="F"/>
    <x v="1"/>
    <x v="2"/>
    <x v="0"/>
    <x v="3"/>
    <x v="0"/>
    <x v="11"/>
    <x v="2"/>
  </r>
  <r>
    <s v="TX502051"/>
    <x v="15"/>
    <x v="8"/>
    <n v="56.6"/>
    <n v="452.8"/>
    <x v="75"/>
    <d v="2025-03-19T00:00:00"/>
    <s v="F"/>
    <x v="1"/>
    <x v="0"/>
    <x v="0"/>
    <x v="3"/>
    <x v="1"/>
    <x v="11"/>
    <x v="2"/>
  </r>
  <r>
    <s v="TX502052"/>
    <x v="15"/>
    <x v="1"/>
    <n v="26.8"/>
    <n v="53.6"/>
    <x v="75"/>
    <d v="2025-03-18T00:00:00"/>
    <s v="M"/>
    <x v="0"/>
    <x v="0"/>
    <x v="0"/>
    <x v="4"/>
    <x v="3"/>
    <x v="11"/>
    <x v="1"/>
  </r>
  <r>
    <s v="TX502053"/>
    <x v="0"/>
    <x v="2"/>
    <n v="11.3"/>
    <n v="33.900000000000006"/>
    <x v="75"/>
    <d v="2025-03-19T00:00:00"/>
    <s v="M"/>
    <x v="2"/>
    <x v="0"/>
    <x v="0"/>
    <x v="25"/>
    <x v="1"/>
    <x v="11"/>
    <x v="1"/>
  </r>
  <r>
    <s v="TX502054"/>
    <x v="6"/>
    <x v="2"/>
    <n v="60.1"/>
    <n v="180.3"/>
    <x v="75"/>
    <d v="2025-03-20T00:00:00"/>
    <s v="F"/>
    <x v="0"/>
    <x v="0"/>
    <x v="0"/>
    <x v="7"/>
    <x v="2"/>
    <x v="11"/>
    <x v="2"/>
  </r>
  <r>
    <s v="TX502055"/>
    <x v="0"/>
    <x v="5"/>
    <n v="27.7"/>
    <n v="304.7"/>
    <x v="75"/>
    <d v="2025-03-22T00:00:00"/>
    <s v="F"/>
    <x v="0"/>
    <x v="0"/>
    <x v="0"/>
    <x v="8"/>
    <x v="0"/>
    <x v="11"/>
    <x v="2"/>
  </r>
  <r>
    <s v="TX502056"/>
    <x v="15"/>
    <x v="0"/>
    <n v="71.400000000000006"/>
    <n v="71.400000000000006"/>
    <x v="75"/>
    <d v="2025-03-20T00:00:00"/>
    <s v="M"/>
    <x v="0"/>
    <x v="2"/>
    <x v="0"/>
    <x v="8"/>
    <x v="2"/>
    <x v="11"/>
    <x v="1"/>
  </r>
  <r>
    <s v="TX502057"/>
    <x v="2"/>
    <x v="1"/>
    <n v="66.7"/>
    <n v="133.4"/>
    <x v="75"/>
    <d v="2025-03-18T00:00:00"/>
    <s v="F"/>
    <x v="0"/>
    <x v="2"/>
    <x v="0"/>
    <x v="8"/>
    <x v="3"/>
    <x v="11"/>
    <x v="2"/>
  </r>
  <r>
    <s v="TX502058"/>
    <x v="13"/>
    <x v="9"/>
    <n v="39.1"/>
    <n v="195.5"/>
    <x v="75"/>
    <d v="2025-03-18T00:00:00"/>
    <s v="F"/>
    <x v="0"/>
    <x v="0"/>
    <x v="0"/>
    <x v="8"/>
    <x v="3"/>
    <x v="11"/>
    <x v="2"/>
  </r>
  <r>
    <s v="TX502059"/>
    <x v="8"/>
    <x v="12"/>
    <n v="24.9"/>
    <n v="99.6"/>
    <x v="75"/>
    <d v="2025-03-22T00:00:00"/>
    <s v="M"/>
    <x v="1"/>
    <x v="2"/>
    <x v="0"/>
    <x v="8"/>
    <x v="0"/>
    <x v="11"/>
    <x v="1"/>
  </r>
  <r>
    <s v="TX502060"/>
    <x v="5"/>
    <x v="9"/>
    <n v="29.2"/>
    <n v="146"/>
    <x v="75"/>
    <d v="2025-03-18T00:00:00"/>
    <s v="M"/>
    <x v="0"/>
    <x v="2"/>
    <x v="0"/>
    <x v="17"/>
    <x v="3"/>
    <x v="11"/>
    <x v="1"/>
  </r>
  <r>
    <s v="TX502061"/>
    <x v="13"/>
    <x v="21"/>
    <n v="28.3"/>
    <n v="396.2"/>
    <x v="75"/>
    <d v="2025-03-19T00:00:00"/>
    <s v="F"/>
    <x v="1"/>
    <x v="0"/>
    <x v="0"/>
    <x v="11"/>
    <x v="1"/>
    <x v="11"/>
    <x v="2"/>
  </r>
  <r>
    <s v="TX502062"/>
    <x v="9"/>
    <x v="2"/>
    <n v="37.799999999999997"/>
    <n v="113.39999999999999"/>
    <x v="75"/>
    <d v="2025-03-18T00:00:00"/>
    <s v="F"/>
    <x v="0"/>
    <x v="1"/>
    <x v="0"/>
    <x v="11"/>
    <x v="3"/>
    <x v="11"/>
    <x v="2"/>
  </r>
  <r>
    <s v="TX502063"/>
    <x v="14"/>
    <x v="3"/>
    <n v="28.1"/>
    <n v="196.70000000000002"/>
    <x v="75"/>
    <d v="2025-03-23T00:00:00"/>
    <s v="F"/>
    <x v="2"/>
    <x v="0"/>
    <x v="0"/>
    <x v="11"/>
    <x v="4"/>
    <x v="11"/>
    <x v="2"/>
  </r>
  <r>
    <s v="TX502064"/>
    <x v="1"/>
    <x v="2"/>
    <n v="59.7"/>
    <n v="179.10000000000002"/>
    <x v="75"/>
    <d v="2025-03-19T00:00:00"/>
    <s v="F"/>
    <x v="2"/>
    <x v="0"/>
    <x v="0"/>
    <x v="11"/>
    <x v="1"/>
    <x v="11"/>
    <x v="2"/>
  </r>
  <r>
    <s v="TX502065"/>
    <x v="16"/>
    <x v="0"/>
    <n v="71.900000000000006"/>
    <n v="71.900000000000006"/>
    <x v="75"/>
    <d v="2025-03-18T00:00:00"/>
    <s v="M"/>
    <x v="1"/>
    <x v="1"/>
    <x v="0"/>
    <x v="11"/>
    <x v="3"/>
    <x v="11"/>
    <x v="1"/>
  </r>
  <r>
    <s v="TX502066"/>
    <x v="1"/>
    <x v="1"/>
    <n v="56.9"/>
    <n v="113.8"/>
    <x v="75"/>
    <d v="2025-03-18T00:00:00"/>
    <s v="M"/>
    <x v="2"/>
    <x v="0"/>
    <x v="0"/>
    <x v="13"/>
    <x v="3"/>
    <x v="11"/>
    <x v="1"/>
  </r>
  <r>
    <s v="TX502067"/>
    <x v="8"/>
    <x v="1"/>
    <n v="15.8"/>
    <n v="31.6"/>
    <x v="75"/>
    <d v="2025-03-20T00:00:00"/>
    <s v="F"/>
    <x v="2"/>
    <x v="1"/>
    <x v="0"/>
    <x v="1"/>
    <x v="2"/>
    <x v="11"/>
    <x v="2"/>
  </r>
  <r>
    <s v="TX502068"/>
    <x v="11"/>
    <x v="12"/>
    <n v="61.7"/>
    <n v="246.8"/>
    <x v="75"/>
    <d v="2025-03-19T00:00:00"/>
    <s v="F"/>
    <x v="2"/>
    <x v="0"/>
    <x v="0"/>
    <x v="22"/>
    <x v="1"/>
    <x v="11"/>
    <x v="2"/>
  </r>
  <r>
    <s v="TX502069"/>
    <x v="2"/>
    <x v="7"/>
    <n v="105.2"/>
    <n v="1052"/>
    <x v="75"/>
    <d v="2025-03-19T00:00:00"/>
    <s v="M"/>
    <x v="1"/>
    <x v="4"/>
    <x v="0"/>
    <x v="3"/>
    <x v="1"/>
    <x v="11"/>
    <x v="1"/>
  </r>
  <r>
    <s v="TX502070"/>
    <x v="0"/>
    <x v="1"/>
    <n v="17"/>
    <n v="34"/>
    <x v="75"/>
    <d v="2025-03-19T00:00:00"/>
    <s v="F"/>
    <x v="2"/>
    <x v="0"/>
    <x v="0"/>
    <x v="3"/>
    <x v="1"/>
    <x v="11"/>
    <x v="2"/>
  </r>
  <r>
    <s v="TX502071"/>
    <x v="6"/>
    <x v="2"/>
    <n v="84.1"/>
    <n v="252.29999999999998"/>
    <x v="75"/>
    <d v="2025-03-18T00:00:00"/>
    <s v="M"/>
    <x v="2"/>
    <x v="0"/>
    <x v="0"/>
    <x v="3"/>
    <x v="3"/>
    <x v="11"/>
    <x v="1"/>
  </r>
  <r>
    <s v="TX502072"/>
    <x v="3"/>
    <x v="12"/>
    <n v="59.5"/>
    <n v="238"/>
    <x v="75"/>
    <d v="2025-03-22T00:00:00"/>
    <s v="M"/>
    <x v="0"/>
    <x v="2"/>
    <x v="0"/>
    <x v="3"/>
    <x v="0"/>
    <x v="11"/>
    <x v="1"/>
  </r>
  <r>
    <s v="TX502073"/>
    <x v="8"/>
    <x v="1"/>
    <n v="57.5"/>
    <n v="115"/>
    <x v="75"/>
    <d v="2025-03-19T00:00:00"/>
    <s v="M"/>
    <x v="1"/>
    <x v="2"/>
    <x v="0"/>
    <x v="3"/>
    <x v="1"/>
    <x v="11"/>
    <x v="1"/>
  </r>
  <r>
    <s v="TX502074"/>
    <x v="8"/>
    <x v="0"/>
    <n v="34.299999999999997"/>
    <n v="34.299999999999997"/>
    <x v="75"/>
    <d v="2025-03-18T00:00:00"/>
    <s v="F"/>
    <x v="4"/>
    <x v="2"/>
    <x v="0"/>
    <x v="3"/>
    <x v="3"/>
    <x v="11"/>
    <x v="2"/>
  </r>
  <r>
    <s v="TX502075"/>
    <x v="5"/>
    <x v="1"/>
    <n v="27.8"/>
    <n v="55.6"/>
    <x v="76"/>
    <d v="2025-03-20T00:00:00"/>
    <s v="F"/>
    <x v="0"/>
    <x v="0"/>
    <x v="0"/>
    <x v="3"/>
    <x v="1"/>
    <x v="11"/>
    <x v="2"/>
  </r>
  <r>
    <s v="TX502076"/>
    <x v="12"/>
    <x v="1"/>
    <n v="85"/>
    <n v="170"/>
    <x v="76"/>
    <d v="2025-03-18T00:00:00"/>
    <s v="M"/>
    <x v="2"/>
    <x v="2"/>
    <x v="0"/>
    <x v="3"/>
    <x v="7"/>
    <x v="11"/>
    <x v="1"/>
  </r>
  <r>
    <s v="TX502077"/>
    <x v="6"/>
    <x v="1"/>
    <n v="95"/>
    <n v="190"/>
    <x v="76"/>
    <d v="2025-03-20T00:00:00"/>
    <s v="F"/>
    <x v="0"/>
    <x v="0"/>
    <x v="0"/>
    <x v="3"/>
    <x v="1"/>
    <x v="11"/>
    <x v="2"/>
  </r>
  <r>
    <s v="TX502078"/>
    <x v="16"/>
    <x v="1"/>
    <n v="32"/>
    <n v="64"/>
    <x v="76"/>
    <d v="2025-03-20T00:00:00"/>
    <s v="M"/>
    <x v="0"/>
    <x v="1"/>
    <x v="0"/>
    <x v="3"/>
    <x v="1"/>
    <x v="11"/>
    <x v="1"/>
  </r>
  <r>
    <s v="TX502079"/>
    <x v="2"/>
    <x v="1"/>
    <n v="65.2"/>
    <n v="130.4"/>
    <x v="76"/>
    <d v="2025-03-19T00:00:00"/>
    <s v="F"/>
    <x v="1"/>
    <x v="0"/>
    <x v="0"/>
    <x v="3"/>
    <x v="3"/>
    <x v="11"/>
    <x v="2"/>
  </r>
  <r>
    <s v="TX502080"/>
    <x v="17"/>
    <x v="12"/>
    <n v="22"/>
    <n v="88"/>
    <x v="76"/>
    <d v="2025-03-19T00:00:00"/>
    <s v="M"/>
    <x v="1"/>
    <x v="2"/>
    <x v="0"/>
    <x v="3"/>
    <x v="3"/>
    <x v="11"/>
    <x v="1"/>
  </r>
  <r>
    <s v="TX502081"/>
    <x v="15"/>
    <x v="2"/>
    <n v="69.400000000000006"/>
    <n v="208.20000000000002"/>
    <x v="76"/>
    <d v="2025-03-21T00:00:00"/>
    <s v="M"/>
    <x v="1"/>
    <x v="2"/>
    <x v="0"/>
    <x v="3"/>
    <x v="2"/>
    <x v="11"/>
    <x v="1"/>
  </r>
  <r>
    <s v="TX502082"/>
    <x v="10"/>
    <x v="13"/>
    <n v="31.5"/>
    <n v="189"/>
    <x v="76"/>
    <d v="2025-03-20T00:00:00"/>
    <s v="F"/>
    <x v="0"/>
    <x v="2"/>
    <x v="0"/>
    <x v="3"/>
    <x v="1"/>
    <x v="11"/>
    <x v="2"/>
  </r>
  <r>
    <s v="TX502083"/>
    <x v="6"/>
    <x v="0"/>
    <n v="45.8"/>
    <n v="45.8"/>
    <x v="76"/>
    <d v="2025-03-22T00:00:00"/>
    <s v="O"/>
    <x v="0"/>
    <x v="0"/>
    <x v="0"/>
    <x v="3"/>
    <x v="5"/>
    <x v="11"/>
    <x v="3"/>
  </r>
  <r>
    <s v="TX502084"/>
    <x v="19"/>
    <x v="12"/>
    <n v="12.8"/>
    <n v="51.2"/>
    <x v="76"/>
    <d v="2025-03-25T00:00:00"/>
    <s v="F"/>
    <x v="1"/>
    <x v="1"/>
    <x v="0"/>
    <x v="5"/>
    <x v="6"/>
    <x v="11"/>
    <x v="2"/>
  </r>
  <r>
    <s v="TX502085"/>
    <x v="5"/>
    <x v="2"/>
    <n v="115.3"/>
    <n v="345.9"/>
    <x v="76"/>
    <d v="2025-03-19T00:00:00"/>
    <s v="F"/>
    <x v="2"/>
    <x v="2"/>
    <x v="0"/>
    <x v="6"/>
    <x v="3"/>
    <x v="11"/>
    <x v="2"/>
  </r>
  <r>
    <s v="TX502086"/>
    <x v="5"/>
    <x v="1"/>
    <n v="85"/>
    <n v="170"/>
    <x v="76"/>
    <d v="2025-03-20T00:00:00"/>
    <s v="F"/>
    <x v="1"/>
    <x v="0"/>
    <x v="0"/>
    <x v="7"/>
    <x v="1"/>
    <x v="11"/>
    <x v="2"/>
  </r>
  <r>
    <s v="TX502087"/>
    <x v="8"/>
    <x v="2"/>
    <n v="56.6"/>
    <n v="169.8"/>
    <x v="76"/>
    <d v="2025-03-19T00:00:00"/>
    <s v="F"/>
    <x v="1"/>
    <x v="2"/>
    <x v="0"/>
    <x v="7"/>
    <x v="3"/>
    <x v="11"/>
    <x v="2"/>
  </r>
  <r>
    <s v="TX502088"/>
    <x v="15"/>
    <x v="6"/>
    <n v="46.3"/>
    <n v="1250.0999999999999"/>
    <x v="76"/>
    <d v="2025-03-21T00:00:00"/>
    <s v="M"/>
    <x v="0"/>
    <x v="0"/>
    <x v="0"/>
    <x v="7"/>
    <x v="2"/>
    <x v="11"/>
    <x v="1"/>
  </r>
  <r>
    <s v="TX502089"/>
    <x v="14"/>
    <x v="12"/>
    <n v="23"/>
    <n v="92"/>
    <x v="76"/>
    <d v="2025-03-22T00:00:00"/>
    <s v="M"/>
    <x v="3"/>
    <x v="2"/>
    <x v="0"/>
    <x v="7"/>
    <x v="5"/>
    <x v="11"/>
    <x v="1"/>
  </r>
  <r>
    <s v="TX502090"/>
    <x v="8"/>
    <x v="13"/>
    <n v="42.1"/>
    <n v="252.60000000000002"/>
    <x v="76"/>
    <d v="2025-03-20T00:00:00"/>
    <s v="M"/>
    <x v="4"/>
    <x v="0"/>
    <x v="0"/>
    <x v="8"/>
    <x v="1"/>
    <x v="11"/>
    <x v="1"/>
  </r>
  <r>
    <s v="TX502091"/>
    <x v="5"/>
    <x v="3"/>
    <n v="57.4"/>
    <n v="401.8"/>
    <x v="76"/>
    <d v="2025-03-22T00:00:00"/>
    <s v="F"/>
    <x v="1"/>
    <x v="4"/>
    <x v="0"/>
    <x v="8"/>
    <x v="5"/>
    <x v="11"/>
    <x v="2"/>
  </r>
  <r>
    <s v="TX502092"/>
    <x v="0"/>
    <x v="13"/>
    <n v="13.2"/>
    <n v="79.199999999999989"/>
    <x v="76"/>
    <d v="2025-03-22T00:00:00"/>
    <s v="M"/>
    <x v="2"/>
    <x v="0"/>
    <x v="0"/>
    <x v="8"/>
    <x v="5"/>
    <x v="11"/>
    <x v="1"/>
  </r>
  <r>
    <s v="TX502093"/>
    <x v="6"/>
    <x v="2"/>
    <n v="52.3"/>
    <n v="156.89999999999998"/>
    <x v="76"/>
    <d v="2025-03-19T00:00:00"/>
    <s v="M"/>
    <x v="1"/>
    <x v="0"/>
    <x v="0"/>
    <x v="8"/>
    <x v="3"/>
    <x v="11"/>
    <x v="1"/>
  </r>
  <r>
    <s v="TX502094"/>
    <x v="8"/>
    <x v="1"/>
    <n v="15.7"/>
    <n v="31.4"/>
    <x v="76"/>
    <d v="2025-03-21T00:00:00"/>
    <s v="M"/>
    <x v="1"/>
    <x v="2"/>
    <x v="0"/>
    <x v="8"/>
    <x v="2"/>
    <x v="11"/>
    <x v="1"/>
  </r>
  <r>
    <s v="TX502095"/>
    <x v="7"/>
    <x v="2"/>
    <n v="35"/>
    <n v="105"/>
    <x v="76"/>
    <d v="2025-03-21T00:00:00"/>
    <s v="F"/>
    <x v="1"/>
    <x v="2"/>
    <x v="0"/>
    <x v="9"/>
    <x v="2"/>
    <x v="11"/>
    <x v="2"/>
  </r>
  <r>
    <s v="TX502096"/>
    <x v="4"/>
    <x v="2"/>
    <n v="26.6"/>
    <n v="79.800000000000011"/>
    <x v="76"/>
    <d v="2025-03-18T00:00:00"/>
    <s v="M"/>
    <x v="1"/>
    <x v="2"/>
    <x v="0"/>
    <x v="11"/>
    <x v="7"/>
    <x v="11"/>
    <x v="1"/>
  </r>
  <r>
    <s v="TX502097"/>
    <x v="4"/>
    <x v="8"/>
    <n v="47.9"/>
    <n v="383.2"/>
    <x v="77"/>
    <d v="2025-03-20T00:00:00"/>
    <s v="F"/>
    <x v="3"/>
    <x v="2"/>
    <x v="0"/>
    <x v="20"/>
    <x v="3"/>
    <x v="11"/>
    <x v="2"/>
  </r>
  <r>
    <s v="TX502098"/>
    <x v="5"/>
    <x v="0"/>
    <n v="80.099999999999994"/>
    <n v="80.099999999999994"/>
    <x v="77"/>
    <d v="2025-03-20T00:00:00"/>
    <s v="M"/>
    <x v="2"/>
    <x v="0"/>
    <x v="0"/>
    <x v="21"/>
    <x v="3"/>
    <x v="11"/>
    <x v="1"/>
  </r>
  <r>
    <s v="TX502099"/>
    <x v="6"/>
    <x v="9"/>
    <n v="50.4"/>
    <n v="252"/>
    <x v="77"/>
    <d v="2025-03-20T00:00:00"/>
    <s v="M"/>
    <x v="1"/>
    <x v="2"/>
    <x v="0"/>
    <x v="21"/>
    <x v="3"/>
    <x v="11"/>
    <x v="1"/>
  </r>
  <r>
    <s v="TX502100"/>
    <x v="10"/>
    <x v="3"/>
    <n v="43.3"/>
    <n v="303.09999999999997"/>
    <x v="77"/>
    <d v="2025-03-20T00:00:00"/>
    <s v="M"/>
    <x v="2"/>
    <x v="0"/>
    <x v="0"/>
    <x v="21"/>
    <x v="3"/>
    <x v="11"/>
    <x v="1"/>
  </r>
  <r>
    <s v="TX502101"/>
    <x v="10"/>
    <x v="12"/>
    <n v="57.5"/>
    <n v="230"/>
    <x v="77"/>
    <d v="2025-03-20T00:00:00"/>
    <s v="F"/>
    <x v="1"/>
    <x v="2"/>
    <x v="0"/>
    <x v="1"/>
    <x v="3"/>
    <x v="11"/>
    <x v="2"/>
  </r>
  <r>
    <s v="TX502102"/>
    <x v="9"/>
    <x v="15"/>
    <n v="24.8"/>
    <n v="322.40000000000003"/>
    <x v="77"/>
    <d v="2025-03-20T00:00:00"/>
    <s v="M"/>
    <x v="0"/>
    <x v="0"/>
    <x v="0"/>
    <x v="57"/>
    <x v="3"/>
    <x v="11"/>
    <x v="1"/>
  </r>
  <r>
    <s v="TX502103"/>
    <x v="2"/>
    <x v="11"/>
    <n v="85.7"/>
    <n v="771.30000000000007"/>
    <x v="77"/>
    <d v="2025-03-20T00:00:00"/>
    <s v="F"/>
    <x v="0"/>
    <x v="0"/>
    <x v="0"/>
    <x v="42"/>
    <x v="3"/>
    <x v="11"/>
    <x v="2"/>
  </r>
  <r>
    <s v="TX502104"/>
    <x v="7"/>
    <x v="0"/>
    <n v="47.1"/>
    <n v="47.1"/>
    <x v="77"/>
    <d v="2025-03-21T00:00:00"/>
    <s v="F"/>
    <x v="0"/>
    <x v="0"/>
    <x v="0"/>
    <x v="2"/>
    <x v="1"/>
    <x v="11"/>
    <x v="2"/>
  </r>
  <r>
    <s v="TX502105"/>
    <x v="5"/>
    <x v="7"/>
    <n v="83.2"/>
    <n v="832"/>
    <x v="77"/>
    <d v="2025-03-23T00:00:00"/>
    <s v="F"/>
    <x v="0"/>
    <x v="0"/>
    <x v="0"/>
    <x v="33"/>
    <x v="5"/>
    <x v="11"/>
    <x v="2"/>
  </r>
  <r>
    <s v="TX502106"/>
    <x v="2"/>
    <x v="2"/>
    <n v="157"/>
    <n v="471"/>
    <x v="77"/>
    <d v="2025-03-21T00:00:00"/>
    <s v="F"/>
    <x v="0"/>
    <x v="2"/>
    <x v="0"/>
    <x v="22"/>
    <x v="1"/>
    <x v="11"/>
    <x v="2"/>
  </r>
  <r>
    <s v="TX502107"/>
    <x v="16"/>
    <x v="12"/>
    <n v="33.700000000000003"/>
    <n v="134.80000000000001"/>
    <x v="77"/>
    <d v="2025-03-20T00:00:00"/>
    <s v="M"/>
    <x v="2"/>
    <x v="2"/>
    <x v="0"/>
    <x v="22"/>
    <x v="3"/>
    <x v="11"/>
    <x v="1"/>
  </r>
  <r>
    <s v="TX502108"/>
    <x v="2"/>
    <x v="2"/>
    <n v="60.8"/>
    <n v="182.39999999999998"/>
    <x v="77"/>
    <d v="2025-03-23T00:00:00"/>
    <s v="F"/>
    <x v="1"/>
    <x v="1"/>
    <x v="0"/>
    <x v="3"/>
    <x v="5"/>
    <x v="11"/>
    <x v="2"/>
  </r>
  <r>
    <s v="TX502109"/>
    <x v="7"/>
    <x v="0"/>
    <n v="57.6"/>
    <n v="57.6"/>
    <x v="77"/>
    <d v="2025-03-20T00:00:00"/>
    <s v="M"/>
    <x v="1"/>
    <x v="4"/>
    <x v="0"/>
    <x v="3"/>
    <x v="3"/>
    <x v="11"/>
    <x v="1"/>
  </r>
  <r>
    <s v="TX502110"/>
    <x v="10"/>
    <x v="0"/>
    <n v="32"/>
    <n v="32"/>
    <x v="77"/>
    <d v="2025-03-21T00:00:00"/>
    <s v="M"/>
    <x v="0"/>
    <x v="0"/>
    <x v="0"/>
    <x v="3"/>
    <x v="1"/>
    <x v="11"/>
    <x v="1"/>
  </r>
  <r>
    <s v="TX502111"/>
    <x v="10"/>
    <x v="12"/>
    <n v="23.5"/>
    <n v="94"/>
    <x v="77"/>
    <d v="2025-03-20T00:00:00"/>
    <s v="F"/>
    <x v="0"/>
    <x v="2"/>
    <x v="0"/>
    <x v="3"/>
    <x v="3"/>
    <x v="11"/>
    <x v="2"/>
  </r>
  <r>
    <s v="TX502112"/>
    <x v="12"/>
    <x v="2"/>
    <n v="44.8"/>
    <n v="134.39999999999998"/>
    <x v="77"/>
    <d v="2025-03-20T00:00:00"/>
    <s v="O"/>
    <x v="4"/>
    <x v="0"/>
    <x v="0"/>
    <x v="3"/>
    <x v="3"/>
    <x v="11"/>
    <x v="3"/>
  </r>
  <r>
    <s v="TX502113"/>
    <x v="0"/>
    <x v="8"/>
    <n v="11.7"/>
    <n v="93.6"/>
    <x v="77"/>
    <d v="2025-03-20T00:00:00"/>
    <s v="M"/>
    <x v="2"/>
    <x v="2"/>
    <x v="0"/>
    <x v="3"/>
    <x v="3"/>
    <x v="11"/>
    <x v="1"/>
  </r>
  <r>
    <s v="TX502114"/>
    <x v="7"/>
    <x v="1"/>
    <n v="38.799999999999997"/>
    <n v="77.599999999999994"/>
    <x v="77"/>
    <d v="2025-03-22T00:00:00"/>
    <s v="F"/>
    <x v="2"/>
    <x v="0"/>
    <x v="0"/>
    <x v="3"/>
    <x v="2"/>
    <x v="11"/>
    <x v="2"/>
  </r>
  <r>
    <s v="TX502115"/>
    <x v="5"/>
    <x v="21"/>
    <n v="86.9"/>
    <n v="1216.6000000000001"/>
    <x v="77"/>
    <d v="2025-03-24T00:00:00"/>
    <s v="F"/>
    <x v="1"/>
    <x v="0"/>
    <x v="0"/>
    <x v="3"/>
    <x v="0"/>
    <x v="11"/>
    <x v="2"/>
  </r>
  <r>
    <s v="TX502116"/>
    <x v="8"/>
    <x v="0"/>
    <n v="18.3"/>
    <n v="18.3"/>
    <x v="77"/>
    <d v="2025-03-20T00:00:00"/>
    <s v="F"/>
    <x v="0"/>
    <x v="0"/>
    <x v="0"/>
    <x v="3"/>
    <x v="3"/>
    <x v="11"/>
    <x v="2"/>
  </r>
  <r>
    <s v="TX502117"/>
    <x v="5"/>
    <x v="0"/>
    <n v="47.5"/>
    <n v="47.5"/>
    <x v="77"/>
    <d v="2025-03-23T00:00:00"/>
    <s v="M"/>
    <x v="4"/>
    <x v="2"/>
    <x v="0"/>
    <x v="3"/>
    <x v="5"/>
    <x v="11"/>
    <x v="1"/>
  </r>
  <r>
    <s v="TX502118"/>
    <x v="1"/>
    <x v="1"/>
    <n v="78.599999999999994"/>
    <n v="157.19999999999999"/>
    <x v="77"/>
    <d v="2025-03-20T00:00:00"/>
    <s v="M"/>
    <x v="2"/>
    <x v="2"/>
    <x v="0"/>
    <x v="3"/>
    <x v="3"/>
    <x v="11"/>
    <x v="1"/>
  </r>
  <r>
    <s v="TX502119"/>
    <x v="6"/>
    <x v="12"/>
    <n v="87.3"/>
    <n v="349.2"/>
    <x v="77"/>
    <d v="2025-03-20T00:00:00"/>
    <s v="M"/>
    <x v="0"/>
    <x v="0"/>
    <x v="0"/>
    <x v="3"/>
    <x v="3"/>
    <x v="11"/>
    <x v="1"/>
  </r>
  <r>
    <s v="TX502120"/>
    <x v="9"/>
    <x v="1"/>
    <n v="63.2"/>
    <n v="126.4"/>
    <x v="77"/>
    <d v="2025-03-19T00:00:00"/>
    <s v="M"/>
    <x v="4"/>
    <x v="1"/>
    <x v="0"/>
    <x v="3"/>
    <x v="7"/>
    <x v="11"/>
    <x v="1"/>
  </r>
  <r>
    <s v="TX502121"/>
    <x v="5"/>
    <x v="9"/>
    <n v="33.700000000000003"/>
    <n v="168.5"/>
    <x v="77"/>
    <d v="2025-03-20T00:00:00"/>
    <s v="F"/>
    <x v="0"/>
    <x v="0"/>
    <x v="0"/>
    <x v="3"/>
    <x v="3"/>
    <x v="11"/>
    <x v="2"/>
  </r>
  <r>
    <s v="TX502122"/>
    <x v="2"/>
    <x v="2"/>
    <n v="107.4"/>
    <n v="322.20000000000005"/>
    <x v="77"/>
    <d v="2025-04-01T00:00:00"/>
    <s v="F"/>
    <x v="1"/>
    <x v="2"/>
    <x v="0"/>
    <x v="3"/>
    <x v="10"/>
    <x v="11"/>
    <x v="2"/>
  </r>
  <r>
    <s v="TX502123"/>
    <x v="4"/>
    <x v="12"/>
    <n v="22.2"/>
    <n v="88.8"/>
    <x v="77"/>
    <d v="2025-03-20T00:00:00"/>
    <m/>
    <x v="1"/>
    <x v="2"/>
    <x v="0"/>
    <x v="24"/>
    <x v="3"/>
    <x v="11"/>
    <x v="0"/>
  </r>
  <r>
    <s v="TX502124"/>
    <x v="18"/>
    <x v="2"/>
    <n v="52.8"/>
    <n v="158.39999999999998"/>
    <x v="77"/>
    <d v="2025-03-20T00:00:00"/>
    <s v="M"/>
    <x v="3"/>
    <x v="2"/>
    <x v="0"/>
    <x v="24"/>
    <x v="3"/>
    <x v="11"/>
    <x v="1"/>
  </r>
  <r>
    <s v="TX502125"/>
    <x v="8"/>
    <x v="2"/>
    <n v="41.5"/>
    <n v="124.5"/>
    <x v="77"/>
    <d v="2025-03-22T00:00:00"/>
    <s v="F"/>
    <x v="0"/>
    <x v="0"/>
    <x v="0"/>
    <x v="25"/>
    <x v="2"/>
    <x v="11"/>
    <x v="2"/>
  </r>
  <r>
    <s v="TX502126"/>
    <x v="12"/>
    <x v="8"/>
    <n v="103.5"/>
    <n v="828"/>
    <x v="77"/>
    <d v="2025-03-22T00:00:00"/>
    <s v="F"/>
    <x v="0"/>
    <x v="2"/>
    <x v="0"/>
    <x v="23"/>
    <x v="2"/>
    <x v="11"/>
    <x v="2"/>
  </r>
  <r>
    <s v="TX502127"/>
    <x v="4"/>
    <x v="21"/>
    <n v="37.5"/>
    <n v="525"/>
    <x v="77"/>
    <d v="2025-03-19T00:00:00"/>
    <s v="F"/>
    <x v="1"/>
    <x v="2"/>
    <x v="0"/>
    <x v="6"/>
    <x v="7"/>
    <x v="11"/>
    <x v="2"/>
  </r>
  <r>
    <s v="TX502128"/>
    <x v="15"/>
    <x v="8"/>
    <n v="44.4"/>
    <n v="355.2"/>
    <x v="77"/>
    <d v="2025-03-25T00:00:00"/>
    <s v="F"/>
    <x v="3"/>
    <x v="2"/>
    <x v="0"/>
    <x v="7"/>
    <x v="4"/>
    <x v="11"/>
    <x v="2"/>
  </r>
  <r>
    <s v="TX502129"/>
    <x v="8"/>
    <x v="2"/>
    <n v="26.2"/>
    <n v="78.599999999999994"/>
    <x v="77"/>
    <d v="2025-03-20T00:00:00"/>
    <s v="M"/>
    <x v="0"/>
    <x v="0"/>
    <x v="0"/>
    <x v="8"/>
    <x v="3"/>
    <x v="11"/>
    <x v="1"/>
  </r>
  <r>
    <s v="TX502130"/>
    <x v="1"/>
    <x v="3"/>
    <n v="32.200000000000003"/>
    <n v="225.40000000000003"/>
    <x v="77"/>
    <d v="2025-03-20T00:00:00"/>
    <s v="F"/>
    <x v="1"/>
    <x v="2"/>
    <x v="0"/>
    <x v="8"/>
    <x v="3"/>
    <x v="11"/>
    <x v="2"/>
  </r>
  <r>
    <s v="TX502131"/>
    <x v="8"/>
    <x v="0"/>
    <n v="17.399999999999999"/>
    <n v="17.399999999999999"/>
    <x v="77"/>
    <d v="2025-03-23T00:00:00"/>
    <m/>
    <x v="2"/>
    <x v="1"/>
    <x v="0"/>
    <x v="8"/>
    <x v="5"/>
    <x v="11"/>
    <x v="0"/>
  </r>
  <r>
    <s v="TX502132"/>
    <x v="8"/>
    <x v="13"/>
    <n v="72.3"/>
    <n v="433.79999999999995"/>
    <x v="77"/>
    <d v="2025-03-22T00:00:00"/>
    <s v="F"/>
    <x v="0"/>
    <x v="0"/>
    <x v="0"/>
    <x v="8"/>
    <x v="2"/>
    <x v="11"/>
    <x v="2"/>
  </r>
  <r>
    <s v="TX502133"/>
    <x v="8"/>
    <x v="5"/>
    <n v="24.3"/>
    <n v="267.3"/>
    <x v="77"/>
    <d v="2025-03-20T00:00:00"/>
    <s v="M"/>
    <x v="0"/>
    <x v="0"/>
    <x v="0"/>
    <x v="8"/>
    <x v="3"/>
    <x v="11"/>
    <x v="1"/>
  </r>
  <r>
    <s v="TX502134"/>
    <x v="13"/>
    <x v="2"/>
    <n v="49.1"/>
    <n v="147.30000000000001"/>
    <x v="77"/>
    <d v="2025-03-25T00:00:00"/>
    <s v="M"/>
    <x v="2"/>
    <x v="4"/>
    <x v="0"/>
    <x v="8"/>
    <x v="4"/>
    <x v="11"/>
    <x v="1"/>
  </r>
  <r>
    <s v="TX502135"/>
    <x v="2"/>
    <x v="7"/>
    <n v="234.7"/>
    <n v="2347"/>
    <x v="77"/>
    <d v="2025-03-20T00:00:00"/>
    <s v="M"/>
    <x v="3"/>
    <x v="1"/>
    <x v="0"/>
    <x v="8"/>
    <x v="3"/>
    <x v="11"/>
    <x v="1"/>
  </r>
  <r>
    <s v="TX502136"/>
    <x v="3"/>
    <x v="9"/>
    <n v="76.099999999999994"/>
    <n v="380.5"/>
    <x v="77"/>
    <d v="2025-03-21T00:00:00"/>
    <s v="M"/>
    <x v="1"/>
    <x v="1"/>
    <x v="0"/>
    <x v="17"/>
    <x v="1"/>
    <x v="11"/>
    <x v="1"/>
  </r>
  <r>
    <s v="TX502137"/>
    <x v="1"/>
    <x v="2"/>
    <n v="93.9"/>
    <n v="281.70000000000005"/>
    <x v="77"/>
    <d v="2025-03-20T00:00:00"/>
    <s v="M"/>
    <x v="1"/>
    <x v="4"/>
    <x v="0"/>
    <x v="11"/>
    <x v="3"/>
    <x v="11"/>
    <x v="1"/>
  </r>
  <r>
    <s v="TX502138"/>
    <x v="2"/>
    <x v="12"/>
    <n v="187"/>
    <n v="748"/>
    <x v="78"/>
    <d v="2025-03-23T00:00:00"/>
    <s v="M"/>
    <x v="0"/>
    <x v="0"/>
    <x v="0"/>
    <x v="11"/>
    <x v="2"/>
    <x v="11"/>
    <x v="1"/>
  </r>
  <r>
    <s v="TX502139"/>
    <x v="8"/>
    <x v="1"/>
    <n v="18"/>
    <n v="36"/>
    <x v="78"/>
    <d v="2025-03-21T00:00:00"/>
    <s v="F"/>
    <x v="1"/>
    <x v="2"/>
    <x v="0"/>
    <x v="53"/>
    <x v="3"/>
    <x v="11"/>
    <x v="2"/>
  </r>
  <r>
    <s v="TX502140"/>
    <x v="4"/>
    <x v="0"/>
    <n v="24.4"/>
    <n v="24.4"/>
    <x v="78"/>
    <d v="2025-03-21T00:00:00"/>
    <s v="F"/>
    <x v="4"/>
    <x v="2"/>
    <x v="0"/>
    <x v="21"/>
    <x v="3"/>
    <x v="11"/>
    <x v="2"/>
  </r>
  <r>
    <s v="TX502141"/>
    <x v="10"/>
    <x v="1"/>
    <n v="38.799999999999997"/>
    <n v="77.599999999999994"/>
    <x v="78"/>
    <d v="2025-03-21T00:00:00"/>
    <s v="M"/>
    <x v="4"/>
    <x v="1"/>
    <x v="0"/>
    <x v="3"/>
    <x v="3"/>
    <x v="11"/>
    <x v="1"/>
  </r>
  <r>
    <s v="TX502142"/>
    <x v="3"/>
    <x v="0"/>
    <n v="59.7"/>
    <n v="59.7"/>
    <x v="78"/>
    <d v="2025-03-23T00:00:00"/>
    <s v="M"/>
    <x v="3"/>
    <x v="0"/>
    <x v="0"/>
    <x v="3"/>
    <x v="2"/>
    <x v="11"/>
    <x v="1"/>
  </r>
  <r>
    <s v="TX502143"/>
    <x v="7"/>
    <x v="0"/>
    <n v="31.2"/>
    <n v="31.2"/>
    <x v="78"/>
    <d v="2025-03-21T00:00:00"/>
    <s v="M"/>
    <x v="1"/>
    <x v="2"/>
    <x v="0"/>
    <x v="3"/>
    <x v="3"/>
    <x v="11"/>
    <x v="1"/>
  </r>
  <r>
    <s v="TX502144"/>
    <x v="0"/>
    <x v="0"/>
    <n v="16.8"/>
    <n v="16.8"/>
    <x v="78"/>
    <d v="2025-03-21T00:00:00"/>
    <s v="F"/>
    <x v="2"/>
    <x v="1"/>
    <x v="0"/>
    <x v="3"/>
    <x v="3"/>
    <x v="11"/>
    <x v="2"/>
  </r>
  <r>
    <s v="TX502145"/>
    <x v="8"/>
    <x v="0"/>
    <n v="46"/>
    <n v="46"/>
    <x v="78"/>
    <d v="2025-03-21T00:00:00"/>
    <s v="M"/>
    <x v="0"/>
    <x v="0"/>
    <x v="0"/>
    <x v="3"/>
    <x v="3"/>
    <x v="11"/>
    <x v="1"/>
  </r>
  <r>
    <s v="TX502146"/>
    <x v="9"/>
    <x v="8"/>
    <n v="42.2"/>
    <n v="337.6"/>
    <x v="78"/>
    <d v="2025-03-23T00:00:00"/>
    <s v="F"/>
    <x v="3"/>
    <x v="2"/>
    <x v="0"/>
    <x v="3"/>
    <x v="2"/>
    <x v="11"/>
    <x v="2"/>
  </r>
  <r>
    <s v="TX502147"/>
    <x v="1"/>
    <x v="2"/>
    <n v="71.5"/>
    <n v="214.5"/>
    <x v="78"/>
    <d v="2025-04-03T00:00:00"/>
    <s v="F"/>
    <x v="0"/>
    <x v="0"/>
    <x v="0"/>
    <x v="3"/>
    <x v="12"/>
    <x v="11"/>
    <x v="2"/>
  </r>
  <r>
    <s v="TX502148"/>
    <x v="1"/>
    <x v="1"/>
    <n v="76.599999999999994"/>
    <n v="153.19999999999999"/>
    <x v="78"/>
    <d v="2025-03-20T00:00:00"/>
    <s v="M"/>
    <x v="0"/>
    <x v="2"/>
    <x v="0"/>
    <x v="3"/>
    <x v="7"/>
    <x v="11"/>
    <x v="1"/>
  </r>
  <r>
    <s v="TX502149"/>
    <x v="12"/>
    <x v="1"/>
    <n v="87.3"/>
    <n v="174.6"/>
    <x v="78"/>
    <d v="2025-03-28T00:00:00"/>
    <s v="F"/>
    <x v="3"/>
    <x v="2"/>
    <x v="0"/>
    <x v="3"/>
    <x v="9"/>
    <x v="11"/>
    <x v="2"/>
  </r>
  <r>
    <s v="TX502150"/>
    <x v="1"/>
    <x v="0"/>
    <n v="63"/>
    <n v="63"/>
    <x v="78"/>
    <d v="2025-03-23T00:00:00"/>
    <s v="M"/>
    <x v="3"/>
    <x v="0"/>
    <x v="0"/>
    <x v="3"/>
    <x v="2"/>
    <x v="11"/>
    <x v="1"/>
  </r>
  <r>
    <s v="TX502151"/>
    <x v="8"/>
    <x v="1"/>
    <n v="41.7"/>
    <n v="83.4"/>
    <x v="78"/>
    <d v="2025-03-21T00:00:00"/>
    <s v="F"/>
    <x v="4"/>
    <x v="1"/>
    <x v="0"/>
    <x v="43"/>
    <x v="3"/>
    <x v="11"/>
    <x v="2"/>
  </r>
  <r>
    <s v="TX502152"/>
    <x v="6"/>
    <x v="1"/>
    <n v="76.099999999999994"/>
    <n v="152.19999999999999"/>
    <x v="78"/>
    <d v="2025-03-20T00:00:00"/>
    <s v="F"/>
    <x v="4"/>
    <x v="2"/>
    <x v="0"/>
    <x v="16"/>
    <x v="7"/>
    <x v="11"/>
    <x v="2"/>
  </r>
  <r>
    <s v="TX502153"/>
    <x v="13"/>
    <x v="1"/>
    <n v="28.5"/>
    <n v="57"/>
    <x v="78"/>
    <d v="2025-03-21T00:00:00"/>
    <s v="F"/>
    <x v="0"/>
    <x v="2"/>
    <x v="0"/>
    <x v="4"/>
    <x v="3"/>
    <x v="11"/>
    <x v="2"/>
  </r>
  <r>
    <s v="TX502154"/>
    <x v="0"/>
    <x v="12"/>
    <n v="32.1"/>
    <n v="128.4"/>
    <x v="78"/>
    <d v="2025-03-21T00:00:00"/>
    <s v="F"/>
    <x v="1"/>
    <x v="2"/>
    <x v="0"/>
    <x v="25"/>
    <x v="3"/>
    <x v="11"/>
    <x v="2"/>
  </r>
  <r>
    <s v="TX502155"/>
    <x v="4"/>
    <x v="2"/>
    <n v="39"/>
    <n v="117"/>
    <x v="78"/>
    <d v="2025-03-23T00:00:00"/>
    <s v="M"/>
    <x v="1"/>
    <x v="2"/>
    <x v="0"/>
    <x v="25"/>
    <x v="2"/>
    <x v="11"/>
    <x v="1"/>
  </r>
  <r>
    <s v="TX502156"/>
    <x v="6"/>
    <x v="0"/>
    <n v="78.5"/>
    <n v="78.5"/>
    <x v="78"/>
    <d v="2025-03-21T00:00:00"/>
    <s v="M"/>
    <x v="1"/>
    <x v="0"/>
    <x v="0"/>
    <x v="6"/>
    <x v="3"/>
    <x v="11"/>
    <x v="1"/>
  </r>
  <r>
    <s v="TX502157"/>
    <x v="4"/>
    <x v="9"/>
    <n v="49.7"/>
    <n v="248.5"/>
    <x v="78"/>
    <d v="2025-03-22T00:00:00"/>
    <s v="F"/>
    <x v="0"/>
    <x v="0"/>
    <x v="0"/>
    <x v="6"/>
    <x v="1"/>
    <x v="11"/>
    <x v="2"/>
  </r>
  <r>
    <s v="TX502158"/>
    <x v="1"/>
    <x v="12"/>
    <n v="68.400000000000006"/>
    <n v="273.60000000000002"/>
    <x v="78"/>
    <d v="2025-03-21T00:00:00"/>
    <s v="F"/>
    <x v="2"/>
    <x v="2"/>
    <x v="0"/>
    <x v="7"/>
    <x v="3"/>
    <x v="11"/>
    <x v="2"/>
  </r>
  <r>
    <s v="TX502159"/>
    <x v="3"/>
    <x v="1"/>
    <n v="72.900000000000006"/>
    <n v="145.80000000000001"/>
    <x v="78"/>
    <d v="2025-03-23T00:00:00"/>
    <m/>
    <x v="0"/>
    <x v="2"/>
    <x v="0"/>
    <x v="7"/>
    <x v="2"/>
    <x v="11"/>
    <x v="0"/>
  </r>
  <r>
    <s v="TX502160"/>
    <x v="5"/>
    <x v="15"/>
    <n v="30.3"/>
    <n v="393.90000000000003"/>
    <x v="78"/>
    <d v="2025-03-21T00:00:00"/>
    <s v="M"/>
    <x v="4"/>
    <x v="0"/>
    <x v="0"/>
    <x v="7"/>
    <x v="3"/>
    <x v="11"/>
    <x v="1"/>
  </r>
  <r>
    <s v="TX502161"/>
    <x v="6"/>
    <x v="5"/>
    <n v="57.9"/>
    <n v="636.9"/>
    <x v="78"/>
    <d v="2025-03-21T00:00:00"/>
    <s v="F"/>
    <x v="0"/>
    <x v="0"/>
    <x v="0"/>
    <x v="8"/>
    <x v="3"/>
    <x v="11"/>
    <x v="2"/>
  </r>
  <r>
    <s v="TX502162"/>
    <x v="1"/>
    <x v="0"/>
    <n v="96.7"/>
    <n v="96.7"/>
    <x v="78"/>
    <d v="2025-03-21T00:00:00"/>
    <s v="M"/>
    <x v="0"/>
    <x v="0"/>
    <x v="0"/>
    <x v="8"/>
    <x v="3"/>
    <x v="11"/>
    <x v="1"/>
  </r>
  <r>
    <s v="TX502163"/>
    <x v="8"/>
    <x v="4"/>
    <n v="27.6"/>
    <n v="331.20000000000005"/>
    <x v="78"/>
    <d v="2025-03-22T00:00:00"/>
    <s v="M"/>
    <x v="2"/>
    <x v="2"/>
    <x v="0"/>
    <x v="8"/>
    <x v="1"/>
    <x v="11"/>
    <x v="1"/>
  </r>
  <r>
    <s v="TX502164"/>
    <x v="6"/>
    <x v="12"/>
    <n v="64.7"/>
    <n v="258.8"/>
    <x v="78"/>
    <d v="2025-03-20T00:00:00"/>
    <s v="M"/>
    <x v="3"/>
    <x v="2"/>
    <x v="0"/>
    <x v="8"/>
    <x v="7"/>
    <x v="11"/>
    <x v="1"/>
  </r>
  <r>
    <s v="TX502165"/>
    <x v="10"/>
    <x v="13"/>
    <n v="30.5"/>
    <n v="183"/>
    <x v="78"/>
    <d v="2025-03-21T00:00:00"/>
    <s v="M"/>
    <x v="4"/>
    <x v="0"/>
    <x v="0"/>
    <x v="8"/>
    <x v="3"/>
    <x v="11"/>
    <x v="1"/>
  </r>
  <r>
    <s v="TX502166"/>
    <x v="6"/>
    <x v="47"/>
    <n v="106"/>
    <n v="7420"/>
    <x v="79"/>
    <d v="2025-03-23T00:00:00"/>
    <s v="M"/>
    <x v="4"/>
    <x v="2"/>
    <x v="0"/>
    <x v="8"/>
    <x v="1"/>
    <x v="11"/>
    <x v="1"/>
  </r>
  <r>
    <s v="TX502167"/>
    <x v="12"/>
    <x v="9"/>
    <n v="76.8"/>
    <n v="384"/>
    <x v="79"/>
    <d v="2025-03-27T00:00:00"/>
    <m/>
    <x v="1"/>
    <x v="1"/>
    <x v="0"/>
    <x v="18"/>
    <x v="4"/>
    <x v="11"/>
    <x v="0"/>
  </r>
  <r>
    <s v="TX502168"/>
    <x v="6"/>
    <x v="1"/>
    <n v="80.400000000000006"/>
    <n v="160.80000000000001"/>
    <x v="79"/>
    <d v="2025-03-22T00:00:00"/>
    <s v="F"/>
    <x v="2"/>
    <x v="0"/>
    <x v="0"/>
    <x v="13"/>
    <x v="3"/>
    <x v="11"/>
    <x v="2"/>
  </r>
  <r>
    <s v="TX502169"/>
    <x v="6"/>
    <x v="12"/>
    <n v="69.099999999999994"/>
    <n v="276.39999999999998"/>
    <x v="79"/>
    <d v="2025-03-22T00:00:00"/>
    <s v="M"/>
    <x v="1"/>
    <x v="2"/>
    <x v="0"/>
    <x v="21"/>
    <x v="3"/>
    <x v="11"/>
    <x v="1"/>
  </r>
  <r>
    <s v="TX502170"/>
    <x v="18"/>
    <x v="1"/>
    <n v="76.400000000000006"/>
    <n v="152.80000000000001"/>
    <x v="79"/>
    <d v="2025-03-21T00:00:00"/>
    <s v="M"/>
    <x v="3"/>
    <x v="0"/>
    <x v="0"/>
    <x v="21"/>
    <x v="7"/>
    <x v="11"/>
    <x v="1"/>
  </r>
  <r>
    <s v="TX502171"/>
    <x v="2"/>
    <x v="1"/>
    <n v="61.3"/>
    <n v="122.6"/>
    <x v="79"/>
    <d v="2025-03-22T00:00:00"/>
    <s v="F"/>
    <x v="1"/>
    <x v="1"/>
    <x v="0"/>
    <x v="21"/>
    <x v="3"/>
    <x v="11"/>
    <x v="2"/>
  </r>
  <r>
    <s v="TX502172"/>
    <x v="7"/>
    <x v="0"/>
    <n v="58"/>
    <n v="58"/>
    <x v="79"/>
    <d v="2025-03-22T00:00:00"/>
    <s v="M"/>
    <x v="3"/>
    <x v="1"/>
    <x v="0"/>
    <x v="1"/>
    <x v="3"/>
    <x v="11"/>
    <x v="1"/>
  </r>
  <r>
    <s v="TX502173"/>
    <x v="2"/>
    <x v="8"/>
    <n v="102.3"/>
    <n v="818.4"/>
    <x v="79"/>
    <d v="2025-03-23T00:00:00"/>
    <s v="M"/>
    <x v="2"/>
    <x v="0"/>
    <x v="0"/>
    <x v="42"/>
    <x v="1"/>
    <x v="11"/>
    <x v="1"/>
  </r>
  <r>
    <s v="TX502174"/>
    <x v="19"/>
    <x v="1"/>
    <n v="13.8"/>
    <n v="27.6"/>
    <x v="79"/>
    <d v="2025-03-22T00:00:00"/>
    <s v="F"/>
    <x v="4"/>
    <x v="2"/>
    <x v="0"/>
    <x v="2"/>
    <x v="3"/>
    <x v="11"/>
    <x v="2"/>
  </r>
  <r>
    <s v="TX502175"/>
    <x v="8"/>
    <x v="2"/>
    <n v="33.299999999999997"/>
    <n v="99.899999999999991"/>
    <x v="79"/>
    <d v="2025-03-24T00:00:00"/>
    <s v="F"/>
    <x v="2"/>
    <x v="0"/>
    <x v="0"/>
    <x v="22"/>
    <x v="2"/>
    <x v="11"/>
    <x v="2"/>
  </r>
  <r>
    <s v="TX502176"/>
    <x v="10"/>
    <x v="0"/>
    <n v="27.4"/>
    <n v="27.4"/>
    <x v="79"/>
    <d v="2025-03-24T00:00:00"/>
    <s v="M"/>
    <x v="0"/>
    <x v="2"/>
    <x v="0"/>
    <x v="22"/>
    <x v="2"/>
    <x v="11"/>
    <x v="1"/>
  </r>
  <r>
    <s v="TX502177"/>
    <x v="14"/>
    <x v="1"/>
    <n v="25.6"/>
    <n v="51.2"/>
    <x v="79"/>
    <d v="2025-03-22T00:00:00"/>
    <s v="F"/>
    <x v="1"/>
    <x v="1"/>
    <x v="0"/>
    <x v="3"/>
    <x v="3"/>
    <x v="11"/>
    <x v="2"/>
  </r>
  <r>
    <s v="TX502178"/>
    <x v="13"/>
    <x v="0"/>
    <n v="58.4"/>
    <n v="58.4"/>
    <x v="79"/>
    <d v="2025-03-22T00:00:00"/>
    <s v="F"/>
    <x v="2"/>
    <x v="2"/>
    <x v="0"/>
    <x v="3"/>
    <x v="3"/>
    <x v="11"/>
    <x v="2"/>
  </r>
  <r>
    <s v="TX502179"/>
    <x v="11"/>
    <x v="17"/>
    <n v="27"/>
    <n v="810"/>
    <x v="79"/>
    <d v="2025-03-22T00:00:00"/>
    <s v="F"/>
    <x v="4"/>
    <x v="0"/>
    <x v="0"/>
    <x v="3"/>
    <x v="3"/>
    <x v="11"/>
    <x v="2"/>
  </r>
  <r>
    <s v="TX502180"/>
    <x v="0"/>
    <x v="12"/>
    <n v="14.2"/>
    <n v="56.8"/>
    <x v="79"/>
    <d v="2025-03-22T00:00:00"/>
    <s v="M"/>
    <x v="0"/>
    <x v="2"/>
    <x v="0"/>
    <x v="3"/>
    <x v="3"/>
    <x v="11"/>
    <x v="1"/>
  </r>
  <r>
    <s v="TX502181"/>
    <x v="7"/>
    <x v="1"/>
    <n v="68"/>
    <n v="136"/>
    <x v="79"/>
    <d v="2025-03-31T00:00:00"/>
    <s v="M"/>
    <x v="2"/>
    <x v="1"/>
    <x v="0"/>
    <x v="3"/>
    <x v="14"/>
    <x v="11"/>
    <x v="1"/>
  </r>
  <r>
    <s v="TX502182"/>
    <x v="8"/>
    <x v="0"/>
    <n v="30.7"/>
    <n v="30.7"/>
    <x v="79"/>
    <d v="2025-03-22T00:00:00"/>
    <s v="M"/>
    <x v="0"/>
    <x v="0"/>
    <x v="0"/>
    <x v="3"/>
    <x v="3"/>
    <x v="11"/>
    <x v="1"/>
  </r>
  <r>
    <s v="TX502183"/>
    <x v="17"/>
    <x v="15"/>
    <n v="51.6"/>
    <n v="670.80000000000007"/>
    <x v="79"/>
    <d v="2025-03-24T00:00:00"/>
    <s v="O"/>
    <x v="1"/>
    <x v="2"/>
    <x v="0"/>
    <x v="3"/>
    <x v="2"/>
    <x v="11"/>
    <x v="3"/>
  </r>
  <r>
    <s v="TX502184"/>
    <x v="8"/>
    <x v="2"/>
    <n v="20.6"/>
    <n v="61.800000000000004"/>
    <x v="79"/>
    <d v="2025-03-25T00:00:00"/>
    <s v="F"/>
    <x v="4"/>
    <x v="2"/>
    <x v="0"/>
    <x v="3"/>
    <x v="5"/>
    <x v="11"/>
    <x v="2"/>
  </r>
  <r>
    <s v="TX502185"/>
    <x v="8"/>
    <x v="0"/>
    <n v="24.8"/>
    <n v="24.8"/>
    <x v="79"/>
    <d v="2025-03-22T00:00:00"/>
    <s v="M"/>
    <x v="4"/>
    <x v="0"/>
    <x v="0"/>
    <x v="3"/>
    <x v="3"/>
    <x v="11"/>
    <x v="1"/>
  </r>
  <r>
    <s v="TX502186"/>
    <x v="0"/>
    <x v="3"/>
    <n v="11.2"/>
    <n v="78.399999999999991"/>
    <x v="79"/>
    <d v="2025-03-24T00:00:00"/>
    <s v="M"/>
    <x v="1"/>
    <x v="0"/>
    <x v="0"/>
    <x v="3"/>
    <x v="2"/>
    <x v="11"/>
    <x v="1"/>
  </r>
  <r>
    <s v="TX502187"/>
    <x v="11"/>
    <x v="1"/>
    <n v="51.2"/>
    <n v="102.4"/>
    <x v="79"/>
    <d v="2025-03-22T00:00:00"/>
    <s v="F"/>
    <x v="1"/>
    <x v="2"/>
    <x v="0"/>
    <x v="3"/>
    <x v="3"/>
    <x v="11"/>
    <x v="2"/>
  </r>
  <r>
    <s v="TX502188"/>
    <x v="7"/>
    <x v="13"/>
    <n v="90.5"/>
    <n v="543"/>
    <x v="79"/>
    <d v="2025-03-22T00:00:00"/>
    <s v="F"/>
    <x v="1"/>
    <x v="4"/>
    <x v="0"/>
    <x v="3"/>
    <x v="3"/>
    <x v="11"/>
    <x v="2"/>
  </r>
  <r>
    <s v="TX502189"/>
    <x v="1"/>
    <x v="1"/>
    <n v="42.4"/>
    <n v="84.8"/>
    <x v="79"/>
    <d v="2025-03-22T00:00:00"/>
    <s v="M"/>
    <x v="1"/>
    <x v="2"/>
    <x v="0"/>
    <x v="4"/>
    <x v="3"/>
    <x v="11"/>
    <x v="1"/>
  </r>
  <r>
    <s v="TX502190"/>
    <x v="1"/>
    <x v="1"/>
    <n v="38.200000000000003"/>
    <n v="76.400000000000006"/>
    <x v="79"/>
    <d v="2025-03-22T00:00:00"/>
    <s v="M"/>
    <x v="0"/>
    <x v="0"/>
    <x v="0"/>
    <x v="5"/>
    <x v="3"/>
    <x v="11"/>
    <x v="1"/>
  </r>
  <r>
    <s v="TX502191"/>
    <x v="2"/>
    <x v="11"/>
    <n v="121.3"/>
    <n v="1091.7"/>
    <x v="79"/>
    <d v="2025-03-26T00:00:00"/>
    <s v="M"/>
    <x v="0"/>
    <x v="0"/>
    <x v="0"/>
    <x v="6"/>
    <x v="0"/>
    <x v="11"/>
    <x v="1"/>
  </r>
  <r>
    <s v="TX502192"/>
    <x v="6"/>
    <x v="1"/>
    <n v="46.9"/>
    <n v="93.8"/>
    <x v="79"/>
    <d v="2025-03-28T00:00:00"/>
    <s v="M"/>
    <x v="0"/>
    <x v="0"/>
    <x v="0"/>
    <x v="8"/>
    <x v="6"/>
    <x v="11"/>
    <x v="1"/>
  </r>
  <r>
    <s v="TX502193"/>
    <x v="10"/>
    <x v="0"/>
    <n v="55.3"/>
    <n v="55.3"/>
    <x v="79"/>
    <d v="2025-03-23T00:00:00"/>
    <s v="M"/>
    <x v="0"/>
    <x v="0"/>
    <x v="0"/>
    <x v="8"/>
    <x v="1"/>
    <x v="11"/>
    <x v="1"/>
  </r>
  <r>
    <s v="TX502194"/>
    <x v="2"/>
    <x v="2"/>
    <n v="70.599999999999994"/>
    <n v="211.79999999999998"/>
    <x v="80"/>
    <d v="2025-03-22T00:00:00"/>
    <s v="F"/>
    <x v="0"/>
    <x v="1"/>
    <x v="0"/>
    <x v="8"/>
    <x v="7"/>
    <x v="11"/>
    <x v="2"/>
  </r>
  <r>
    <s v="TX502195"/>
    <x v="14"/>
    <x v="12"/>
    <n v="26.1"/>
    <n v="104.4"/>
    <x v="80"/>
    <d v="2025-03-24T00:00:00"/>
    <s v="M"/>
    <x v="0"/>
    <x v="0"/>
    <x v="0"/>
    <x v="8"/>
    <x v="1"/>
    <x v="11"/>
    <x v="1"/>
  </r>
  <r>
    <s v="TX502196"/>
    <x v="9"/>
    <x v="5"/>
    <n v="34.5"/>
    <n v="379.5"/>
    <x v="80"/>
    <d v="2025-03-26T00:00:00"/>
    <s v="M"/>
    <x v="2"/>
    <x v="0"/>
    <x v="0"/>
    <x v="17"/>
    <x v="5"/>
    <x v="11"/>
    <x v="1"/>
  </r>
  <r>
    <s v="TX502197"/>
    <x v="1"/>
    <x v="1"/>
    <n v="64.2"/>
    <n v="128.4"/>
    <x v="80"/>
    <d v="2025-03-23T00:00:00"/>
    <s v="F"/>
    <x v="0"/>
    <x v="1"/>
    <x v="0"/>
    <x v="17"/>
    <x v="3"/>
    <x v="11"/>
    <x v="2"/>
  </r>
  <r>
    <s v="TX502198"/>
    <x v="2"/>
    <x v="12"/>
    <n v="145.69999999999999"/>
    <n v="582.79999999999995"/>
    <x v="80"/>
    <d v="2025-03-23T00:00:00"/>
    <s v="F"/>
    <x v="0"/>
    <x v="4"/>
    <x v="0"/>
    <x v="17"/>
    <x v="3"/>
    <x v="11"/>
    <x v="2"/>
  </r>
  <r>
    <s v="TX502199"/>
    <x v="12"/>
    <x v="1"/>
    <n v="78.5"/>
    <n v="157"/>
    <x v="80"/>
    <d v="2025-03-23T00:00:00"/>
    <s v="M"/>
    <x v="2"/>
    <x v="0"/>
    <x v="0"/>
    <x v="26"/>
    <x v="3"/>
    <x v="11"/>
    <x v="1"/>
  </r>
  <r>
    <s v="TX502200"/>
    <x v="1"/>
    <x v="0"/>
    <n v="34.200000000000003"/>
    <n v="34.200000000000003"/>
    <x v="80"/>
    <d v="2025-03-24T00:00:00"/>
    <s v="M"/>
    <x v="0"/>
    <x v="0"/>
    <x v="0"/>
    <x v="9"/>
    <x v="1"/>
    <x v="11"/>
    <x v="1"/>
  </r>
  <r>
    <s v="TX502201"/>
    <x v="19"/>
    <x v="0"/>
    <n v="26.2"/>
    <n v="26.2"/>
    <x v="80"/>
    <d v="2025-03-23T00:00:00"/>
    <s v="M"/>
    <x v="2"/>
    <x v="0"/>
    <x v="0"/>
    <x v="9"/>
    <x v="3"/>
    <x v="11"/>
    <x v="1"/>
  </r>
  <r>
    <s v="TX502202"/>
    <x v="6"/>
    <x v="12"/>
    <n v="53.2"/>
    <n v="212.8"/>
    <x v="80"/>
    <d v="2025-03-23T00:00:00"/>
    <s v="M"/>
    <x v="1"/>
    <x v="1"/>
    <x v="0"/>
    <x v="11"/>
    <x v="3"/>
    <x v="11"/>
    <x v="1"/>
  </r>
  <r>
    <s v="TX502203"/>
    <x v="1"/>
    <x v="0"/>
    <n v="35.4"/>
    <n v="35.4"/>
    <x v="80"/>
    <d v="2025-03-26T00:00:00"/>
    <s v="M"/>
    <x v="1"/>
    <x v="4"/>
    <x v="0"/>
    <x v="18"/>
    <x v="5"/>
    <x v="11"/>
    <x v="1"/>
  </r>
  <r>
    <s v="TX502204"/>
    <x v="14"/>
    <x v="1"/>
    <n v="21.3"/>
    <n v="42.6"/>
    <x v="80"/>
    <d v="2025-03-23T00:00:00"/>
    <s v="M"/>
    <x v="2"/>
    <x v="0"/>
    <x v="0"/>
    <x v="20"/>
    <x v="3"/>
    <x v="11"/>
    <x v="1"/>
  </r>
  <r>
    <s v="TX502205"/>
    <x v="8"/>
    <x v="12"/>
    <n v="32.9"/>
    <n v="131.6"/>
    <x v="80"/>
    <d v="2025-03-25T00:00:00"/>
    <s v="F"/>
    <x v="4"/>
    <x v="2"/>
    <x v="0"/>
    <x v="21"/>
    <x v="2"/>
    <x v="11"/>
    <x v="2"/>
  </r>
  <r>
    <s v="TX502206"/>
    <x v="5"/>
    <x v="20"/>
    <n v="85.5"/>
    <n v="1282.5"/>
    <x v="80"/>
    <d v="2025-03-24T00:00:00"/>
    <s v="F"/>
    <x v="3"/>
    <x v="1"/>
    <x v="0"/>
    <x v="21"/>
    <x v="1"/>
    <x v="11"/>
    <x v="2"/>
  </r>
  <r>
    <s v="TX502207"/>
    <x v="4"/>
    <x v="0"/>
    <n v="26.8"/>
    <n v="26.8"/>
    <x v="80"/>
    <d v="2025-03-23T00:00:00"/>
    <s v="F"/>
    <x v="0"/>
    <x v="1"/>
    <x v="0"/>
    <x v="2"/>
    <x v="3"/>
    <x v="11"/>
    <x v="2"/>
  </r>
  <r>
    <s v="TX502208"/>
    <x v="9"/>
    <x v="18"/>
    <n v="31.7"/>
    <n v="824.19999999999993"/>
    <x v="80"/>
    <d v="2025-03-22T00:00:00"/>
    <s v="F"/>
    <x v="3"/>
    <x v="0"/>
    <x v="0"/>
    <x v="2"/>
    <x v="7"/>
    <x v="11"/>
    <x v="2"/>
  </r>
  <r>
    <s v="TX502209"/>
    <x v="1"/>
    <x v="1"/>
    <n v="78.3"/>
    <n v="156.6"/>
    <x v="80"/>
    <d v="2025-03-24T00:00:00"/>
    <s v="F"/>
    <x v="1"/>
    <x v="1"/>
    <x v="0"/>
    <x v="3"/>
    <x v="1"/>
    <x v="11"/>
    <x v="2"/>
  </r>
  <r>
    <s v="TX502210"/>
    <x v="6"/>
    <x v="0"/>
    <n v="43.9"/>
    <n v="43.9"/>
    <x v="80"/>
    <d v="2025-03-23T00:00:00"/>
    <s v="M"/>
    <x v="0"/>
    <x v="0"/>
    <x v="0"/>
    <x v="3"/>
    <x v="3"/>
    <x v="11"/>
    <x v="1"/>
  </r>
  <r>
    <s v="TX502211"/>
    <x v="18"/>
    <x v="2"/>
    <n v="84"/>
    <n v="252"/>
    <x v="80"/>
    <d v="2025-03-24T00:00:00"/>
    <m/>
    <x v="3"/>
    <x v="2"/>
    <x v="0"/>
    <x v="3"/>
    <x v="1"/>
    <x v="11"/>
    <x v="0"/>
  </r>
  <r>
    <s v="TX502212"/>
    <x v="0"/>
    <x v="2"/>
    <n v="11.4"/>
    <n v="34.200000000000003"/>
    <x v="80"/>
    <d v="2025-03-23T00:00:00"/>
    <s v="M"/>
    <x v="4"/>
    <x v="0"/>
    <x v="0"/>
    <x v="3"/>
    <x v="3"/>
    <x v="11"/>
    <x v="1"/>
  </r>
  <r>
    <s v="TX502213"/>
    <x v="12"/>
    <x v="8"/>
    <n v="47.5"/>
    <n v="380"/>
    <x v="80"/>
    <d v="2025-03-30T00:00:00"/>
    <s v="F"/>
    <x v="0"/>
    <x v="0"/>
    <x v="0"/>
    <x v="3"/>
    <x v="9"/>
    <x v="11"/>
    <x v="2"/>
  </r>
  <r>
    <s v="TX502214"/>
    <x v="9"/>
    <x v="5"/>
    <n v="50.5"/>
    <n v="555.5"/>
    <x v="80"/>
    <d v="2025-03-24T00:00:00"/>
    <s v="M"/>
    <x v="2"/>
    <x v="0"/>
    <x v="0"/>
    <x v="3"/>
    <x v="1"/>
    <x v="11"/>
    <x v="1"/>
  </r>
  <r>
    <s v="TX502215"/>
    <x v="15"/>
    <x v="0"/>
    <n v="36.299999999999997"/>
    <n v="36.299999999999997"/>
    <x v="80"/>
    <d v="2025-03-25T00:00:00"/>
    <s v="O"/>
    <x v="0"/>
    <x v="1"/>
    <x v="0"/>
    <x v="8"/>
    <x v="2"/>
    <x v="11"/>
    <x v="3"/>
  </r>
  <r>
    <s v="TX502216"/>
    <x v="8"/>
    <x v="1"/>
    <n v="35.4"/>
    <n v="70.8"/>
    <x v="80"/>
    <d v="2025-03-23T00:00:00"/>
    <s v="F"/>
    <x v="0"/>
    <x v="0"/>
    <x v="0"/>
    <x v="17"/>
    <x v="3"/>
    <x v="11"/>
    <x v="2"/>
  </r>
  <r>
    <s v="TX502217"/>
    <x v="1"/>
    <x v="2"/>
    <n v="45.9"/>
    <n v="137.69999999999999"/>
    <x v="81"/>
    <d v="2025-03-24T00:00:00"/>
    <s v="M"/>
    <x v="3"/>
    <x v="0"/>
    <x v="0"/>
    <x v="9"/>
    <x v="3"/>
    <x v="12"/>
    <x v="1"/>
  </r>
  <r>
    <s v="TX502218"/>
    <x v="6"/>
    <x v="7"/>
    <n v="41.2"/>
    <n v="412"/>
    <x v="81"/>
    <d v="2025-03-27T00:00:00"/>
    <s v="M"/>
    <x v="0"/>
    <x v="0"/>
    <x v="0"/>
    <x v="11"/>
    <x v="5"/>
    <x v="12"/>
    <x v="1"/>
  </r>
  <r>
    <s v="TX502219"/>
    <x v="17"/>
    <x v="1"/>
    <n v="45.1"/>
    <n v="90.2"/>
    <x v="81"/>
    <d v="2025-03-24T00:00:00"/>
    <s v="M"/>
    <x v="1"/>
    <x v="1"/>
    <x v="0"/>
    <x v="21"/>
    <x v="3"/>
    <x v="12"/>
    <x v="1"/>
  </r>
  <r>
    <s v="TX502220"/>
    <x v="6"/>
    <x v="7"/>
    <n v="63.6"/>
    <n v="636"/>
    <x v="81"/>
    <d v="2025-03-23T00:00:00"/>
    <s v="M"/>
    <x v="2"/>
    <x v="0"/>
    <x v="0"/>
    <x v="1"/>
    <x v="7"/>
    <x v="12"/>
    <x v="1"/>
  </r>
  <r>
    <s v="TX502221"/>
    <x v="8"/>
    <x v="0"/>
    <n v="70.5"/>
    <n v="70.5"/>
    <x v="81"/>
    <d v="2025-03-24T00:00:00"/>
    <s v="M"/>
    <x v="0"/>
    <x v="0"/>
    <x v="0"/>
    <x v="3"/>
    <x v="3"/>
    <x v="12"/>
    <x v="1"/>
  </r>
  <r>
    <s v="TX502222"/>
    <x v="6"/>
    <x v="0"/>
    <n v="41.3"/>
    <n v="41.3"/>
    <x v="81"/>
    <d v="2025-03-23T00:00:00"/>
    <s v="M"/>
    <x v="4"/>
    <x v="0"/>
    <x v="0"/>
    <x v="3"/>
    <x v="7"/>
    <x v="12"/>
    <x v="1"/>
  </r>
  <r>
    <s v="TX502223"/>
    <x v="4"/>
    <x v="0"/>
    <n v="35.299999999999997"/>
    <n v="35.299999999999997"/>
    <x v="81"/>
    <d v="2025-03-26T00:00:00"/>
    <s v="F"/>
    <x v="4"/>
    <x v="2"/>
    <x v="0"/>
    <x v="3"/>
    <x v="2"/>
    <x v="12"/>
    <x v="2"/>
  </r>
  <r>
    <s v="TX502224"/>
    <x v="8"/>
    <x v="9"/>
    <n v="34.700000000000003"/>
    <n v="173.5"/>
    <x v="81"/>
    <d v="2025-03-24T00:00:00"/>
    <s v="F"/>
    <x v="0"/>
    <x v="2"/>
    <x v="0"/>
    <x v="3"/>
    <x v="3"/>
    <x v="12"/>
    <x v="2"/>
  </r>
  <r>
    <s v="TX502225"/>
    <x v="8"/>
    <x v="2"/>
    <n v="26.1"/>
    <n v="78.300000000000011"/>
    <x v="81"/>
    <d v="2025-03-24T00:00:00"/>
    <s v="F"/>
    <x v="0"/>
    <x v="0"/>
    <x v="0"/>
    <x v="3"/>
    <x v="3"/>
    <x v="12"/>
    <x v="2"/>
  </r>
  <r>
    <s v="TX502226"/>
    <x v="9"/>
    <x v="9"/>
    <n v="22.6"/>
    <n v="113"/>
    <x v="81"/>
    <d v="2025-03-23T00:00:00"/>
    <s v="F"/>
    <x v="1"/>
    <x v="2"/>
    <x v="0"/>
    <x v="3"/>
    <x v="7"/>
    <x v="12"/>
    <x v="2"/>
  </r>
  <r>
    <s v="TX502227"/>
    <x v="2"/>
    <x v="1"/>
    <n v="154.4"/>
    <n v="308.8"/>
    <x v="81"/>
    <d v="2025-03-26T00:00:00"/>
    <s v="M"/>
    <x v="1"/>
    <x v="1"/>
    <x v="0"/>
    <x v="3"/>
    <x v="2"/>
    <x v="12"/>
    <x v="1"/>
  </r>
  <r>
    <s v="TX502228"/>
    <x v="8"/>
    <x v="1"/>
    <n v="18.399999999999999"/>
    <n v="36.799999999999997"/>
    <x v="81"/>
    <d v="2025-03-24T00:00:00"/>
    <s v="M"/>
    <x v="0"/>
    <x v="0"/>
    <x v="0"/>
    <x v="3"/>
    <x v="3"/>
    <x v="12"/>
    <x v="1"/>
  </r>
  <r>
    <s v="TX502229"/>
    <x v="14"/>
    <x v="0"/>
    <n v="25"/>
    <n v="25"/>
    <x v="81"/>
    <d v="2025-03-26T00:00:00"/>
    <s v="F"/>
    <x v="0"/>
    <x v="0"/>
    <x v="0"/>
    <x v="3"/>
    <x v="2"/>
    <x v="12"/>
    <x v="2"/>
  </r>
  <r>
    <s v="TX502230"/>
    <x v="2"/>
    <x v="13"/>
    <n v="105.6"/>
    <n v="633.59999999999991"/>
    <x v="81"/>
    <d v="2025-03-23T00:00:00"/>
    <s v="F"/>
    <x v="0"/>
    <x v="0"/>
    <x v="0"/>
    <x v="3"/>
    <x v="7"/>
    <x v="12"/>
    <x v="2"/>
  </r>
  <r>
    <s v="TX502231"/>
    <x v="18"/>
    <x v="8"/>
    <n v="59.6"/>
    <n v="476.8"/>
    <x v="81"/>
    <d v="2025-03-23T00:00:00"/>
    <s v="F"/>
    <x v="0"/>
    <x v="2"/>
    <x v="0"/>
    <x v="23"/>
    <x v="7"/>
    <x v="12"/>
    <x v="2"/>
  </r>
  <r>
    <s v="TX502232"/>
    <x v="15"/>
    <x v="2"/>
    <n v="75.400000000000006"/>
    <n v="226.20000000000002"/>
    <x v="81"/>
    <d v="2025-03-28T00:00:00"/>
    <s v="M"/>
    <x v="0"/>
    <x v="1"/>
    <x v="0"/>
    <x v="7"/>
    <x v="0"/>
    <x v="12"/>
    <x v="1"/>
  </r>
  <r>
    <s v="TX502233"/>
    <x v="7"/>
    <x v="0"/>
    <n v="104.4"/>
    <n v="104.4"/>
    <x v="81"/>
    <d v="2025-03-24T00:00:00"/>
    <s v="F"/>
    <x v="0"/>
    <x v="0"/>
    <x v="0"/>
    <x v="8"/>
    <x v="3"/>
    <x v="12"/>
    <x v="2"/>
  </r>
  <r>
    <s v="TX502234"/>
    <x v="2"/>
    <x v="7"/>
    <n v="208.2"/>
    <n v="2082"/>
    <x v="81"/>
    <d v="2025-03-24T00:00:00"/>
    <s v="M"/>
    <x v="0"/>
    <x v="2"/>
    <x v="0"/>
    <x v="8"/>
    <x v="3"/>
    <x v="12"/>
    <x v="1"/>
  </r>
  <r>
    <s v="TX502235"/>
    <x v="6"/>
    <x v="1"/>
    <n v="45"/>
    <n v="90"/>
    <x v="81"/>
    <d v="2025-03-26T00:00:00"/>
    <s v="F"/>
    <x v="0"/>
    <x v="0"/>
    <x v="0"/>
    <x v="10"/>
    <x v="2"/>
    <x v="12"/>
    <x v="2"/>
  </r>
  <r>
    <s v="TX502236"/>
    <x v="15"/>
    <x v="1"/>
    <n v="20.3"/>
    <n v="40.6"/>
    <x v="82"/>
    <d v="2025-03-26T00:00:00"/>
    <m/>
    <x v="1"/>
    <x v="0"/>
    <x v="0"/>
    <x v="11"/>
    <x v="1"/>
    <x v="12"/>
    <x v="0"/>
  </r>
  <r>
    <s v="TX502237"/>
    <x v="2"/>
    <x v="2"/>
    <n v="94.4"/>
    <n v="283.20000000000005"/>
    <x v="82"/>
    <d v="2025-03-25T00:00:00"/>
    <s v="F"/>
    <x v="0"/>
    <x v="2"/>
    <x v="0"/>
    <x v="11"/>
    <x v="3"/>
    <x v="12"/>
    <x v="2"/>
  </r>
  <r>
    <s v="TX502238"/>
    <x v="9"/>
    <x v="0"/>
    <n v="49"/>
    <n v="49"/>
    <x v="82"/>
    <d v="2025-03-26T00:00:00"/>
    <s v="F"/>
    <x v="0"/>
    <x v="2"/>
    <x v="0"/>
    <x v="20"/>
    <x v="1"/>
    <x v="12"/>
    <x v="2"/>
  </r>
  <r>
    <s v="TX502239"/>
    <x v="4"/>
    <x v="1"/>
    <n v="27.2"/>
    <n v="54.4"/>
    <x v="82"/>
    <d v="2025-03-26T00:00:00"/>
    <s v="M"/>
    <x v="0"/>
    <x v="2"/>
    <x v="0"/>
    <x v="1"/>
    <x v="1"/>
    <x v="12"/>
    <x v="1"/>
  </r>
  <r>
    <s v="TX502240"/>
    <x v="2"/>
    <x v="13"/>
    <n v="72.599999999999994"/>
    <n v="435.59999999999997"/>
    <x v="82"/>
    <d v="2025-03-25T00:00:00"/>
    <s v="F"/>
    <x v="0"/>
    <x v="2"/>
    <x v="0"/>
    <x v="2"/>
    <x v="3"/>
    <x v="12"/>
    <x v="2"/>
  </r>
  <r>
    <s v="TX502241"/>
    <x v="15"/>
    <x v="12"/>
    <n v="62.4"/>
    <n v="249.6"/>
    <x v="82"/>
    <d v="2025-03-25T00:00:00"/>
    <s v="F"/>
    <x v="0"/>
    <x v="0"/>
    <x v="0"/>
    <x v="3"/>
    <x v="3"/>
    <x v="12"/>
    <x v="2"/>
  </r>
  <r>
    <s v="TX502242"/>
    <x v="8"/>
    <x v="2"/>
    <n v="19.100000000000001"/>
    <n v="57.300000000000004"/>
    <x v="82"/>
    <d v="2025-03-26T00:00:00"/>
    <s v="M"/>
    <x v="0"/>
    <x v="1"/>
    <x v="0"/>
    <x v="3"/>
    <x v="1"/>
    <x v="12"/>
    <x v="1"/>
  </r>
  <r>
    <s v="TX502243"/>
    <x v="10"/>
    <x v="0"/>
    <n v="29.6"/>
    <n v="29.6"/>
    <x v="82"/>
    <d v="2025-03-28T00:00:00"/>
    <s v="M"/>
    <x v="0"/>
    <x v="4"/>
    <x v="0"/>
    <x v="3"/>
    <x v="5"/>
    <x v="12"/>
    <x v="1"/>
  </r>
  <r>
    <s v="TX502244"/>
    <x v="8"/>
    <x v="1"/>
    <n v="18.899999999999999"/>
    <n v="37.799999999999997"/>
    <x v="82"/>
    <d v="2025-03-26T00:00:00"/>
    <s v="F"/>
    <x v="4"/>
    <x v="2"/>
    <x v="0"/>
    <x v="3"/>
    <x v="1"/>
    <x v="12"/>
    <x v="2"/>
  </r>
  <r>
    <s v="TX502245"/>
    <x v="10"/>
    <x v="9"/>
    <n v="41.4"/>
    <n v="207"/>
    <x v="82"/>
    <d v="2025-03-25T00:00:00"/>
    <s v="M"/>
    <x v="3"/>
    <x v="0"/>
    <x v="0"/>
    <x v="3"/>
    <x v="3"/>
    <x v="12"/>
    <x v="1"/>
  </r>
  <r>
    <s v="TX502246"/>
    <x v="2"/>
    <x v="0"/>
    <n v="118.4"/>
    <n v="118.4"/>
    <x v="82"/>
    <d v="2025-03-25T00:00:00"/>
    <s v="F"/>
    <x v="0"/>
    <x v="2"/>
    <x v="0"/>
    <x v="3"/>
    <x v="3"/>
    <x v="12"/>
    <x v="2"/>
  </r>
  <r>
    <s v="TX502247"/>
    <x v="2"/>
    <x v="1"/>
    <n v="125.3"/>
    <n v="250.6"/>
    <x v="82"/>
    <d v="2025-03-27T00:00:00"/>
    <s v="F"/>
    <x v="0"/>
    <x v="2"/>
    <x v="0"/>
    <x v="3"/>
    <x v="2"/>
    <x v="12"/>
    <x v="2"/>
  </r>
  <r>
    <s v="TX502248"/>
    <x v="3"/>
    <x v="1"/>
    <n v="85.8"/>
    <n v="171.6"/>
    <x v="82"/>
    <d v="2025-03-25T00:00:00"/>
    <s v="F"/>
    <x v="1"/>
    <x v="4"/>
    <x v="0"/>
    <x v="3"/>
    <x v="3"/>
    <x v="12"/>
    <x v="2"/>
  </r>
  <r>
    <s v="TX502249"/>
    <x v="6"/>
    <x v="0"/>
    <n v="44.2"/>
    <n v="44.2"/>
    <x v="82"/>
    <d v="2025-03-27T00:00:00"/>
    <s v="M"/>
    <x v="1"/>
    <x v="0"/>
    <x v="0"/>
    <x v="3"/>
    <x v="2"/>
    <x v="12"/>
    <x v="1"/>
  </r>
  <r>
    <s v="TX502250"/>
    <x v="5"/>
    <x v="12"/>
    <n v="74.099999999999994"/>
    <n v="296.39999999999998"/>
    <x v="82"/>
    <d v="2025-03-26T00:00:00"/>
    <s v="F"/>
    <x v="0"/>
    <x v="0"/>
    <x v="0"/>
    <x v="3"/>
    <x v="1"/>
    <x v="12"/>
    <x v="2"/>
  </r>
  <r>
    <s v="TX502251"/>
    <x v="8"/>
    <x v="0"/>
    <n v="33.799999999999997"/>
    <n v="33.799999999999997"/>
    <x v="82"/>
    <d v="2025-03-25T00:00:00"/>
    <s v="F"/>
    <x v="2"/>
    <x v="2"/>
    <x v="0"/>
    <x v="24"/>
    <x v="3"/>
    <x v="12"/>
    <x v="2"/>
  </r>
  <r>
    <s v="TX502252"/>
    <x v="1"/>
    <x v="1"/>
    <n v="39.1"/>
    <n v="78.2"/>
    <x v="82"/>
    <d v="2025-03-25T00:00:00"/>
    <s v="M"/>
    <x v="0"/>
    <x v="1"/>
    <x v="0"/>
    <x v="24"/>
    <x v="3"/>
    <x v="12"/>
    <x v="1"/>
  </r>
  <r>
    <s v="TX502253"/>
    <x v="0"/>
    <x v="0"/>
    <n v="37.200000000000003"/>
    <n v="37.200000000000003"/>
    <x v="82"/>
    <d v="2025-03-25T00:00:00"/>
    <s v="M"/>
    <x v="0"/>
    <x v="1"/>
    <x v="0"/>
    <x v="16"/>
    <x v="3"/>
    <x v="12"/>
    <x v="1"/>
  </r>
  <r>
    <s v="TX502254"/>
    <x v="15"/>
    <x v="2"/>
    <n v="33.9"/>
    <n v="101.69999999999999"/>
    <x v="82"/>
    <d v="2025-03-26T00:00:00"/>
    <s v="M"/>
    <x v="2"/>
    <x v="0"/>
    <x v="0"/>
    <x v="6"/>
    <x v="1"/>
    <x v="12"/>
    <x v="1"/>
  </r>
  <r>
    <s v="TX502255"/>
    <x v="7"/>
    <x v="20"/>
    <n v="73.3"/>
    <n v="1099.5"/>
    <x v="82"/>
    <d v="2025-03-27T00:00:00"/>
    <s v="F"/>
    <x v="2"/>
    <x v="1"/>
    <x v="0"/>
    <x v="8"/>
    <x v="2"/>
    <x v="12"/>
    <x v="2"/>
  </r>
  <r>
    <s v="TX502256"/>
    <x v="8"/>
    <x v="12"/>
    <n v="35"/>
    <n v="140"/>
    <x v="82"/>
    <d v="2025-03-26T00:00:00"/>
    <s v="F"/>
    <x v="1"/>
    <x v="0"/>
    <x v="0"/>
    <x v="8"/>
    <x v="1"/>
    <x v="12"/>
    <x v="2"/>
  </r>
  <r>
    <s v="TX502257"/>
    <x v="0"/>
    <x v="2"/>
    <n v="22.2"/>
    <n v="66.599999999999994"/>
    <x v="82"/>
    <d v="2025-03-25T00:00:00"/>
    <s v="M"/>
    <x v="1"/>
    <x v="0"/>
    <x v="0"/>
    <x v="17"/>
    <x v="3"/>
    <x v="12"/>
    <x v="1"/>
  </r>
  <r>
    <s v="TX502258"/>
    <x v="10"/>
    <x v="0"/>
    <n v="32.4"/>
    <n v="32.4"/>
    <x v="82"/>
    <d v="2025-03-25T00:00:00"/>
    <s v="F"/>
    <x v="0"/>
    <x v="0"/>
    <x v="0"/>
    <x v="11"/>
    <x v="3"/>
    <x v="12"/>
    <x v="2"/>
  </r>
  <r>
    <s v="TX502259"/>
    <x v="5"/>
    <x v="2"/>
    <n v="88.4"/>
    <n v="265.20000000000005"/>
    <x v="83"/>
    <d v="2025-03-27T00:00:00"/>
    <s v="F"/>
    <x v="1"/>
    <x v="1"/>
    <x v="0"/>
    <x v="11"/>
    <x v="1"/>
    <x v="12"/>
    <x v="2"/>
  </r>
  <r>
    <s v="TX502260"/>
    <x v="5"/>
    <x v="27"/>
    <n v="30.5"/>
    <n v="488"/>
    <x v="83"/>
    <d v="2025-03-26T00:00:00"/>
    <s v="F"/>
    <x v="2"/>
    <x v="0"/>
    <x v="0"/>
    <x v="11"/>
    <x v="3"/>
    <x v="12"/>
    <x v="2"/>
  </r>
  <r>
    <s v="TX502261"/>
    <x v="1"/>
    <x v="13"/>
    <n v="38.1"/>
    <n v="228.60000000000002"/>
    <x v="83"/>
    <d v="2025-03-27T00:00:00"/>
    <s v="F"/>
    <x v="0"/>
    <x v="1"/>
    <x v="0"/>
    <x v="11"/>
    <x v="1"/>
    <x v="12"/>
    <x v="2"/>
  </r>
  <r>
    <s v="TX502262"/>
    <x v="10"/>
    <x v="9"/>
    <n v="37.6"/>
    <n v="188"/>
    <x v="83"/>
    <d v="2025-03-29T00:00:00"/>
    <s v="M"/>
    <x v="0"/>
    <x v="0"/>
    <x v="0"/>
    <x v="11"/>
    <x v="5"/>
    <x v="12"/>
    <x v="1"/>
  </r>
  <r>
    <s v="TX502263"/>
    <x v="15"/>
    <x v="1"/>
    <n v="31.4"/>
    <n v="62.8"/>
    <x v="83"/>
    <d v="2025-03-26T00:00:00"/>
    <s v="M"/>
    <x v="0"/>
    <x v="2"/>
    <x v="0"/>
    <x v="11"/>
    <x v="3"/>
    <x v="12"/>
    <x v="1"/>
  </r>
  <r>
    <s v="TX502264"/>
    <x v="6"/>
    <x v="1"/>
    <n v="61.5"/>
    <n v="123"/>
    <x v="83"/>
    <d v="2025-03-26T00:00:00"/>
    <s v="M"/>
    <x v="3"/>
    <x v="0"/>
    <x v="0"/>
    <x v="31"/>
    <x v="3"/>
    <x v="12"/>
    <x v="1"/>
  </r>
  <r>
    <s v="TX502265"/>
    <x v="6"/>
    <x v="0"/>
    <n v="72.599999999999994"/>
    <n v="72.599999999999994"/>
    <x v="83"/>
    <d v="2025-03-26T00:00:00"/>
    <s v="M"/>
    <x v="0"/>
    <x v="1"/>
    <x v="0"/>
    <x v="21"/>
    <x v="3"/>
    <x v="12"/>
    <x v="1"/>
  </r>
  <r>
    <s v="TX502266"/>
    <x v="9"/>
    <x v="2"/>
    <n v="26.9"/>
    <n v="80.699999999999989"/>
    <x v="83"/>
    <d v="2025-03-30T00:00:00"/>
    <s v="O"/>
    <x v="4"/>
    <x v="1"/>
    <x v="0"/>
    <x v="46"/>
    <x v="0"/>
    <x v="12"/>
    <x v="3"/>
  </r>
  <r>
    <s v="TX502267"/>
    <x v="17"/>
    <x v="4"/>
    <n v="29.4"/>
    <n v="352.79999999999995"/>
    <x v="83"/>
    <d v="2025-03-26T00:00:00"/>
    <s v="F"/>
    <x v="1"/>
    <x v="0"/>
    <x v="0"/>
    <x v="51"/>
    <x v="3"/>
    <x v="12"/>
    <x v="2"/>
  </r>
  <r>
    <s v="TX502268"/>
    <x v="17"/>
    <x v="1"/>
    <n v="42.1"/>
    <n v="84.2"/>
    <x v="83"/>
    <d v="2025-03-26T00:00:00"/>
    <s v="F"/>
    <x v="3"/>
    <x v="1"/>
    <x v="0"/>
    <x v="1"/>
    <x v="3"/>
    <x v="12"/>
    <x v="2"/>
  </r>
  <r>
    <s v="TX502269"/>
    <x v="5"/>
    <x v="0"/>
    <n v="40.5"/>
    <n v="40.5"/>
    <x v="83"/>
    <d v="2025-03-26T00:00:00"/>
    <s v="F"/>
    <x v="2"/>
    <x v="1"/>
    <x v="0"/>
    <x v="1"/>
    <x v="3"/>
    <x v="12"/>
    <x v="2"/>
  </r>
  <r>
    <s v="TX502270"/>
    <x v="2"/>
    <x v="12"/>
    <n v="182.3"/>
    <n v="729.2"/>
    <x v="83"/>
    <d v="2025-03-26T00:00:00"/>
    <s v="F"/>
    <x v="1"/>
    <x v="0"/>
    <x v="0"/>
    <x v="1"/>
    <x v="3"/>
    <x v="12"/>
    <x v="2"/>
  </r>
  <r>
    <s v="TX502271"/>
    <x v="2"/>
    <x v="9"/>
    <n v="157"/>
    <n v="785"/>
    <x v="83"/>
    <d v="2025-03-28T00:00:00"/>
    <s v="F"/>
    <x v="1"/>
    <x v="2"/>
    <x v="0"/>
    <x v="2"/>
    <x v="2"/>
    <x v="12"/>
    <x v="2"/>
  </r>
  <r>
    <s v="TX502272"/>
    <x v="17"/>
    <x v="9"/>
    <n v="45.2"/>
    <n v="226"/>
    <x v="83"/>
    <d v="2025-03-28T00:00:00"/>
    <s v="F"/>
    <x v="1"/>
    <x v="0"/>
    <x v="0"/>
    <x v="22"/>
    <x v="2"/>
    <x v="12"/>
    <x v="2"/>
  </r>
  <r>
    <s v="TX502273"/>
    <x v="15"/>
    <x v="12"/>
    <n v="27.4"/>
    <n v="109.6"/>
    <x v="83"/>
    <d v="2025-03-27T00:00:00"/>
    <s v="F"/>
    <x v="0"/>
    <x v="0"/>
    <x v="0"/>
    <x v="3"/>
    <x v="1"/>
    <x v="12"/>
    <x v="2"/>
  </r>
  <r>
    <s v="TX502274"/>
    <x v="5"/>
    <x v="9"/>
    <n v="34.1"/>
    <n v="170.5"/>
    <x v="83"/>
    <d v="2025-03-27T00:00:00"/>
    <s v="M"/>
    <x v="0"/>
    <x v="2"/>
    <x v="0"/>
    <x v="3"/>
    <x v="1"/>
    <x v="12"/>
    <x v="1"/>
  </r>
  <r>
    <s v="TX502275"/>
    <x v="0"/>
    <x v="1"/>
    <n v="26"/>
    <n v="52"/>
    <x v="83"/>
    <d v="2025-03-27T00:00:00"/>
    <s v="M"/>
    <x v="2"/>
    <x v="1"/>
    <x v="0"/>
    <x v="3"/>
    <x v="1"/>
    <x v="12"/>
    <x v="1"/>
  </r>
  <r>
    <s v="TX502276"/>
    <x v="8"/>
    <x v="3"/>
    <n v="19.399999999999999"/>
    <n v="135.79999999999998"/>
    <x v="83"/>
    <d v="2025-03-27T00:00:00"/>
    <m/>
    <x v="1"/>
    <x v="1"/>
    <x v="0"/>
    <x v="3"/>
    <x v="1"/>
    <x v="12"/>
    <x v="0"/>
  </r>
  <r>
    <s v="TX502277"/>
    <x v="16"/>
    <x v="2"/>
    <n v="30.3"/>
    <n v="90.9"/>
    <x v="83"/>
    <d v="2025-03-28T00:00:00"/>
    <s v="F"/>
    <x v="1"/>
    <x v="2"/>
    <x v="0"/>
    <x v="3"/>
    <x v="2"/>
    <x v="12"/>
    <x v="2"/>
  </r>
  <r>
    <s v="TX502278"/>
    <x v="2"/>
    <x v="2"/>
    <n v="101.4"/>
    <n v="304.20000000000005"/>
    <x v="83"/>
    <d v="2025-03-26T00:00:00"/>
    <s v="M"/>
    <x v="0"/>
    <x v="0"/>
    <x v="0"/>
    <x v="3"/>
    <x v="3"/>
    <x v="12"/>
    <x v="1"/>
  </r>
  <r>
    <s v="TX502279"/>
    <x v="3"/>
    <x v="9"/>
    <n v="55.5"/>
    <n v="277.5"/>
    <x v="83"/>
    <d v="2025-03-28T00:00:00"/>
    <s v="M"/>
    <x v="1"/>
    <x v="0"/>
    <x v="0"/>
    <x v="24"/>
    <x v="2"/>
    <x v="12"/>
    <x v="1"/>
  </r>
  <r>
    <s v="TX502280"/>
    <x v="8"/>
    <x v="0"/>
    <n v="23.1"/>
    <n v="23.1"/>
    <x v="83"/>
    <d v="2025-03-26T00:00:00"/>
    <s v="M"/>
    <x v="0"/>
    <x v="0"/>
    <x v="0"/>
    <x v="25"/>
    <x v="3"/>
    <x v="12"/>
    <x v="1"/>
  </r>
  <r>
    <s v="TX502281"/>
    <x v="18"/>
    <x v="1"/>
    <n v="38.9"/>
    <n v="77.8"/>
    <x v="83"/>
    <d v="2025-03-26T00:00:00"/>
    <s v="M"/>
    <x v="2"/>
    <x v="0"/>
    <x v="0"/>
    <x v="25"/>
    <x v="3"/>
    <x v="12"/>
    <x v="1"/>
  </r>
  <r>
    <s v="TX502282"/>
    <x v="6"/>
    <x v="11"/>
    <n v="116.3"/>
    <n v="1046.7"/>
    <x v="83"/>
    <d v="2025-03-29T00:00:00"/>
    <s v="F"/>
    <x v="0"/>
    <x v="0"/>
    <x v="0"/>
    <x v="5"/>
    <x v="5"/>
    <x v="12"/>
    <x v="2"/>
  </r>
  <r>
    <s v="TX502283"/>
    <x v="16"/>
    <x v="11"/>
    <n v="64.099999999999994"/>
    <n v="576.9"/>
    <x v="83"/>
    <d v="2025-03-25T00:00:00"/>
    <s v="F"/>
    <x v="0"/>
    <x v="2"/>
    <x v="0"/>
    <x v="6"/>
    <x v="7"/>
    <x v="12"/>
    <x v="2"/>
  </r>
  <r>
    <s v="TX502284"/>
    <x v="2"/>
    <x v="13"/>
    <n v="109.2"/>
    <n v="655.20000000000005"/>
    <x v="83"/>
    <d v="2025-03-27T00:00:00"/>
    <s v="M"/>
    <x v="0"/>
    <x v="1"/>
    <x v="0"/>
    <x v="8"/>
    <x v="1"/>
    <x v="12"/>
    <x v="1"/>
  </r>
  <r>
    <s v="TX502285"/>
    <x v="10"/>
    <x v="9"/>
    <n v="23.2"/>
    <n v="116"/>
    <x v="84"/>
    <d v="2025-03-27T00:00:00"/>
    <s v="M"/>
    <x v="0"/>
    <x v="1"/>
    <x v="0"/>
    <x v="8"/>
    <x v="3"/>
    <x v="12"/>
    <x v="1"/>
  </r>
  <r>
    <s v="TX502286"/>
    <x v="18"/>
    <x v="13"/>
    <n v="81.2"/>
    <n v="487.20000000000005"/>
    <x v="84"/>
    <d v="2025-03-28T00:00:00"/>
    <s v="M"/>
    <x v="2"/>
    <x v="2"/>
    <x v="0"/>
    <x v="8"/>
    <x v="1"/>
    <x v="12"/>
    <x v="1"/>
  </r>
  <r>
    <s v="TX502287"/>
    <x v="1"/>
    <x v="21"/>
    <n v="35.700000000000003"/>
    <n v="499.80000000000007"/>
    <x v="84"/>
    <d v="2025-03-27T00:00:00"/>
    <s v="M"/>
    <x v="3"/>
    <x v="0"/>
    <x v="0"/>
    <x v="8"/>
    <x v="3"/>
    <x v="12"/>
    <x v="1"/>
  </r>
  <r>
    <s v="TX502288"/>
    <x v="7"/>
    <x v="1"/>
    <n v="44.5"/>
    <n v="89"/>
    <x v="84"/>
    <d v="2025-03-29T00:00:00"/>
    <s v="M"/>
    <x v="4"/>
    <x v="0"/>
    <x v="0"/>
    <x v="9"/>
    <x v="2"/>
    <x v="12"/>
    <x v="1"/>
  </r>
  <r>
    <s v="TX502289"/>
    <x v="1"/>
    <x v="9"/>
    <n v="32"/>
    <n v="160"/>
    <x v="84"/>
    <d v="2025-03-28T00:00:00"/>
    <s v="O"/>
    <x v="1"/>
    <x v="1"/>
    <x v="0"/>
    <x v="9"/>
    <x v="1"/>
    <x v="12"/>
    <x v="3"/>
  </r>
  <r>
    <s v="TX502290"/>
    <x v="8"/>
    <x v="0"/>
    <n v="25.7"/>
    <n v="25.7"/>
    <x v="84"/>
    <d v="2025-03-27T00:00:00"/>
    <s v="M"/>
    <x v="0"/>
    <x v="0"/>
    <x v="0"/>
    <x v="10"/>
    <x v="3"/>
    <x v="12"/>
    <x v="1"/>
  </r>
  <r>
    <s v="TX502291"/>
    <x v="16"/>
    <x v="2"/>
    <n v="65.599999999999994"/>
    <n v="196.79999999999998"/>
    <x v="84"/>
    <d v="2025-04-01T00:00:00"/>
    <s v="M"/>
    <x v="0"/>
    <x v="0"/>
    <x v="0"/>
    <x v="11"/>
    <x v="4"/>
    <x v="12"/>
    <x v="1"/>
  </r>
  <r>
    <s v="TX502292"/>
    <x v="1"/>
    <x v="12"/>
    <n v="52.1"/>
    <n v="208.4"/>
    <x v="84"/>
    <d v="2025-03-27T00:00:00"/>
    <s v="F"/>
    <x v="0"/>
    <x v="2"/>
    <x v="0"/>
    <x v="11"/>
    <x v="3"/>
    <x v="12"/>
    <x v="2"/>
  </r>
  <r>
    <s v="TX502293"/>
    <x v="8"/>
    <x v="0"/>
    <n v="31"/>
    <n v="31"/>
    <x v="84"/>
    <d v="2025-03-27T00:00:00"/>
    <s v="M"/>
    <x v="0"/>
    <x v="1"/>
    <x v="0"/>
    <x v="19"/>
    <x v="3"/>
    <x v="12"/>
    <x v="1"/>
  </r>
  <r>
    <s v="TX502294"/>
    <x v="8"/>
    <x v="0"/>
    <n v="32"/>
    <n v="32"/>
    <x v="84"/>
    <d v="2025-03-28T00:00:00"/>
    <s v="O"/>
    <x v="3"/>
    <x v="1"/>
    <x v="0"/>
    <x v="31"/>
    <x v="1"/>
    <x v="12"/>
    <x v="3"/>
  </r>
  <r>
    <s v="TX502295"/>
    <x v="16"/>
    <x v="12"/>
    <n v="58.3"/>
    <n v="233.2"/>
    <x v="84"/>
    <d v="2025-03-30T00:00:00"/>
    <s v="M"/>
    <x v="1"/>
    <x v="4"/>
    <x v="0"/>
    <x v="20"/>
    <x v="5"/>
    <x v="12"/>
    <x v="1"/>
  </r>
  <r>
    <s v="TX502296"/>
    <x v="8"/>
    <x v="2"/>
    <n v="31"/>
    <n v="93"/>
    <x v="84"/>
    <d v="2025-03-28T00:00:00"/>
    <s v="F"/>
    <x v="2"/>
    <x v="4"/>
    <x v="0"/>
    <x v="13"/>
    <x v="1"/>
    <x v="12"/>
    <x v="2"/>
  </r>
  <r>
    <s v="TX502297"/>
    <x v="3"/>
    <x v="0"/>
    <n v="40.299999999999997"/>
    <n v="40.299999999999997"/>
    <x v="84"/>
    <d v="2025-03-27T00:00:00"/>
    <s v="M"/>
    <x v="1"/>
    <x v="2"/>
    <x v="0"/>
    <x v="54"/>
    <x v="3"/>
    <x v="12"/>
    <x v="1"/>
  </r>
  <r>
    <s v="TX502298"/>
    <x v="6"/>
    <x v="2"/>
    <n v="47.3"/>
    <n v="141.89999999999998"/>
    <x v="84"/>
    <d v="2025-03-28T00:00:00"/>
    <s v="M"/>
    <x v="4"/>
    <x v="2"/>
    <x v="0"/>
    <x v="2"/>
    <x v="1"/>
    <x v="12"/>
    <x v="1"/>
  </r>
  <r>
    <s v="TX502299"/>
    <x v="2"/>
    <x v="0"/>
    <n v="82.8"/>
    <n v="82.8"/>
    <x v="84"/>
    <d v="2025-03-27T00:00:00"/>
    <s v="M"/>
    <x v="0"/>
    <x v="0"/>
    <x v="0"/>
    <x v="2"/>
    <x v="3"/>
    <x v="12"/>
    <x v="1"/>
  </r>
  <r>
    <s v="TX502300"/>
    <x v="8"/>
    <x v="0"/>
    <n v="18.5"/>
    <n v="18.5"/>
    <x v="84"/>
    <d v="2025-04-09T00:00:00"/>
    <s v="F"/>
    <x v="0"/>
    <x v="0"/>
    <x v="0"/>
    <x v="44"/>
    <x v="12"/>
    <x v="12"/>
    <x v="2"/>
  </r>
  <r>
    <s v="TX502301"/>
    <x v="3"/>
    <x v="1"/>
    <n v="60.4"/>
    <n v="120.8"/>
    <x v="84"/>
    <d v="2025-03-27T00:00:00"/>
    <s v="M"/>
    <x v="2"/>
    <x v="0"/>
    <x v="0"/>
    <x v="22"/>
    <x v="3"/>
    <x v="12"/>
    <x v="1"/>
  </r>
  <r>
    <s v="TX502302"/>
    <x v="6"/>
    <x v="9"/>
    <n v="80.2"/>
    <n v="401"/>
    <x v="84"/>
    <d v="2025-04-02T00:00:00"/>
    <s v="M"/>
    <x v="1"/>
    <x v="1"/>
    <x v="0"/>
    <x v="50"/>
    <x v="6"/>
    <x v="12"/>
    <x v="1"/>
  </r>
  <r>
    <s v="TX502303"/>
    <x v="4"/>
    <x v="0"/>
    <n v="41.5"/>
    <n v="41.5"/>
    <x v="84"/>
    <d v="2025-03-28T00:00:00"/>
    <s v="M"/>
    <x v="2"/>
    <x v="0"/>
    <x v="0"/>
    <x v="3"/>
    <x v="1"/>
    <x v="12"/>
    <x v="1"/>
  </r>
  <r>
    <s v="TX502304"/>
    <x v="2"/>
    <x v="1"/>
    <n v="83.9"/>
    <n v="167.8"/>
    <x v="84"/>
    <d v="2025-03-29T00:00:00"/>
    <s v="F"/>
    <x v="0"/>
    <x v="0"/>
    <x v="0"/>
    <x v="3"/>
    <x v="2"/>
    <x v="12"/>
    <x v="2"/>
  </r>
  <r>
    <s v="TX502305"/>
    <x v="8"/>
    <x v="1"/>
    <n v="16.7"/>
    <n v="33.4"/>
    <x v="84"/>
    <d v="2025-03-30T00:00:00"/>
    <s v="F"/>
    <x v="0"/>
    <x v="1"/>
    <x v="0"/>
    <x v="3"/>
    <x v="5"/>
    <x v="12"/>
    <x v="2"/>
  </r>
  <r>
    <s v="TX502306"/>
    <x v="9"/>
    <x v="1"/>
    <n v="72.900000000000006"/>
    <n v="145.80000000000001"/>
    <x v="84"/>
    <d v="2025-03-27T00:00:00"/>
    <s v="M"/>
    <x v="2"/>
    <x v="1"/>
    <x v="0"/>
    <x v="3"/>
    <x v="3"/>
    <x v="12"/>
    <x v="1"/>
  </r>
  <r>
    <s v="TX502307"/>
    <x v="5"/>
    <x v="1"/>
    <n v="50.2"/>
    <n v="100.4"/>
    <x v="84"/>
    <d v="2025-03-28T00:00:00"/>
    <s v="F"/>
    <x v="1"/>
    <x v="2"/>
    <x v="0"/>
    <x v="3"/>
    <x v="1"/>
    <x v="12"/>
    <x v="2"/>
  </r>
  <r>
    <s v="TX502308"/>
    <x v="3"/>
    <x v="1"/>
    <n v="34.200000000000003"/>
    <n v="68.400000000000006"/>
    <x v="84"/>
    <d v="2025-04-05T00:00:00"/>
    <m/>
    <x v="1"/>
    <x v="0"/>
    <x v="0"/>
    <x v="3"/>
    <x v="14"/>
    <x v="12"/>
    <x v="0"/>
  </r>
  <r>
    <s v="TX502309"/>
    <x v="5"/>
    <x v="1"/>
    <n v="107.9"/>
    <n v="215.8"/>
    <x v="84"/>
    <d v="2025-03-26T00:00:00"/>
    <s v="M"/>
    <x v="1"/>
    <x v="4"/>
    <x v="0"/>
    <x v="3"/>
    <x v="7"/>
    <x v="12"/>
    <x v="1"/>
  </r>
  <r>
    <s v="TX502310"/>
    <x v="0"/>
    <x v="2"/>
    <n v="17.5"/>
    <n v="52.5"/>
    <x v="84"/>
    <d v="2025-03-28T00:00:00"/>
    <s v="M"/>
    <x v="4"/>
    <x v="0"/>
    <x v="0"/>
    <x v="3"/>
    <x v="1"/>
    <x v="12"/>
    <x v="1"/>
  </r>
  <r>
    <s v="TX502311"/>
    <x v="13"/>
    <x v="20"/>
    <n v="44.7"/>
    <n v="670.5"/>
    <x v="84"/>
    <d v="2025-03-27T00:00:00"/>
    <s v="M"/>
    <x v="0"/>
    <x v="1"/>
    <x v="0"/>
    <x v="3"/>
    <x v="3"/>
    <x v="12"/>
    <x v="1"/>
  </r>
  <r>
    <s v="TX502312"/>
    <x v="12"/>
    <x v="13"/>
    <n v="92.7"/>
    <n v="556.20000000000005"/>
    <x v="84"/>
    <d v="2025-03-28T00:00:00"/>
    <s v="F"/>
    <x v="2"/>
    <x v="1"/>
    <x v="0"/>
    <x v="3"/>
    <x v="1"/>
    <x v="12"/>
    <x v="2"/>
  </r>
  <r>
    <s v="TX502313"/>
    <x v="7"/>
    <x v="2"/>
    <n v="48.8"/>
    <n v="146.39999999999998"/>
    <x v="84"/>
    <d v="2025-03-28T00:00:00"/>
    <s v="F"/>
    <x v="2"/>
    <x v="0"/>
    <x v="0"/>
    <x v="3"/>
    <x v="1"/>
    <x v="12"/>
    <x v="2"/>
  </r>
  <r>
    <s v="TX502314"/>
    <x v="4"/>
    <x v="27"/>
    <n v="21.3"/>
    <n v="340.8"/>
    <x v="84"/>
    <d v="2025-03-30T00:00:00"/>
    <s v="F"/>
    <x v="3"/>
    <x v="3"/>
    <x v="0"/>
    <x v="3"/>
    <x v="5"/>
    <x v="12"/>
    <x v="2"/>
  </r>
  <r>
    <s v="TX502315"/>
    <x v="16"/>
    <x v="0"/>
    <n v="52.5"/>
    <n v="52.5"/>
    <x v="84"/>
    <d v="2025-03-27T00:00:00"/>
    <s v="F"/>
    <x v="0"/>
    <x v="0"/>
    <x v="0"/>
    <x v="3"/>
    <x v="3"/>
    <x v="12"/>
    <x v="2"/>
  </r>
  <r>
    <s v="TX502316"/>
    <x v="1"/>
    <x v="1"/>
    <n v="92.4"/>
    <n v="184.8"/>
    <x v="84"/>
    <d v="2025-04-01T00:00:00"/>
    <s v="F"/>
    <x v="0"/>
    <x v="2"/>
    <x v="0"/>
    <x v="3"/>
    <x v="4"/>
    <x v="12"/>
    <x v="2"/>
  </r>
  <r>
    <s v="TX502317"/>
    <x v="4"/>
    <x v="5"/>
    <n v="58.3"/>
    <n v="641.29999999999995"/>
    <x v="84"/>
    <d v="2025-03-28T00:00:00"/>
    <s v="M"/>
    <x v="1"/>
    <x v="2"/>
    <x v="0"/>
    <x v="3"/>
    <x v="1"/>
    <x v="12"/>
    <x v="1"/>
  </r>
  <r>
    <s v="TX502318"/>
    <x v="6"/>
    <x v="44"/>
    <n v="152.6"/>
    <n v="3509.7999999999997"/>
    <x v="85"/>
    <d v="2025-03-29T00:00:00"/>
    <m/>
    <x v="0"/>
    <x v="0"/>
    <x v="0"/>
    <x v="3"/>
    <x v="1"/>
    <x v="12"/>
    <x v="0"/>
  </r>
  <r>
    <s v="TX502319"/>
    <x v="8"/>
    <x v="1"/>
    <n v="26"/>
    <n v="52"/>
    <x v="85"/>
    <d v="2025-03-27T00:00:00"/>
    <m/>
    <x v="0"/>
    <x v="1"/>
    <x v="0"/>
    <x v="3"/>
    <x v="7"/>
    <x v="12"/>
    <x v="0"/>
  </r>
  <r>
    <s v="TX502320"/>
    <x v="1"/>
    <x v="12"/>
    <n v="33.1"/>
    <n v="132.4"/>
    <x v="85"/>
    <d v="2025-03-27T00:00:00"/>
    <s v="M"/>
    <x v="2"/>
    <x v="4"/>
    <x v="0"/>
    <x v="5"/>
    <x v="7"/>
    <x v="12"/>
    <x v="1"/>
  </r>
  <r>
    <s v="TX502321"/>
    <x v="18"/>
    <x v="0"/>
    <n v="51.4"/>
    <n v="51.4"/>
    <x v="85"/>
    <d v="2025-03-29T00:00:00"/>
    <s v="F"/>
    <x v="1"/>
    <x v="1"/>
    <x v="0"/>
    <x v="5"/>
    <x v="1"/>
    <x v="12"/>
    <x v="2"/>
  </r>
  <r>
    <s v="TX502322"/>
    <x v="8"/>
    <x v="1"/>
    <n v="30.2"/>
    <n v="60.4"/>
    <x v="85"/>
    <d v="2025-03-28T00:00:00"/>
    <s v="F"/>
    <x v="2"/>
    <x v="2"/>
    <x v="0"/>
    <x v="6"/>
    <x v="3"/>
    <x v="12"/>
    <x v="2"/>
  </r>
  <r>
    <s v="TX502323"/>
    <x v="2"/>
    <x v="13"/>
    <n v="97"/>
    <n v="582"/>
    <x v="85"/>
    <d v="2025-03-31T00:00:00"/>
    <s v="F"/>
    <x v="0"/>
    <x v="2"/>
    <x v="0"/>
    <x v="7"/>
    <x v="5"/>
    <x v="12"/>
    <x v="2"/>
  </r>
  <r>
    <s v="TX502324"/>
    <x v="2"/>
    <x v="0"/>
    <n v="76.900000000000006"/>
    <n v="76.900000000000006"/>
    <x v="85"/>
    <d v="2025-03-28T00:00:00"/>
    <s v="M"/>
    <x v="1"/>
    <x v="2"/>
    <x v="0"/>
    <x v="8"/>
    <x v="3"/>
    <x v="12"/>
    <x v="1"/>
  </r>
  <r>
    <s v="TX502325"/>
    <x v="7"/>
    <x v="13"/>
    <n v="36.1"/>
    <n v="216.60000000000002"/>
    <x v="85"/>
    <d v="2025-03-31T00:00:00"/>
    <s v="F"/>
    <x v="0"/>
    <x v="0"/>
    <x v="0"/>
    <x v="8"/>
    <x v="5"/>
    <x v="12"/>
    <x v="2"/>
  </r>
  <r>
    <s v="TX502326"/>
    <x v="1"/>
    <x v="3"/>
    <n v="34.4"/>
    <n v="240.79999999999998"/>
    <x v="85"/>
    <d v="2025-03-27T00:00:00"/>
    <s v="F"/>
    <x v="2"/>
    <x v="1"/>
    <x v="0"/>
    <x v="11"/>
    <x v="7"/>
    <x v="12"/>
    <x v="2"/>
  </r>
  <r>
    <s v="TX502327"/>
    <x v="1"/>
    <x v="31"/>
    <n v="53.4"/>
    <n v="1495.2"/>
    <x v="85"/>
    <d v="2025-03-29T00:00:00"/>
    <s v="F"/>
    <x v="1"/>
    <x v="0"/>
    <x v="0"/>
    <x v="18"/>
    <x v="1"/>
    <x v="12"/>
    <x v="2"/>
  </r>
  <r>
    <s v="TX502328"/>
    <x v="2"/>
    <x v="0"/>
    <n v="77.599999999999994"/>
    <n v="77.599999999999994"/>
    <x v="85"/>
    <d v="2025-03-28T00:00:00"/>
    <s v="F"/>
    <x v="0"/>
    <x v="1"/>
    <x v="0"/>
    <x v="19"/>
    <x v="3"/>
    <x v="12"/>
    <x v="2"/>
  </r>
  <r>
    <s v="TX502329"/>
    <x v="1"/>
    <x v="2"/>
    <n v="71.7"/>
    <n v="215.10000000000002"/>
    <x v="85"/>
    <d v="2025-03-30T00:00:00"/>
    <s v="F"/>
    <x v="1"/>
    <x v="0"/>
    <x v="0"/>
    <x v="19"/>
    <x v="2"/>
    <x v="12"/>
    <x v="2"/>
  </r>
  <r>
    <s v="TX502330"/>
    <x v="3"/>
    <x v="2"/>
    <n v="80.599999999999994"/>
    <n v="241.79999999999998"/>
    <x v="85"/>
    <d v="2025-03-28T00:00:00"/>
    <s v="M"/>
    <x v="4"/>
    <x v="1"/>
    <x v="0"/>
    <x v="19"/>
    <x v="3"/>
    <x v="12"/>
    <x v="1"/>
  </r>
  <r>
    <s v="TX502331"/>
    <x v="1"/>
    <x v="20"/>
    <n v="70"/>
    <n v="1050"/>
    <x v="85"/>
    <d v="2025-03-29T00:00:00"/>
    <s v="M"/>
    <x v="0"/>
    <x v="0"/>
    <x v="0"/>
    <x v="20"/>
    <x v="1"/>
    <x v="12"/>
    <x v="1"/>
  </r>
  <r>
    <s v="TX502332"/>
    <x v="4"/>
    <x v="13"/>
    <n v="27.3"/>
    <n v="163.80000000000001"/>
    <x v="85"/>
    <d v="2025-03-29T00:00:00"/>
    <s v="F"/>
    <x v="1"/>
    <x v="1"/>
    <x v="0"/>
    <x v="2"/>
    <x v="1"/>
    <x v="12"/>
    <x v="2"/>
  </r>
  <r>
    <s v="TX502333"/>
    <x v="8"/>
    <x v="21"/>
    <n v="37.6"/>
    <n v="526.4"/>
    <x v="85"/>
    <d v="2025-03-29T00:00:00"/>
    <s v="M"/>
    <x v="1"/>
    <x v="0"/>
    <x v="0"/>
    <x v="3"/>
    <x v="1"/>
    <x v="12"/>
    <x v="1"/>
  </r>
  <r>
    <s v="TX502334"/>
    <x v="5"/>
    <x v="2"/>
    <n v="36.6"/>
    <n v="109.80000000000001"/>
    <x v="85"/>
    <d v="2025-03-29T00:00:00"/>
    <s v="F"/>
    <x v="4"/>
    <x v="0"/>
    <x v="0"/>
    <x v="3"/>
    <x v="1"/>
    <x v="12"/>
    <x v="2"/>
  </r>
  <r>
    <s v="TX502335"/>
    <x v="13"/>
    <x v="0"/>
    <n v="55.2"/>
    <n v="55.2"/>
    <x v="85"/>
    <d v="2025-03-29T00:00:00"/>
    <s v="M"/>
    <x v="3"/>
    <x v="0"/>
    <x v="0"/>
    <x v="3"/>
    <x v="1"/>
    <x v="12"/>
    <x v="1"/>
  </r>
  <r>
    <s v="TX502336"/>
    <x v="6"/>
    <x v="9"/>
    <n v="59.9"/>
    <n v="299.5"/>
    <x v="85"/>
    <d v="2025-03-29T00:00:00"/>
    <s v="M"/>
    <x v="0"/>
    <x v="0"/>
    <x v="0"/>
    <x v="3"/>
    <x v="1"/>
    <x v="12"/>
    <x v="1"/>
  </r>
  <r>
    <s v="TX502337"/>
    <x v="6"/>
    <x v="0"/>
    <n v="44"/>
    <n v="44"/>
    <x v="85"/>
    <d v="2025-03-28T00:00:00"/>
    <s v="F"/>
    <x v="2"/>
    <x v="2"/>
    <x v="0"/>
    <x v="3"/>
    <x v="3"/>
    <x v="12"/>
    <x v="2"/>
  </r>
  <r>
    <s v="TX502338"/>
    <x v="9"/>
    <x v="1"/>
    <n v="68.7"/>
    <n v="137.4"/>
    <x v="85"/>
    <d v="2025-03-27T00:00:00"/>
    <s v="M"/>
    <x v="0"/>
    <x v="0"/>
    <x v="0"/>
    <x v="3"/>
    <x v="7"/>
    <x v="12"/>
    <x v="1"/>
  </r>
  <r>
    <s v="TX502339"/>
    <x v="5"/>
    <x v="1"/>
    <n v="61.6"/>
    <n v="123.2"/>
    <x v="85"/>
    <d v="2025-03-31T00:00:00"/>
    <s v="M"/>
    <x v="3"/>
    <x v="1"/>
    <x v="0"/>
    <x v="3"/>
    <x v="5"/>
    <x v="12"/>
    <x v="1"/>
  </r>
  <r>
    <s v="TX502340"/>
    <x v="7"/>
    <x v="3"/>
    <n v="51.8"/>
    <n v="362.59999999999997"/>
    <x v="85"/>
    <d v="2025-03-28T00:00:00"/>
    <s v="M"/>
    <x v="0"/>
    <x v="0"/>
    <x v="0"/>
    <x v="3"/>
    <x v="3"/>
    <x v="12"/>
    <x v="1"/>
  </r>
  <r>
    <s v="TX502341"/>
    <x v="8"/>
    <x v="7"/>
    <n v="46.2"/>
    <n v="462"/>
    <x v="85"/>
    <d v="2025-03-29T00:00:00"/>
    <s v="M"/>
    <x v="1"/>
    <x v="2"/>
    <x v="0"/>
    <x v="3"/>
    <x v="1"/>
    <x v="12"/>
    <x v="1"/>
  </r>
  <r>
    <s v="TX502342"/>
    <x v="0"/>
    <x v="1"/>
    <n v="19.399999999999999"/>
    <n v="38.799999999999997"/>
    <x v="85"/>
    <d v="2025-03-29T00:00:00"/>
    <s v="F"/>
    <x v="1"/>
    <x v="2"/>
    <x v="0"/>
    <x v="6"/>
    <x v="1"/>
    <x v="12"/>
    <x v="2"/>
  </r>
  <r>
    <s v="TX502343"/>
    <x v="11"/>
    <x v="2"/>
    <n v="52.1"/>
    <n v="156.30000000000001"/>
    <x v="85"/>
    <d v="2025-03-30T00:00:00"/>
    <s v="M"/>
    <x v="3"/>
    <x v="3"/>
    <x v="0"/>
    <x v="6"/>
    <x v="2"/>
    <x v="12"/>
    <x v="1"/>
  </r>
  <r>
    <s v="TX502344"/>
    <x v="6"/>
    <x v="0"/>
    <n v="74.900000000000006"/>
    <n v="74.900000000000006"/>
    <x v="85"/>
    <d v="2025-03-29T00:00:00"/>
    <s v="O"/>
    <x v="0"/>
    <x v="0"/>
    <x v="0"/>
    <x v="7"/>
    <x v="1"/>
    <x v="12"/>
    <x v="3"/>
  </r>
  <r>
    <s v="TX502345"/>
    <x v="9"/>
    <x v="3"/>
    <n v="49.6"/>
    <n v="347.2"/>
    <x v="85"/>
    <d v="2025-03-30T00:00:00"/>
    <s v="F"/>
    <x v="4"/>
    <x v="0"/>
    <x v="0"/>
    <x v="8"/>
    <x v="2"/>
    <x v="12"/>
    <x v="2"/>
  </r>
  <r>
    <s v="TX502346"/>
    <x v="16"/>
    <x v="12"/>
    <n v="82.8"/>
    <n v="331.2"/>
    <x v="86"/>
    <d v="2025-03-31T00:00:00"/>
    <s v="F"/>
    <x v="4"/>
    <x v="0"/>
    <x v="0"/>
    <x v="8"/>
    <x v="2"/>
    <x v="12"/>
    <x v="2"/>
  </r>
  <r>
    <s v="TX502347"/>
    <x v="2"/>
    <x v="0"/>
    <n v="97.7"/>
    <n v="97.7"/>
    <x v="86"/>
    <d v="2025-03-29T00:00:00"/>
    <s v="F"/>
    <x v="1"/>
    <x v="0"/>
    <x v="0"/>
    <x v="8"/>
    <x v="3"/>
    <x v="12"/>
    <x v="2"/>
  </r>
  <r>
    <s v="TX502348"/>
    <x v="6"/>
    <x v="9"/>
    <n v="83.6"/>
    <n v="418"/>
    <x v="86"/>
    <d v="2025-03-29T00:00:00"/>
    <s v="F"/>
    <x v="4"/>
    <x v="0"/>
    <x v="0"/>
    <x v="8"/>
    <x v="3"/>
    <x v="12"/>
    <x v="2"/>
  </r>
  <r>
    <s v="TX502349"/>
    <x v="8"/>
    <x v="9"/>
    <n v="23.5"/>
    <n v="117.5"/>
    <x v="86"/>
    <d v="2025-04-01T00:00:00"/>
    <s v="O"/>
    <x v="0"/>
    <x v="0"/>
    <x v="0"/>
    <x v="8"/>
    <x v="5"/>
    <x v="12"/>
    <x v="3"/>
  </r>
  <r>
    <s v="TX502350"/>
    <x v="9"/>
    <x v="2"/>
    <n v="44.6"/>
    <n v="133.80000000000001"/>
    <x v="86"/>
    <d v="2025-03-31T00:00:00"/>
    <s v="F"/>
    <x v="4"/>
    <x v="1"/>
    <x v="0"/>
    <x v="26"/>
    <x v="2"/>
    <x v="12"/>
    <x v="2"/>
  </r>
  <r>
    <s v="TX502351"/>
    <x v="0"/>
    <x v="2"/>
    <n v="20.100000000000001"/>
    <n v="60.300000000000004"/>
    <x v="86"/>
    <d v="2025-03-30T00:00:00"/>
    <s v="F"/>
    <x v="3"/>
    <x v="4"/>
    <x v="0"/>
    <x v="11"/>
    <x v="1"/>
    <x v="12"/>
    <x v="2"/>
  </r>
  <r>
    <s v="TX502352"/>
    <x v="2"/>
    <x v="9"/>
    <n v="153.6"/>
    <n v="768"/>
    <x v="86"/>
    <d v="2025-03-29T00:00:00"/>
    <s v="F"/>
    <x v="1"/>
    <x v="2"/>
    <x v="0"/>
    <x v="53"/>
    <x v="3"/>
    <x v="12"/>
    <x v="2"/>
  </r>
  <r>
    <s v="TX502353"/>
    <x v="1"/>
    <x v="1"/>
    <n v="71.8"/>
    <n v="143.6"/>
    <x v="86"/>
    <d v="2025-04-01T00:00:00"/>
    <s v="F"/>
    <x v="1"/>
    <x v="0"/>
    <x v="0"/>
    <x v="1"/>
    <x v="5"/>
    <x v="12"/>
    <x v="2"/>
  </r>
  <r>
    <s v="TX502354"/>
    <x v="10"/>
    <x v="0"/>
    <n v="64.7"/>
    <n v="64.7"/>
    <x v="86"/>
    <d v="2025-03-30T00:00:00"/>
    <m/>
    <x v="0"/>
    <x v="1"/>
    <x v="0"/>
    <x v="1"/>
    <x v="1"/>
    <x v="12"/>
    <x v="0"/>
  </r>
  <r>
    <s v="TX502355"/>
    <x v="9"/>
    <x v="8"/>
    <n v="60.4"/>
    <n v="483.2"/>
    <x v="86"/>
    <d v="2025-03-30T00:00:00"/>
    <s v="F"/>
    <x v="3"/>
    <x v="2"/>
    <x v="0"/>
    <x v="2"/>
    <x v="1"/>
    <x v="12"/>
    <x v="2"/>
  </r>
  <r>
    <s v="TX502356"/>
    <x v="6"/>
    <x v="12"/>
    <n v="86"/>
    <n v="344"/>
    <x v="86"/>
    <d v="2025-03-31T00:00:00"/>
    <s v="F"/>
    <x v="2"/>
    <x v="2"/>
    <x v="0"/>
    <x v="22"/>
    <x v="2"/>
    <x v="12"/>
    <x v="2"/>
  </r>
  <r>
    <s v="TX502357"/>
    <x v="12"/>
    <x v="1"/>
    <n v="42.1"/>
    <n v="84.2"/>
    <x v="86"/>
    <d v="2025-03-29T00:00:00"/>
    <s v="F"/>
    <x v="4"/>
    <x v="1"/>
    <x v="0"/>
    <x v="34"/>
    <x v="3"/>
    <x v="12"/>
    <x v="2"/>
  </r>
  <r>
    <s v="TX502358"/>
    <x v="16"/>
    <x v="11"/>
    <n v="51.1"/>
    <n v="459.90000000000003"/>
    <x v="86"/>
    <d v="2025-03-29T00:00:00"/>
    <s v="M"/>
    <x v="2"/>
    <x v="1"/>
    <x v="0"/>
    <x v="3"/>
    <x v="3"/>
    <x v="12"/>
    <x v="1"/>
  </r>
  <r>
    <s v="TX502359"/>
    <x v="9"/>
    <x v="12"/>
    <n v="73.8"/>
    <n v="295.2"/>
    <x v="86"/>
    <d v="2025-03-29T00:00:00"/>
    <s v="M"/>
    <x v="4"/>
    <x v="0"/>
    <x v="0"/>
    <x v="3"/>
    <x v="3"/>
    <x v="12"/>
    <x v="1"/>
  </r>
  <r>
    <s v="TX502360"/>
    <x v="8"/>
    <x v="9"/>
    <n v="27"/>
    <n v="135"/>
    <x v="86"/>
    <d v="2025-03-31T00:00:00"/>
    <s v="F"/>
    <x v="2"/>
    <x v="2"/>
    <x v="0"/>
    <x v="3"/>
    <x v="2"/>
    <x v="12"/>
    <x v="2"/>
  </r>
  <r>
    <s v="TX502361"/>
    <x v="8"/>
    <x v="13"/>
    <n v="60.1"/>
    <n v="360.6"/>
    <x v="86"/>
    <d v="2025-03-29T00:00:00"/>
    <s v="M"/>
    <x v="3"/>
    <x v="0"/>
    <x v="0"/>
    <x v="3"/>
    <x v="3"/>
    <x v="12"/>
    <x v="1"/>
  </r>
  <r>
    <s v="TX502362"/>
    <x v="2"/>
    <x v="3"/>
    <n v="94.1"/>
    <n v="658.69999999999993"/>
    <x v="86"/>
    <d v="2025-03-30T00:00:00"/>
    <s v="F"/>
    <x v="4"/>
    <x v="1"/>
    <x v="0"/>
    <x v="3"/>
    <x v="1"/>
    <x v="12"/>
    <x v="2"/>
  </r>
  <r>
    <s v="TX502363"/>
    <x v="2"/>
    <x v="1"/>
    <n v="124.1"/>
    <n v="248.2"/>
    <x v="86"/>
    <d v="2025-03-28T00:00:00"/>
    <s v="F"/>
    <x v="2"/>
    <x v="3"/>
    <x v="0"/>
    <x v="43"/>
    <x v="7"/>
    <x v="12"/>
    <x v="2"/>
  </r>
  <r>
    <s v="TX502364"/>
    <x v="8"/>
    <x v="12"/>
    <n v="16.899999999999999"/>
    <n v="67.599999999999994"/>
    <x v="86"/>
    <d v="2025-03-31T00:00:00"/>
    <s v="M"/>
    <x v="3"/>
    <x v="0"/>
    <x v="0"/>
    <x v="6"/>
    <x v="2"/>
    <x v="12"/>
    <x v="1"/>
  </r>
  <r>
    <s v="TX502365"/>
    <x v="1"/>
    <x v="0"/>
    <n v="36.9"/>
    <n v="36.9"/>
    <x v="86"/>
    <d v="2025-03-29T00:00:00"/>
    <s v="M"/>
    <x v="0"/>
    <x v="0"/>
    <x v="0"/>
    <x v="6"/>
    <x v="3"/>
    <x v="12"/>
    <x v="1"/>
  </r>
  <r>
    <s v="TX502366"/>
    <x v="9"/>
    <x v="1"/>
    <n v="22.6"/>
    <n v="45.2"/>
    <x v="86"/>
    <d v="2025-04-10T00:00:00"/>
    <s v="F"/>
    <x v="2"/>
    <x v="1"/>
    <x v="0"/>
    <x v="8"/>
    <x v="10"/>
    <x v="12"/>
    <x v="2"/>
  </r>
  <r>
    <s v="TX502367"/>
    <x v="7"/>
    <x v="12"/>
    <n v="35"/>
    <n v="140"/>
    <x v="86"/>
    <d v="2025-04-02T00:00:00"/>
    <s v="M"/>
    <x v="3"/>
    <x v="1"/>
    <x v="0"/>
    <x v="8"/>
    <x v="0"/>
    <x v="12"/>
    <x v="1"/>
  </r>
  <r>
    <s v="TX502368"/>
    <x v="9"/>
    <x v="13"/>
    <n v="63.6"/>
    <n v="381.6"/>
    <x v="86"/>
    <d v="2025-04-04T00:00:00"/>
    <m/>
    <x v="1"/>
    <x v="2"/>
    <x v="0"/>
    <x v="8"/>
    <x v="6"/>
    <x v="12"/>
    <x v="0"/>
  </r>
  <r>
    <s v="TX502369"/>
    <x v="15"/>
    <x v="12"/>
    <n v="78.599999999999994"/>
    <n v="314.39999999999998"/>
    <x v="86"/>
    <d v="2025-03-29T00:00:00"/>
    <s v="M"/>
    <x v="4"/>
    <x v="1"/>
    <x v="0"/>
    <x v="8"/>
    <x v="3"/>
    <x v="12"/>
    <x v="1"/>
  </r>
  <r>
    <s v="TX502370"/>
    <x v="3"/>
    <x v="1"/>
    <n v="38.5"/>
    <n v="77"/>
    <x v="86"/>
    <d v="2025-03-29T00:00:00"/>
    <s v="M"/>
    <x v="0"/>
    <x v="2"/>
    <x v="0"/>
    <x v="8"/>
    <x v="3"/>
    <x v="12"/>
    <x v="1"/>
  </r>
  <r>
    <s v="TX502371"/>
    <x v="8"/>
    <x v="5"/>
    <n v="71.5"/>
    <n v="786.5"/>
    <x v="86"/>
    <d v="2025-03-29T00:00:00"/>
    <s v="F"/>
    <x v="1"/>
    <x v="4"/>
    <x v="0"/>
    <x v="8"/>
    <x v="3"/>
    <x v="12"/>
    <x v="2"/>
  </r>
  <r>
    <s v="TX502372"/>
    <x v="6"/>
    <x v="12"/>
    <n v="121.4"/>
    <n v="485.6"/>
    <x v="86"/>
    <d v="2025-04-01T00:00:00"/>
    <s v="M"/>
    <x v="1"/>
    <x v="2"/>
    <x v="0"/>
    <x v="17"/>
    <x v="5"/>
    <x v="12"/>
    <x v="1"/>
  </r>
  <r>
    <s v="TX502373"/>
    <x v="11"/>
    <x v="0"/>
    <n v="40.200000000000003"/>
    <n v="40.200000000000003"/>
    <x v="86"/>
    <d v="2025-03-31T00:00:00"/>
    <s v="F"/>
    <x v="0"/>
    <x v="2"/>
    <x v="0"/>
    <x v="11"/>
    <x v="2"/>
    <x v="12"/>
    <x v="2"/>
  </r>
  <r>
    <s v="TX502374"/>
    <x v="5"/>
    <x v="9"/>
    <n v="31.9"/>
    <n v="159.5"/>
    <x v="86"/>
    <d v="2025-03-30T00:00:00"/>
    <s v="F"/>
    <x v="2"/>
    <x v="2"/>
    <x v="0"/>
    <x v="28"/>
    <x v="1"/>
    <x v="12"/>
    <x v="2"/>
  </r>
  <r>
    <s v="TX502375"/>
    <x v="14"/>
    <x v="9"/>
    <n v="15.8"/>
    <n v="79"/>
    <x v="87"/>
    <d v="2025-03-30T00:00:00"/>
    <s v="M"/>
    <x v="3"/>
    <x v="2"/>
    <x v="0"/>
    <x v="21"/>
    <x v="3"/>
    <x v="12"/>
    <x v="1"/>
  </r>
  <r>
    <s v="TX502376"/>
    <x v="10"/>
    <x v="1"/>
    <n v="25.1"/>
    <n v="50.2"/>
    <x v="87"/>
    <d v="2025-03-31T00:00:00"/>
    <m/>
    <x v="1"/>
    <x v="0"/>
    <x v="0"/>
    <x v="21"/>
    <x v="1"/>
    <x v="12"/>
    <x v="0"/>
  </r>
  <r>
    <s v="TX502377"/>
    <x v="1"/>
    <x v="44"/>
    <n v="38.1"/>
    <n v="876.30000000000007"/>
    <x v="87"/>
    <d v="2025-03-30T00:00:00"/>
    <s v="F"/>
    <x v="4"/>
    <x v="0"/>
    <x v="0"/>
    <x v="1"/>
    <x v="3"/>
    <x v="12"/>
    <x v="2"/>
  </r>
  <r>
    <s v="TX502378"/>
    <x v="3"/>
    <x v="1"/>
    <n v="42.2"/>
    <n v="84.4"/>
    <x v="87"/>
    <d v="2025-03-31T00:00:00"/>
    <s v="F"/>
    <x v="0"/>
    <x v="2"/>
    <x v="0"/>
    <x v="1"/>
    <x v="1"/>
    <x v="12"/>
    <x v="2"/>
  </r>
  <r>
    <s v="TX502379"/>
    <x v="0"/>
    <x v="7"/>
    <n v="12.3"/>
    <n v="123"/>
    <x v="87"/>
    <d v="2025-03-30T00:00:00"/>
    <s v="F"/>
    <x v="4"/>
    <x v="0"/>
    <x v="0"/>
    <x v="2"/>
    <x v="3"/>
    <x v="12"/>
    <x v="2"/>
  </r>
  <r>
    <s v="TX502380"/>
    <x v="7"/>
    <x v="0"/>
    <n v="30.2"/>
    <n v="30.2"/>
    <x v="87"/>
    <d v="2025-03-31T00:00:00"/>
    <s v="F"/>
    <x v="1"/>
    <x v="2"/>
    <x v="0"/>
    <x v="34"/>
    <x v="1"/>
    <x v="12"/>
    <x v="2"/>
  </r>
  <r>
    <s v="TX502381"/>
    <x v="5"/>
    <x v="2"/>
    <n v="25.3"/>
    <n v="75.900000000000006"/>
    <x v="87"/>
    <d v="2025-04-01T00:00:00"/>
    <s v="F"/>
    <x v="2"/>
    <x v="0"/>
    <x v="0"/>
    <x v="3"/>
    <x v="2"/>
    <x v="12"/>
    <x v="2"/>
  </r>
  <r>
    <s v="TX502382"/>
    <x v="8"/>
    <x v="9"/>
    <n v="29.7"/>
    <n v="148.5"/>
    <x v="87"/>
    <d v="2025-03-31T00:00:00"/>
    <s v="M"/>
    <x v="3"/>
    <x v="0"/>
    <x v="0"/>
    <x v="3"/>
    <x v="1"/>
    <x v="12"/>
    <x v="1"/>
  </r>
  <r>
    <s v="TX502383"/>
    <x v="9"/>
    <x v="8"/>
    <n v="32.9"/>
    <n v="263.2"/>
    <x v="87"/>
    <d v="2025-03-30T00:00:00"/>
    <m/>
    <x v="3"/>
    <x v="2"/>
    <x v="0"/>
    <x v="3"/>
    <x v="3"/>
    <x v="12"/>
    <x v="0"/>
  </r>
  <r>
    <s v="TX502384"/>
    <x v="10"/>
    <x v="1"/>
    <n v="43.6"/>
    <n v="87.2"/>
    <x v="87"/>
    <d v="2025-03-30T00:00:00"/>
    <s v="M"/>
    <x v="1"/>
    <x v="2"/>
    <x v="0"/>
    <x v="3"/>
    <x v="3"/>
    <x v="12"/>
    <x v="1"/>
  </r>
  <r>
    <s v="TX502385"/>
    <x v="15"/>
    <x v="12"/>
    <n v="78.400000000000006"/>
    <n v="313.60000000000002"/>
    <x v="87"/>
    <d v="2025-03-30T00:00:00"/>
    <s v="M"/>
    <x v="2"/>
    <x v="0"/>
    <x v="0"/>
    <x v="3"/>
    <x v="3"/>
    <x v="12"/>
    <x v="1"/>
  </r>
  <r>
    <s v="TX502386"/>
    <x v="6"/>
    <x v="1"/>
    <n v="56.5"/>
    <n v="113"/>
    <x v="87"/>
    <d v="2025-04-02T00:00:00"/>
    <s v="M"/>
    <x v="1"/>
    <x v="1"/>
    <x v="0"/>
    <x v="3"/>
    <x v="5"/>
    <x v="12"/>
    <x v="1"/>
  </r>
  <r>
    <s v="TX502387"/>
    <x v="16"/>
    <x v="0"/>
    <n v="36.700000000000003"/>
    <n v="36.700000000000003"/>
    <x v="87"/>
    <d v="2025-03-30T00:00:00"/>
    <s v="F"/>
    <x v="0"/>
    <x v="2"/>
    <x v="0"/>
    <x v="3"/>
    <x v="3"/>
    <x v="12"/>
    <x v="2"/>
  </r>
  <r>
    <s v="TX502388"/>
    <x v="2"/>
    <x v="12"/>
    <n v="103.6"/>
    <n v="414.4"/>
    <x v="87"/>
    <d v="2025-04-09T00:00:00"/>
    <s v="M"/>
    <x v="4"/>
    <x v="2"/>
    <x v="0"/>
    <x v="3"/>
    <x v="11"/>
    <x v="12"/>
    <x v="1"/>
  </r>
  <r>
    <s v="TX502389"/>
    <x v="8"/>
    <x v="13"/>
    <n v="16.2"/>
    <n v="97.199999999999989"/>
    <x v="87"/>
    <d v="2025-04-02T00:00:00"/>
    <s v="M"/>
    <x v="1"/>
    <x v="2"/>
    <x v="0"/>
    <x v="6"/>
    <x v="5"/>
    <x v="12"/>
    <x v="1"/>
  </r>
  <r>
    <s v="TX502390"/>
    <x v="8"/>
    <x v="1"/>
    <n v="20.2"/>
    <n v="40.4"/>
    <x v="87"/>
    <d v="2025-03-30T00:00:00"/>
    <s v="F"/>
    <x v="0"/>
    <x v="0"/>
    <x v="0"/>
    <x v="6"/>
    <x v="3"/>
    <x v="12"/>
    <x v="2"/>
  </r>
  <r>
    <s v="TX502391"/>
    <x v="11"/>
    <x v="1"/>
    <n v="26.9"/>
    <n v="53.8"/>
    <x v="87"/>
    <d v="2025-03-31T00:00:00"/>
    <s v="F"/>
    <x v="2"/>
    <x v="0"/>
    <x v="0"/>
    <x v="6"/>
    <x v="1"/>
    <x v="12"/>
    <x v="2"/>
  </r>
  <r>
    <s v="TX502392"/>
    <x v="1"/>
    <x v="1"/>
    <n v="82.4"/>
    <n v="164.8"/>
    <x v="87"/>
    <d v="2025-04-01T00:00:00"/>
    <m/>
    <x v="0"/>
    <x v="0"/>
    <x v="0"/>
    <x v="7"/>
    <x v="2"/>
    <x v="12"/>
    <x v="0"/>
  </r>
  <r>
    <s v="TX502393"/>
    <x v="2"/>
    <x v="1"/>
    <n v="117.8"/>
    <n v="235.6"/>
    <x v="87"/>
    <d v="2025-03-31T00:00:00"/>
    <s v="M"/>
    <x v="1"/>
    <x v="2"/>
    <x v="0"/>
    <x v="8"/>
    <x v="1"/>
    <x v="12"/>
    <x v="1"/>
  </r>
  <r>
    <s v="TX502394"/>
    <x v="11"/>
    <x v="12"/>
    <n v="36.700000000000003"/>
    <n v="146.80000000000001"/>
    <x v="87"/>
    <d v="2025-03-30T00:00:00"/>
    <s v="M"/>
    <x v="1"/>
    <x v="0"/>
    <x v="0"/>
    <x v="8"/>
    <x v="3"/>
    <x v="12"/>
    <x v="1"/>
  </r>
  <r>
    <s v="TX502395"/>
    <x v="17"/>
    <x v="2"/>
    <n v="46.8"/>
    <n v="140.39999999999998"/>
    <x v="87"/>
    <d v="2025-03-30T00:00:00"/>
    <s v="M"/>
    <x v="4"/>
    <x v="2"/>
    <x v="0"/>
    <x v="10"/>
    <x v="3"/>
    <x v="12"/>
    <x v="1"/>
  </r>
  <r>
    <s v="TX502396"/>
    <x v="3"/>
    <x v="0"/>
    <n v="61.4"/>
    <n v="61.4"/>
    <x v="87"/>
    <d v="2025-03-30T00:00:00"/>
    <s v="M"/>
    <x v="1"/>
    <x v="0"/>
    <x v="0"/>
    <x v="10"/>
    <x v="3"/>
    <x v="12"/>
    <x v="1"/>
  </r>
  <r>
    <s v="TX502397"/>
    <x v="15"/>
    <x v="1"/>
    <n v="22.9"/>
    <n v="45.8"/>
    <x v="87"/>
    <d v="2025-03-30T00:00:00"/>
    <s v="M"/>
    <x v="0"/>
    <x v="0"/>
    <x v="0"/>
    <x v="11"/>
    <x v="3"/>
    <x v="12"/>
    <x v="1"/>
  </r>
  <r>
    <s v="TX502398"/>
    <x v="10"/>
    <x v="1"/>
    <n v="22.1"/>
    <n v="44.2"/>
    <x v="87"/>
    <d v="2025-03-30T00:00:00"/>
    <s v="F"/>
    <x v="4"/>
    <x v="0"/>
    <x v="0"/>
    <x v="11"/>
    <x v="3"/>
    <x v="12"/>
    <x v="2"/>
  </r>
  <r>
    <s v="TX502399"/>
    <x v="12"/>
    <x v="1"/>
    <n v="31"/>
    <n v="62"/>
    <x v="87"/>
    <d v="2025-03-31T00:00:00"/>
    <s v="F"/>
    <x v="2"/>
    <x v="0"/>
    <x v="0"/>
    <x v="18"/>
    <x v="1"/>
    <x v="12"/>
    <x v="2"/>
  </r>
  <r>
    <s v="TX502400"/>
    <x v="18"/>
    <x v="1"/>
    <n v="84.2"/>
    <n v="168.4"/>
    <x v="87"/>
    <d v="2025-03-31T00:00:00"/>
    <s v="M"/>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C55A69-349C-43AE-95DC-75B3DB2AAA6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4FFDBC-3543-4C46-B477-2732097B6F9A}" name="Sum of Q &amp; A by Weeknu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1:C25"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formats count="2">
    <format dxfId="3">
      <pivotArea collapsedLevelsAreSubtotals="1" fieldPosition="0">
        <references count="2">
          <reference field="4294967294" count="1" selected="0">
            <x v="1"/>
          </reference>
          <reference field="13" count="1">
            <x v="0"/>
          </reference>
        </references>
      </pivotArea>
    </format>
    <format dxfId="2">
      <pivotArea outline="0" collapsedLevelsAreSubtotals="1" fieldPosition="0">
        <references count="1">
          <reference field="4294967294" count="1" selected="0">
            <x v="1"/>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C2F767-953D-432A-B375-3479D805F99B}" name="App by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7276AB-44D5-47E8-B1E8-9BC5AC95ACF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2C30F2-0908-42AB-A6A7-17EAA3B00278}" name="Q &amp; A by Stat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31:D89"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sortType="descending" defaultSubtotal="0">
      <items count="20">
        <item x="14"/>
        <item x="10"/>
        <item x="12"/>
        <item x="15"/>
        <item x="4"/>
        <item x="7"/>
        <item x="6"/>
        <item x="19"/>
        <item x="18"/>
        <item x="11"/>
        <item x="17"/>
        <item x="5"/>
        <item x="0"/>
        <item x="2"/>
        <item x="9"/>
        <item x="16"/>
        <item x="1"/>
        <item x="13"/>
        <item x="8"/>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9FBC8B-407F-4276-818B-E56884E0792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3:L8"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8">
    <chartFormat chart="4" format="0" series="1">
      <pivotArea type="data" outline="0" fieldPosition="0">
        <references count="2">
          <reference field="4294967294" count="1" selected="0">
            <x v="0"/>
          </reference>
          <reference field="14" count="1" selected="0">
            <x v="0"/>
          </reference>
        </references>
      </pivotArea>
    </chartFormat>
    <chartFormat chart="4" format="1" series="1">
      <pivotArea type="data" outline="0" fieldPosition="0">
        <references count="2">
          <reference field="4294967294" count="1" selected="0">
            <x v="0"/>
          </reference>
          <reference field="14" count="1" selected="0">
            <x v="1"/>
          </reference>
        </references>
      </pivotArea>
    </chartFormat>
    <chartFormat chart="4" format="2" series="1">
      <pivotArea type="data" outline="0" fieldPosition="0">
        <references count="2">
          <reference field="4294967294" count="1" selected="0">
            <x v="0"/>
          </reference>
          <reference field="14" count="1" selected="0">
            <x v="2"/>
          </reference>
        </references>
      </pivotArea>
    </chartFormat>
    <chartFormat chart="4" format="3" series="1">
      <pivotArea type="data" outline="0" fieldPosition="0">
        <references count="2">
          <reference field="4294967294" count="1" selected="0">
            <x v="0"/>
          </reference>
          <reference field="14" count="1" selected="0">
            <x v="3"/>
          </reference>
        </references>
      </pivotArea>
    </chartFormat>
    <chartFormat chart="6" format="8" series="1">
      <pivotArea type="data" outline="0" fieldPosition="0">
        <references count="2">
          <reference field="4294967294" count="1" selected="0">
            <x v="0"/>
          </reference>
          <reference field="14" count="1" selected="0">
            <x v="0"/>
          </reference>
        </references>
      </pivotArea>
    </chartFormat>
    <chartFormat chart="6" format="9" series="1">
      <pivotArea type="data" outline="0" fieldPosition="0">
        <references count="2">
          <reference field="4294967294" count="1" selected="0">
            <x v="0"/>
          </reference>
          <reference field="14" count="1" selected="0">
            <x v="1"/>
          </reference>
        </references>
      </pivotArea>
    </chartFormat>
    <chartFormat chart="6" format="10" series="1">
      <pivotArea type="data" outline="0" fieldPosition="0">
        <references count="2">
          <reference field="4294967294" count="1" selected="0">
            <x v="0"/>
          </reference>
          <reference field="14" count="1" selected="0">
            <x v="2"/>
          </reference>
        </references>
      </pivotArea>
    </chartFormat>
    <chartFormat chart="6" format="11" series="1">
      <pivotArea type="data" outline="0" fieldPosition="0">
        <references count="2">
          <reference field="4294967294" count="1" selected="0">
            <x v="0"/>
          </reference>
          <reference field="14" count="1" selected="0">
            <x v="3"/>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4" count="1" selected="0">
            <x v="0"/>
          </reference>
        </references>
      </pivotArea>
    </chartFormat>
    <chartFormat chart="10" format="2">
      <pivotArea type="data" outline="0" fieldPosition="0">
        <references count="2">
          <reference field="4294967294" count="1" selected="0">
            <x v="0"/>
          </reference>
          <reference field="14" count="1" selected="0">
            <x v="3"/>
          </reference>
        </references>
      </pivotArea>
    </chartFormat>
    <chartFormat chart="10" format="3">
      <pivotArea type="data" outline="0" fieldPosition="0">
        <references count="2">
          <reference field="4294967294" count="1" selected="0">
            <x v="0"/>
          </reference>
          <reference field="14" count="1" selected="0">
            <x v="2"/>
          </reference>
        </references>
      </pivotArea>
    </chartFormat>
    <chartFormat chart="10" format="4">
      <pivotArea type="data" outline="0" fieldPosition="0">
        <references count="2">
          <reference field="4294967294" count="1" selected="0">
            <x v="0"/>
          </reference>
          <reference field="14" count="1" selected="0">
            <x v="1"/>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14" count="1" selected="0">
            <x v="0"/>
          </reference>
        </references>
      </pivotArea>
    </chartFormat>
    <chartFormat chart="12" format="12">
      <pivotArea type="data" outline="0" fieldPosition="0">
        <references count="2">
          <reference field="4294967294" count="1" selected="0">
            <x v="0"/>
          </reference>
          <reference field="14" count="1" selected="0">
            <x v="1"/>
          </reference>
        </references>
      </pivotArea>
    </chartFormat>
    <chartFormat chart="12" format="13">
      <pivotArea type="data" outline="0" fieldPosition="0">
        <references count="2">
          <reference field="4294967294" count="1" selected="0">
            <x v="0"/>
          </reference>
          <reference field="14" count="1" selected="0">
            <x v="2"/>
          </reference>
        </references>
      </pivotArea>
    </chartFormat>
    <chartFormat chart="12" format="1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BE400B-212D-4396-A0C3-3CA2FBC280D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6" format="8" series="1">
      <pivotArea type="data" outline="0" fieldPosition="0">
        <references count="2">
          <reference field="4294967294" count="1" selected="0">
            <x v="0"/>
          </reference>
          <reference field="14" count="1" selected="0">
            <x v="0"/>
          </reference>
        </references>
      </pivotArea>
    </chartFormat>
    <chartFormat chart="6" format="9" series="1">
      <pivotArea type="data" outline="0" fieldPosition="0">
        <references count="2">
          <reference field="4294967294" count="1" selected="0">
            <x v="0"/>
          </reference>
          <reference field="14" count="1" selected="0">
            <x v="1"/>
          </reference>
        </references>
      </pivotArea>
    </chartFormat>
    <chartFormat chart="6" format="10" series="1">
      <pivotArea type="data" outline="0" fieldPosition="0">
        <references count="2">
          <reference field="4294967294" count="1" selected="0">
            <x v="0"/>
          </reference>
          <reference field="14" count="1" selected="0">
            <x v="2"/>
          </reference>
        </references>
      </pivotArea>
    </chartFormat>
    <chartFormat chart="6"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87991D-45B4-46E3-980F-764A32FD0A0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items count="6">
        <item x="3"/>
        <item x="4"/>
        <item x="1"/>
        <item x="0"/>
        <item x="2"/>
        <item t="default"/>
      </items>
    </pivotField>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3">
    <chartFormat chart="6" format="3"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3666CA-9CF8-420E-8CC9-510FE9D21A5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3:L8"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3">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8" series="1">
      <pivotArea type="data" outline="0" fieldPosition="0">
        <references count="2">
          <reference field="4294967294" count="1" selected="0">
            <x v="0"/>
          </reference>
          <reference field="9" count="1" selected="0">
            <x v="0"/>
          </reference>
        </references>
      </pivotArea>
    </chartFormat>
    <chartFormat chart="9" format="9" series="1">
      <pivotArea type="data" outline="0" fieldPosition="0">
        <references count="2">
          <reference field="4294967294" count="1" selected="0">
            <x v="0"/>
          </reference>
          <reference field="9" count="1" selected="0">
            <x v="1"/>
          </reference>
        </references>
      </pivotArea>
    </chartFormat>
    <chartFormat chart="9" format="10" series="1">
      <pivotArea type="data" outline="0" fieldPosition="0">
        <references count="2">
          <reference field="4294967294" count="1" selected="0">
            <x v="0"/>
          </reference>
          <reference field="9" count="1" selected="0">
            <x v="2"/>
          </reference>
        </references>
      </pivotArea>
    </chartFormat>
    <chartFormat chart="9" format="11" series="1">
      <pivotArea type="data" outline="0" fieldPosition="0">
        <references count="2">
          <reference field="4294967294" count="1" selected="0">
            <x v="0"/>
          </reference>
          <reference field="9" count="1" selected="0">
            <x v="3"/>
          </reference>
        </references>
      </pivotArea>
    </chartFormat>
    <chartFormat chart="9" format="12" series="1">
      <pivotArea type="data" outline="0" fieldPosition="0">
        <references count="2">
          <reference field="4294967294" count="1" selected="0">
            <x v="0"/>
          </reference>
          <reference field="9" count="1" selected="0">
            <x v="4"/>
          </reference>
        </references>
      </pivotArea>
    </chartFormat>
    <chartFormat chart="10" format="13" series="1">
      <pivotArea type="data" outline="0" fieldPosition="0">
        <references count="2">
          <reference field="4294967294" count="1" selected="0">
            <x v="0"/>
          </reference>
          <reference field="9" count="1" selected="0">
            <x v="0"/>
          </reference>
        </references>
      </pivotArea>
    </chartFormat>
    <chartFormat chart="10" format="14" series="1">
      <pivotArea type="data" outline="0" fieldPosition="0">
        <references count="2">
          <reference field="4294967294" count="1" selected="0">
            <x v="0"/>
          </reference>
          <reference field="9" count="1" selected="0">
            <x v="1"/>
          </reference>
        </references>
      </pivotArea>
    </chartFormat>
    <chartFormat chart="10" format="15" series="1">
      <pivotArea type="data" outline="0" fieldPosition="0">
        <references count="2">
          <reference field="4294967294" count="1" selected="0">
            <x v="0"/>
          </reference>
          <reference field="9" count="1" selected="0">
            <x v="2"/>
          </reference>
        </references>
      </pivotArea>
    </chartFormat>
    <chartFormat chart="10" format="16" series="1">
      <pivotArea type="data" outline="0" fieldPosition="0">
        <references count="2">
          <reference field="4294967294" count="1" selected="0">
            <x v="0"/>
          </reference>
          <reference field="9" count="1" selected="0">
            <x v="3"/>
          </reference>
        </references>
      </pivotArea>
    </chartFormat>
    <chartFormat chart="10"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025C231F-4EE6-4AD6-BAFF-1C92D6305FDB}" sourceName="Order Mode">
  <pivotTables>
    <pivotTable tabId="13" name="PivotTable2"/>
    <pivotTable tabId="6" name="PivotTable2"/>
    <pivotTable tabId="6" name="Sum of Q &amp; A by Weeknum"/>
    <pivotTable tabId="9" name="PivotTable1"/>
    <pivotTable tabId="13" name="PivotTable1"/>
    <pivotTable tabId="11" name="PivotTable3"/>
    <pivotTable tabId="11" name="Q &amp; A by State"/>
    <pivotTable tabId="11" name="PivotTable4"/>
  </pivotTables>
  <data>
    <tabular pivotCacheId="1180447103">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CA28309A-C9CC-433C-BFC9-455B14AAA63E}" sourceName="Gender Value">
  <pivotTables>
    <pivotTable tabId="6" name="PivotTable2"/>
    <pivotTable tabId="6" name="Sum of Q &amp; A by Weeknum"/>
    <pivotTable tabId="11" name="Q &amp; A by State"/>
    <pivotTable tabId="9" name="PivotTable1"/>
    <pivotTable tabId="13" name="PivotTable1"/>
    <pivotTable tabId="13" name="PivotTable2"/>
  </pivotTables>
  <data>
    <tabular pivotCacheId="1180447103">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E1E679C1-3A76-45D7-B76E-86F21802FB4F}" cache="Slicer_Order_Mode" caption="Order Mode" rowHeight="247650"/>
  <slicer name="Gender Value" xr10:uid="{1CE96891-0652-4262-A17D-0BB496FE025F}"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F95022-BD2C-45B3-8A4F-E0DCE13123BD}" name="Table2" displayName="Table2" ref="G31:I89" totalsRowShown="0">
  <tableColumns count="3">
    <tableColumn id="1" xr3:uid="{E21CABE5-D39E-4AE8-B11B-F37A5D8D0157}" name="State" dataDxfId="1">
      <calculatedColumnFormula>IF(A32="","",A32)</calculatedColumnFormula>
    </tableColumn>
    <tableColumn id="2" xr3:uid="{CEB58F80-32DC-4078-B911-1D3BB0199483}" name="County">
      <calculatedColumnFormula>B32</calculatedColumnFormula>
    </tableColumn>
    <tableColumn id="3" xr3:uid="{AFF7149B-9378-46ED-B5E4-E4A23330061A}" name="Qty">
      <calculatedColumnFormula>C32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0D8CFC-B05C-4774-87E2-9C5E288779CD}" name="Table3" displayName="Table3" ref="G91:H97" totalsRowShown="0" headerRowDxfId="0">
  <tableColumns count="2">
    <tableColumn id="1" xr3:uid="{72340FEB-B7F3-43D2-9A01-930E95C53568}" name="Country"/>
    <tableColumn id="2" xr3:uid="{4240073D-E736-4A99-9DFF-79103DA25B0A}" name="Sta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8"/>
    <tableColumn id="7" xr3:uid="{43BB5DBF-46E1-4185-80C0-4361F55A385C}" name="Ship Date" dataDxfId="7"/>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6">
      <calculatedColumnFormula>orders[[#This Row],[Ship Date]]-orders[[#This Row],[Order Date]]</calculatedColumnFormula>
    </tableColumn>
    <tableColumn id="12" xr3:uid="{B071C0DA-87A9-4516-B4D9-4F5B7D3FF44A}" name="Weeknum" dataDxfId="5">
      <calculatedColumnFormula>WEEKNUM(orders[[#This Row],[Order Date]])</calculatedColumnFormula>
    </tableColumn>
    <tableColumn id="13" xr3:uid="{B8EA9E28-7541-4E76-9935-C26438661A18}" name="Gender Value" dataDxfId="4">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936AB-259D-42A8-801C-71384AA967DC}">
  <dimension ref="A2:K25"/>
  <sheetViews>
    <sheetView tabSelected="1" workbookViewId="0">
      <selection activeCell="B12" sqref="B12"/>
    </sheetView>
  </sheetViews>
  <sheetFormatPr defaultRowHeight="14.4" x14ac:dyDescent="0.3"/>
  <cols>
    <col min="1" max="1" width="12.44140625" bestFit="1" customWidth="1"/>
    <col min="2" max="2" width="14.21875" bestFit="1" customWidth="1"/>
    <col min="3" max="3" width="13.5546875" bestFit="1" customWidth="1"/>
    <col min="4" max="4" width="16.6640625" bestFit="1" customWidth="1"/>
    <col min="5" max="5" width="22.33203125" bestFit="1" customWidth="1"/>
    <col min="10" max="10" width="10.5546875" customWidth="1"/>
    <col min="11" max="11" width="9.88671875" customWidth="1"/>
  </cols>
  <sheetData>
    <row r="2" spans="1:11" x14ac:dyDescent="0.3">
      <c r="G2" s="13" t="s">
        <v>2523</v>
      </c>
      <c r="H2" s="13"/>
    </row>
    <row r="3" spans="1:11" x14ac:dyDescent="0.3">
      <c r="A3" t="s">
        <v>2518</v>
      </c>
      <c r="B3" t="s">
        <v>2519</v>
      </c>
      <c r="C3" t="s">
        <v>2520</v>
      </c>
      <c r="D3" t="s">
        <v>2521</v>
      </c>
      <c r="E3" t="s">
        <v>2522</v>
      </c>
      <c r="G3" t="s">
        <v>2517</v>
      </c>
      <c r="H3" t="s">
        <v>2524</v>
      </c>
      <c r="I3" t="s">
        <v>4</v>
      </c>
      <c r="J3" t="s">
        <v>2506</v>
      </c>
      <c r="K3" t="s">
        <v>2525</v>
      </c>
    </row>
    <row r="4" spans="1:11" x14ac:dyDescent="0.3">
      <c r="A4">
        <v>2400</v>
      </c>
      <c r="B4">
        <v>11997</v>
      </c>
      <c r="C4">
        <v>649019.80000000144</v>
      </c>
      <c r="D4">
        <v>3.9620833333333332</v>
      </c>
      <c r="E4">
        <v>2.3424999999999998</v>
      </c>
      <c r="G4" t="str">
        <f>TEXT(A4,"#,##")</f>
        <v>2,400</v>
      </c>
      <c r="H4" t="str">
        <f t="shared" ref="H4" si="0">TEXT(B4,"#,##")</f>
        <v>11,997</v>
      </c>
      <c r="I4" t="str">
        <f>TEXT(C4,"$#,##,.0k")</f>
        <v>$649.0k</v>
      </c>
      <c r="J4" t="str">
        <f>TEXT(D4,"0.0")</f>
        <v>4.0</v>
      </c>
      <c r="K4" t="str">
        <f>TEXT(E4,"0.0")</f>
        <v>2.3</v>
      </c>
    </row>
    <row r="9" spans="1:11" x14ac:dyDescent="0.3">
      <c r="A9" t="s">
        <v>2526</v>
      </c>
    </row>
    <row r="11" spans="1:11" x14ac:dyDescent="0.3">
      <c r="A11" s="5" t="s">
        <v>2527</v>
      </c>
      <c r="B11" t="s">
        <v>2519</v>
      </c>
      <c r="C11" t="s">
        <v>2520</v>
      </c>
    </row>
    <row r="12" spans="1:11" x14ac:dyDescent="0.3">
      <c r="A12" s="6">
        <v>1</v>
      </c>
      <c r="B12">
        <v>546</v>
      </c>
      <c r="C12" s="7">
        <v>32413.300000000003</v>
      </c>
    </row>
    <row r="13" spans="1:11" x14ac:dyDescent="0.3">
      <c r="A13" s="6">
        <v>2</v>
      </c>
      <c r="B13">
        <v>905</v>
      </c>
      <c r="C13" s="7">
        <v>49562.999999999993</v>
      </c>
    </row>
    <row r="14" spans="1:11" x14ac:dyDescent="0.3">
      <c r="A14" s="6">
        <v>3</v>
      </c>
      <c r="B14">
        <v>796</v>
      </c>
      <c r="C14" s="7">
        <v>41700.400000000016</v>
      </c>
    </row>
    <row r="15" spans="1:11" x14ac:dyDescent="0.3">
      <c r="A15" s="6">
        <v>4</v>
      </c>
      <c r="B15">
        <v>913</v>
      </c>
      <c r="C15" s="7">
        <v>46782.599999999984</v>
      </c>
    </row>
    <row r="16" spans="1:11" x14ac:dyDescent="0.3">
      <c r="A16" s="6">
        <v>5</v>
      </c>
      <c r="B16">
        <v>844</v>
      </c>
      <c r="C16" s="7">
        <v>42676.100000000006</v>
      </c>
    </row>
    <row r="17" spans="1:3" x14ac:dyDescent="0.3">
      <c r="A17" s="6">
        <v>6</v>
      </c>
      <c r="B17">
        <v>1202</v>
      </c>
      <c r="C17" s="7">
        <v>62910.7</v>
      </c>
    </row>
    <row r="18" spans="1:3" x14ac:dyDescent="0.3">
      <c r="A18" s="6">
        <v>7</v>
      </c>
      <c r="B18">
        <v>935</v>
      </c>
      <c r="C18" s="7">
        <v>50332.200000000004</v>
      </c>
    </row>
    <row r="19" spans="1:3" x14ac:dyDescent="0.3">
      <c r="A19" s="6">
        <v>8</v>
      </c>
      <c r="B19">
        <v>1128</v>
      </c>
      <c r="C19" s="7">
        <v>58760.599999999977</v>
      </c>
    </row>
    <row r="20" spans="1:3" x14ac:dyDescent="0.3">
      <c r="A20" s="6">
        <v>9</v>
      </c>
      <c r="B20">
        <v>1007</v>
      </c>
      <c r="C20" s="7">
        <v>52017.299999999996</v>
      </c>
    </row>
    <row r="21" spans="1:3" x14ac:dyDescent="0.3">
      <c r="A21" s="6">
        <v>10</v>
      </c>
      <c r="B21">
        <v>1128</v>
      </c>
      <c r="C21" s="7">
        <v>64915.700000000033</v>
      </c>
    </row>
    <row r="22" spans="1:3" x14ac:dyDescent="0.3">
      <c r="A22" s="6">
        <v>11</v>
      </c>
      <c r="B22">
        <v>861</v>
      </c>
      <c r="C22" s="7">
        <v>45943.80000000001</v>
      </c>
    </row>
    <row r="23" spans="1:3" x14ac:dyDescent="0.3">
      <c r="A23" s="6">
        <v>12</v>
      </c>
      <c r="B23">
        <v>944</v>
      </c>
      <c r="C23" s="7">
        <v>55077.900000000031</v>
      </c>
    </row>
    <row r="24" spans="1:3" x14ac:dyDescent="0.3">
      <c r="A24" s="6">
        <v>13</v>
      </c>
      <c r="B24">
        <v>788</v>
      </c>
      <c r="C24" s="7">
        <v>45926.19999999999</v>
      </c>
    </row>
    <row r="25" spans="1:3" x14ac:dyDescent="0.3">
      <c r="A25" s="6" t="s">
        <v>2528</v>
      </c>
      <c r="B25">
        <v>11997</v>
      </c>
      <c r="C25" s="7">
        <v>649019.79999999993</v>
      </c>
    </row>
  </sheetData>
  <mergeCells count="1">
    <mergeCell ref="G2:H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3A2ED-774B-4169-A674-B31AD92358B6}">
  <dimension ref="A2:L10"/>
  <sheetViews>
    <sheetView showGridLines="0" workbookViewId="0">
      <selection activeCell="C5" sqref="C5"/>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0.5546875" customWidth="1"/>
  </cols>
  <sheetData>
    <row r="2" spans="1:12" x14ac:dyDescent="0.3">
      <c r="H2" t="s">
        <v>2534</v>
      </c>
    </row>
    <row r="3" spans="1:12" ht="15" thickBot="1" x14ac:dyDescent="0.35">
      <c r="A3" s="5" t="s">
        <v>2520</v>
      </c>
      <c r="B3" s="5" t="s">
        <v>2529</v>
      </c>
    </row>
    <row r="4" spans="1:12" ht="20.399999999999999" customHeight="1" thickTop="1" thickBot="1" x14ac:dyDescent="0.35">
      <c r="A4" s="5" t="s">
        <v>2527</v>
      </c>
      <c r="B4" t="s">
        <v>2530</v>
      </c>
      <c r="C4" t="s">
        <v>2531</v>
      </c>
      <c r="D4" t="s">
        <v>2532</v>
      </c>
      <c r="E4" t="s">
        <v>2533</v>
      </c>
      <c r="F4" t="s">
        <v>2528</v>
      </c>
      <c r="H4" s="9"/>
      <c r="I4" s="10" t="s">
        <v>2535</v>
      </c>
      <c r="J4" s="10" t="s">
        <v>2536</v>
      </c>
      <c r="K4" s="10" t="s">
        <v>2537</v>
      </c>
      <c r="L4" s="10" t="s">
        <v>2538</v>
      </c>
    </row>
    <row r="5" spans="1:12" ht="20.399999999999999" customHeight="1" thickTop="1" thickBot="1" x14ac:dyDescent="0.35">
      <c r="A5" s="6" t="s">
        <v>17</v>
      </c>
      <c r="B5" s="8">
        <v>0.18961825201634841</v>
      </c>
      <c r="C5" s="8">
        <v>0.12262322351336576</v>
      </c>
      <c r="D5" s="8">
        <v>1.060537752469185E-2</v>
      </c>
      <c r="E5" s="8">
        <v>3.0599220547662797E-2</v>
      </c>
      <c r="F5" s="8">
        <v>0.35344607360206881</v>
      </c>
      <c r="H5" s="9" t="str">
        <f>A5</f>
        <v>App</v>
      </c>
      <c r="I5" s="11">
        <f t="shared" ref="I5:L9" si="0">B5</f>
        <v>0.18961825201634841</v>
      </c>
      <c r="J5" s="11">
        <f t="shared" si="0"/>
        <v>0.12262322351336576</v>
      </c>
      <c r="K5" s="11">
        <f t="shared" si="0"/>
        <v>1.060537752469185E-2</v>
      </c>
      <c r="L5" s="11">
        <f t="shared" si="0"/>
        <v>3.0599220547662797E-2</v>
      </c>
    </row>
    <row r="6" spans="1:12" ht="20.399999999999999" customHeight="1" thickTop="1" thickBot="1" x14ac:dyDescent="0.35">
      <c r="A6" s="6" t="s">
        <v>50</v>
      </c>
      <c r="B6" s="8">
        <v>5.0283982091147303E-2</v>
      </c>
      <c r="C6" s="8">
        <v>4.3060781812819873E-2</v>
      </c>
      <c r="D6" s="8">
        <v>1.5320025675641944E-3</v>
      </c>
      <c r="E6" s="8">
        <v>1.7794988689097006E-2</v>
      </c>
      <c r="F6" s="8">
        <v>0.11267175516062837</v>
      </c>
      <c r="H6" s="9" t="str">
        <f t="shared" ref="H6:H9" si="1">A6</f>
        <v>Instagram</v>
      </c>
      <c r="I6" s="11">
        <f t="shared" si="0"/>
        <v>5.0283982091147303E-2</v>
      </c>
      <c r="J6" s="11">
        <f t="shared" si="0"/>
        <v>4.3060781812819873E-2</v>
      </c>
      <c r="K6" s="11">
        <f t="shared" si="0"/>
        <v>1.5320025675641944E-3</v>
      </c>
      <c r="L6" s="11">
        <f t="shared" si="0"/>
        <v>1.7794988689097006E-2</v>
      </c>
    </row>
    <row r="7" spans="1:12" ht="20.399999999999999" customHeight="1" thickTop="1" thickBot="1" x14ac:dyDescent="0.35">
      <c r="A7" s="6" t="s">
        <v>69</v>
      </c>
      <c r="B7" s="8">
        <v>6.3496059750411282E-2</v>
      </c>
      <c r="C7" s="8">
        <v>4.6071629863988765E-2</v>
      </c>
      <c r="D7" s="8">
        <v>2.306247051322625E-3</v>
      </c>
      <c r="E7" s="8">
        <v>3.8927934093844286E-3</v>
      </c>
      <c r="F7" s="8">
        <v>0.11576673007510711</v>
      </c>
      <c r="H7" s="9" t="str">
        <f t="shared" si="1"/>
        <v>Partner App</v>
      </c>
      <c r="I7" s="11">
        <f t="shared" si="0"/>
        <v>6.3496059750411282E-2</v>
      </c>
      <c r="J7" s="11">
        <f t="shared" si="0"/>
        <v>4.6071629863988765E-2</v>
      </c>
      <c r="K7" s="11">
        <f t="shared" si="0"/>
        <v>2.306247051322625E-3</v>
      </c>
      <c r="L7" s="11">
        <f t="shared" si="0"/>
        <v>3.8927934093844286E-3</v>
      </c>
    </row>
    <row r="8" spans="1:12" ht="20.399999999999999" customHeight="1" thickTop="1" thickBot="1" x14ac:dyDescent="0.35">
      <c r="A8" s="6" t="s">
        <v>39</v>
      </c>
      <c r="B8" s="8">
        <v>9.6337892927149532E-2</v>
      </c>
      <c r="C8" s="8">
        <v>6.7920115842382611E-2</v>
      </c>
      <c r="D8" s="8">
        <v>5.4979832664581261E-3</v>
      </c>
      <c r="E8" s="8">
        <v>1.2933041488102518E-2</v>
      </c>
      <c r="F8" s="8">
        <v>0.1826890335240928</v>
      </c>
      <c r="H8" s="9" t="str">
        <f t="shared" si="1"/>
        <v>Target.com</v>
      </c>
      <c r="I8" s="11">
        <f t="shared" si="0"/>
        <v>9.6337892927149532E-2</v>
      </c>
      <c r="J8" s="11">
        <f t="shared" si="0"/>
        <v>6.7920115842382611E-2</v>
      </c>
      <c r="K8" s="11">
        <f t="shared" si="0"/>
        <v>5.4979832664581261E-3</v>
      </c>
      <c r="L8" s="11">
        <f t="shared" si="0"/>
        <v>1.2933041488102518E-2</v>
      </c>
    </row>
    <row r="9" spans="1:12" ht="20.399999999999999" customHeight="1" thickTop="1" thickBot="1" x14ac:dyDescent="0.35">
      <c r="A9" s="6" t="s">
        <v>34</v>
      </c>
      <c r="B9" s="8">
        <v>0.12522098709469262</v>
      </c>
      <c r="C9" s="8">
        <v>9.1492740283116228E-2</v>
      </c>
      <c r="D9" s="8">
        <v>6.3042760790965081E-3</v>
      </c>
      <c r="E9" s="8">
        <v>1.2408404181197551E-2</v>
      </c>
      <c r="F9" s="8">
        <v>0.23542640763810288</v>
      </c>
      <c r="H9" s="9" t="str">
        <f t="shared" si="1"/>
        <v>Website</v>
      </c>
      <c r="I9" s="11">
        <f t="shared" si="0"/>
        <v>0.12522098709469262</v>
      </c>
      <c r="J9" s="11">
        <f t="shared" si="0"/>
        <v>9.1492740283116228E-2</v>
      </c>
      <c r="K9" s="11">
        <f t="shared" si="0"/>
        <v>6.3042760790965081E-3</v>
      </c>
      <c r="L9" s="11">
        <f t="shared" si="0"/>
        <v>1.2408404181197551E-2</v>
      </c>
    </row>
    <row r="10" spans="1:12" ht="15" thickTop="1" x14ac:dyDescent="0.3">
      <c r="A10" s="6" t="s">
        <v>2528</v>
      </c>
      <c r="B10" s="8">
        <v>0.52495717387974916</v>
      </c>
      <c r="C10" s="8">
        <v>0.3711684913156732</v>
      </c>
      <c r="D10" s="8">
        <v>2.6245886489133303E-2</v>
      </c>
      <c r="E10" s="8">
        <v>7.7628448315444312E-2</v>
      </c>
      <c r="F10" s="8">
        <v>1</v>
      </c>
    </row>
  </sheetData>
  <conditionalFormatting sqref="I4: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E2DE7-6AEE-48D0-8818-F213B7BC5789}">
  <dimension ref="A3:B11"/>
  <sheetViews>
    <sheetView workbookViewId="0">
      <selection activeCell="B5" sqref="B5"/>
    </sheetView>
  </sheetViews>
  <sheetFormatPr defaultRowHeight="14.4" x14ac:dyDescent="0.3"/>
  <cols>
    <col min="1" max="1" width="12.44140625" bestFit="1" customWidth="1"/>
    <col min="2" max="2" width="12.21875" bestFit="1" customWidth="1"/>
  </cols>
  <sheetData>
    <row r="3" spans="1:2" x14ac:dyDescent="0.3">
      <c r="A3" s="5" t="s">
        <v>2527</v>
      </c>
      <c r="B3" t="s">
        <v>2518</v>
      </c>
    </row>
    <row r="4" spans="1:2" x14ac:dyDescent="0.3">
      <c r="A4" s="6">
        <v>1</v>
      </c>
      <c r="B4">
        <v>397</v>
      </c>
    </row>
    <row r="5" spans="1:2" x14ac:dyDescent="0.3">
      <c r="A5" s="6">
        <v>2</v>
      </c>
      <c r="B5">
        <v>540</v>
      </c>
    </row>
    <row r="6" spans="1:2" x14ac:dyDescent="0.3">
      <c r="A6" s="6">
        <v>3</v>
      </c>
      <c r="B6">
        <v>375</v>
      </c>
    </row>
    <row r="7" spans="1:2" x14ac:dyDescent="0.3">
      <c r="A7" s="6">
        <v>4</v>
      </c>
      <c r="B7">
        <v>246</v>
      </c>
    </row>
    <row r="8" spans="1:2" x14ac:dyDescent="0.3">
      <c r="A8" s="6">
        <v>5</v>
      </c>
      <c r="B8">
        <v>195</v>
      </c>
    </row>
    <row r="9" spans="1:2" x14ac:dyDescent="0.3">
      <c r="A9" s="6" t="s">
        <v>2539</v>
      </c>
      <c r="B9">
        <v>414</v>
      </c>
    </row>
    <row r="10" spans="1:2" x14ac:dyDescent="0.3">
      <c r="A10" s="6" t="s">
        <v>2540</v>
      </c>
      <c r="B10">
        <v>233</v>
      </c>
    </row>
    <row r="11" spans="1:2" x14ac:dyDescent="0.3">
      <c r="A11" s="6" t="s">
        <v>2528</v>
      </c>
      <c r="B11">
        <v>2400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8AE70-9C8E-4811-81B1-899DA278D169}">
  <dimension ref="A3:M97"/>
  <sheetViews>
    <sheetView topLeftCell="A56" workbookViewId="0">
      <selection activeCell="H63" sqref="H63"/>
    </sheetView>
  </sheetViews>
  <sheetFormatPr defaultRowHeight="14.4" x14ac:dyDescent="0.3"/>
  <cols>
    <col min="1" max="1" width="19.109375" bestFit="1" customWidth="1"/>
    <col min="2" max="2" width="19.6640625" bestFit="1" customWidth="1"/>
    <col min="3" max="3" width="14.21875" bestFit="1" customWidth="1"/>
    <col min="4" max="4" width="13.5546875" bestFit="1" customWidth="1"/>
    <col min="5" max="5" width="8.5546875" bestFit="1" customWidth="1"/>
    <col min="6" max="6" width="10.5546875" bestFit="1" customWidth="1"/>
    <col min="7" max="7" width="17.77734375" customWidth="1"/>
    <col min="8" max="8" width="19.77734375" customWidth="1"/>
    <col min="11" max="11" width="12.44140625" bestFit="1" customWidth="1"/>
    <col min="12" max="12" width="14.21875" bestFit="1" customWidth="1"/>
  </cols>
  <sheetData>
    <row r="3" spans="1:12" x14ac:dyDescent="0.3">
      <c r="A3" s="5" t="s">
        <v>2519</v>
      </c>
      <c r="B3" s="5" t="s">
        <v>2529</v>
      </c>
      <c r="K3" s="5" t="s">
        <v>2527</v>
      </c>
      <c r="L3" t="s">
        <v>2519</v>
      </c>
    </row>
    <row r="4" spans="1:12" x14ac:dyDescent="0.3">
      <c r="A4" s="5" t="s">
        <v>2527</v>
      </c>
      <c r="B4" t="s">
        <v>2530</v>
      </c>
      <c r="C4" t="s">
        <v>2531</v>
      </c>
      <c r="D4" t="s">
        <v>2532</v>
      </c>
      <c r="E4" t="s">
        <v>2533</v>
      </c>
      <c r="F4" t="s">
        <v>2528</v>
      </c>
      <c r="K4" s="6" t="s">
        <v>2530</v>
      </c>
      <c r="L4">
        <v>6272</v>
      </c>
    </row>
    <row r="5" spans="1:12" x14ac:dyDescent="0.3">
      <c r="A5" s="6" t="s">
        <v>43</v>
      </c>
      <c r="B5">
        <v>744</v>
      </c>
      <c r="C5">
        <v>713</v>
      </c>
      <c r="D5">
        <v>90</v>
      </c>
      <c r="E5">
        <v>98</v>
      </c>
      <c r="F5">
        <v>1645</v>
      </c>
      <c r="K5" s="6" t="s">
        <v>2531</v>
      </c>
      <c r="L5">
        <v>4672</v>
      </c>
    </row>
    <row r="6" spans="1:12" x14ac:dyDescent="0.3">
      <c r="A6" s="6" t="s">
        <v>38</v>
      </c>
      <c r="B6">
        <v>716</v>
      </c>
      <c r="C6">
        <v>598</v>
      </c>
      <c r="D6">
        <v>18</v>
      </c>
      <c r="E6">
        <v>214</v>
      </c>
      <c r="F6">
        <v>1546</v>
      </c>
      <c r="K6" s="6" t="s">
        <v>2532</v>
      </c>
      <c r="L6">
        <v>317</v>
      </c>
    </row>
    <row r="7" spans="1:12" x14ac:dyDescent="0.3">
      <c r="A7" s="6" t="s">
        <v>25</v>
      </c>
      <c r="B7">
        <v>627</v>
      </c>
      <c r="C7">
        <v>393</v>
      </c>
      <c r="D7">
        <v>29</v>
      </c>
      <c r="E7">
        <v>137</v>
      </c>
      <c r="F7">
        <v>1186</v>
      </c>
      <c r="K7" s="6" t="s">
        <v>2533</v>
      </c>
      <c r="L7">
        <v>736</v>
      </c>
    </row>
    <row r="8" spans="1:12" x14ac:dyDescent="0.3">
      <c r="A8" s="6" t="s">
        <v>21</v>
      </c>
      <c r="B8">
        <v>568</v>
      </c>
      <c r="C8">
        <v>306</v>
      </c>
      <c r="D8">
        <v>22</v>
      </c>
      <c r="E8">
        <v>16</v>
      </c>
      <c r="F8">
        <v>912</v>
      </c>
      <c r="K8" s="6" t="s">
        <v>2528</v>
      </c>
      <c r="L8">
        <v>11997</v>
      </c>
    </row>
    <row r="9" spans="1:12" x14ac:dyDescent="0.3">
      <c r="A9" s="6" t="s">
        <v>53</v>
      </c>
      <c r="B9">
        <v>482</v>
      </c>
      <c r="C9">
        <v>295</v>
      </c>
      <c r="D9">
        <v>8</v>
      </c>
      <c r="E9">
        <v>22</v>
      </c>
      <c r="F9">
        <v>807</v>
      </c>
    </row>
    <row r="10" spans="1:12" x14ac:dyDescent="0.3">
      <c r="A10" s="6" t="s">
        <v>16</v>
      </c>
      <c r="B10">
        <v>428</v>
      </c>
      <c r="C10">
        <v>293</v>
      </c>
      <c r="E10">
        <v>24</v>
      </c>
      <c r="F10">
        <v>745</v>
      </c>
    </row>
    <row r="11" spans="1:12" x14ac:dyDescent="0.3">
      <c r="A11" s="6" t="s">
        <v>45</v>
      </c>
      <c r="B11">
        <v>445</v>
      </c>
      <c r="C11">
        <v>202</v>
      </c>
      <c r="D11">
        <v>14</v>
      </c>
      <c r="E11">
        <v>39</v>
      </c>
      <c r="F11">
        <v>700</v>
      </c>
    </row>
    <row r="12" spans="1:12" x14ac:dyDescent="0.3">
      <c r="A12" s="6" t="s">
        <v>31</v>
      </c>
      <c r="B12">
        <v>431</v>
      </c>
      <c r="C12">
        <v>187</v>
      </c>
      <c r="D12">
        <v>14</v>
      </c>
      <c r="E12">
        <v>15</v>
      </c>
      <c r="F12">
        <v>647</v>
      </c>
    </row>
    <row r="13" spans="1:12" x14ac:dyDescent="0.3">
      <c r="A13" s="6" t="s">
        <v>41</v>
      </c>
      <c r="B13">
        <v>264</v>
      </c>
      <c r="C13">
        <v>318</v>
      </c>
      <c r="D13">
        <v>15</v>
      </c>
      <c r="E13">
        <v>9</v>
      </c>
      <c r="F13">
        <v>606</v>
      </c>
    </row>
    <row r="14" spans="1:12" x14ac:dyDescent="0.3">
      <c r="A14" s="6" t="s">
        <v>36</v>
      </c>
      <c r="B14">
        <v>296</v>
      </c>
      <c r="C14">
        <v>275</v>
      </c>
      <c r="D14">
        <v>9</v>
      </c>
      <c r="E14">
        <v>23</v>
      </c>
      <c r="F14">
        <v>603</v>
      </c>
    </row>
    <row r="15" spans="1:12" x14ac:dyDescent="0.3">
      <c r="A15" s="6" t="s">
        <v>122</v>
      </c>
      <c r="B15">
        <v>153</v>
      </c>
      <c r="C15">
        <v>246</v>
      </c>
      <c r="D15">
        <v>30</v>
      </c>
      <c r="E15">
        <v>8</v>
      </c>
      <c r="F15">
        <v>437</v>
      </c>
    </row>
    <row r="16" spans="1:12" x14ac:dyDescent="0.3">
      <c r="A16" s="6" t="s">
        <v>145</v>
      </c>
      <c r="B16">
        <v>189</v>
      </c>
      <c r="C16">
        <v>168</v>
      </c>
      <c r="D16">
        <v>10</v>
      </c>
      <c r="E16">
        <v>31</v>
      </c>
      <c r="F16">
        <v>398</v>
      </c>
    </row>
    <row r="17" spans="1:13" x14ac:dyDescent="0.3">
      <c r="A17" s="6" t="s">
        <v>68</v>
      </c>
      <c r="B17">
        <v>234</v>
      </c>
      <c r="C17">
        <v>93</v>
      </c>
      <c r="D17">
        <v>19</v>
      </c>
      <c r="E17">
        <v>24</v>
      </c>
      <c r="F17">
        <v>370</v>
      </c>
    </row>
    <row r="18" spans="1:13" x14ac:dyDescent="0.3">
      <c r="A18" s="6" t="s">
        <v>29</v>
      </c>
      <c r="B18">
        <v>146</v>
      </c>
      <c r="C18">
        <v>94</v>
      </c>
      <c r="D18">
        <v>4</v>
      </c>
      <c r="E18">
        <v>28</v>
      </c>
      <c r="F18">
        <v>272</v>
      </c>
    </row>
    <row r="19" spans="1:13" x14ac:dyDescent="0.3">
      <c r="A19" s="6" t="s">
        <v>134</v>
      </c>
      <c r="B19">
        <v>127</v>
      </c>
      <c r="C19">
        <v>118</v>
      </c>
      <c r="D19">
        <v>13</v>
      </c>
      <c r="E19">
        <v>12</v>
      </c>
      <c r="F19">
        <v>270</v>
      </c>
    </row>
    <row r="20" spans="1:13" x14ac:dyDescent="0.3">
      <c r="A20" s="6" t="s">
        <v>66</v>
      </c>
      <c r="B20">
        <v>179</v>
      </c>
      <c r="C20">
        <v>76</v>
      </c>
      <c r="D20">
        <v>3</v>
      </c>
      <c r="F20">
        <v>258</v>
      </c>
    </row>
    <row r="21" spans="1:13" x14ac:dyDescent="0.3">
      <c r="A21" s="6" t="s">
        <v>127</v>
      </c>
      <c r="B21">
        <v>99</v>
      </c>
      <c r="C21">
        <v>69</v>
      </c>
      <c r="D21">
        <v>3</v>
      </c>
      <c r="E21">
        <v>24</v>
      </c>
      <c r="F21">
        <v>195</v>
      </c>
    </row>
    <row r="22" spans="1:13" x14ac:dyDescent="0.3">
      <c r="A22" s="6" t="s">
        <v>75</v>
      </c>
      <c r="B22">
        <v>75</v>
      </c>
      <c r="C22">
        <v>103</v>
      </c>
      <c r="D22">
        <v>4</v>
      </c>
      <c r="E22">
        <v>6</v>
      </c>
      <c r="F22">
        <v>188</v>
      </c>
    </row>
    <row r="23" spans="1:13" x14ac:dyDescent="0.3">
      <c r="A23" s="6" t="s">
        <v>80</v>
      </c>
      <c r="B23">
        <v>43</v>
      </c>
      <c r="C23">
        <v>90</v>
      </c>
      <c r="D23">
        <v>8</v>
      </c>
      <c r="E23">
        <v>6</v>
      </c>
      <c r="F23">
        <v>147</v>
      </c>
    </row>
    <row r="24" spans="1:13" x14ac:dyDescent="0.3">
      <c r="A24" s="6" t="s">
        <v>170</v>
      </c>
      <c r="B24">
        <v>26</v>
      </c>
      <c r="C24">
        <v>35</v>
      </c>
      <c r="D24">
        <v>4</v>
      </c>
      <c r="F24">
        <v>65</v>
      </c>
    </row>
    <row r="25" spans="1:13" x14ac:dyDescent="0.3">
      <c r="A25" s="6" t="s">
        <v>2528</v>
      </c>
      <c r="B25">
        <v>6272</v>
      </c>
      <c r="C25">
        <v>4672</v>
      </c>
      <c r="D25">
        <v>317</v>
      </c>
      <c r="E25">
        <v>736</v>
      </c>
      <c r="F25">
        <v>11997</v>
      </c>
    </row>
    <row r="30" spans="1:13" x14ac:dyDescent="0.3">
      <c r="G30" t="s">
        <v>2541</v>
      </c>
      <c r="K30" t="s">
        <v>2542</v>
      </c>
    </row>
    <row r="31" spans="1:13" x14ac:dyDescent="0.3">
      <c r="A31" s="5" t="s">
        <v>10</v>
      </c>
      <c r="B31" s="5" t="s">
        <v>11</v>
      </c>
      <c r="C31" t="s">
        <v>2519</v>
      </c>
      <c r="D31" t="s">
        <v>2520</v>
      </c>
      <c r="G31" t="s">
        <v>10</v>
      </c>
      <c r="H31" t="s">
        <v>11</v>
      </c>
      <c r="I31" t="s">
        <v>2524</v>
      </c>
      <c r="K31" t="s">
        <v>10</v>
      </c>
      <c r="L31" t="s">
        <v>11</v>
      </c>
      <c r="M31" t="s">
        <v>2524</v>
      </c>
    </row>
    <row r="32" spans="1:13" x14ac:dyDescent="0.3">
      <c r="A32" t="s">
        <v>18</v>
      </c>
      <c r="B32" t="s">
        <v>114</v>
      </c>
      <c r="C32">
        <v>579</v>
      </c>
      <c r="D32">
        <v>31884.999999999996</v>
      </c>
      <c r="G32" t="str">
        <f t="shared" ref="G32:G77" si="0">IF(A32="","",A32)</f>
        <v>California</v>
      </c>
      <c r="H32" t="str">
        <f>B32</f>
        <v>Alameda County</v>
      </c>
      <c r="I32">
        <f>C32</f>
        <v>579</v>
      </c>
      <c r="K32" t="str">
        <f>IF(A32="","",A32)</f>
        <v>California</v>
      </c>
      <c r="L32" t="str">
        <f>H32</f>
        <v>Alameda County</v>
      </c>
      <c r="M32">
        <f>D32</f>
        <v>31884.999999999996</v>
      </c>
    </row>
    <row r="33" spans="1:13" x14ac:dyDescent="0.3">
      <c r="A33" t="s">
        <v>18</v>
      </c>
      <c r="B33" t="s">
        <v>19</v>
      </c>
      <c r="C33">
        <v>1</v>
      </c>
      <c r="D33">
        <v>10.9</v>
      </c>
      <c r="G33" t="str">
        <f t="shared" si="0"/>
        <v>California</v>
      </c>
      <c r="H33" t="str">
        <f t="shared" ref="H33:H57" si="1">B33</f>
        <v>Alpine County</v>
      </c>
      <c r="I33">
        <f t="shared" ref="I33:I57" si="2">C33</f>
        <v>1</v>
      </c>
      <c r="K33" t="str">
        <f t="shared" ref="K33:K89" si="3">G33</f>
        <v>California</v>
      </c>
      <c r="L33" t="str">
        <f t="shared" ref="L33:L89" si="4">H33</f>
        <v>Alpine County</v>
      </c>
      <c r="M33">
        <f t="shared" ref="M33:M89" si="5">D33</f>
        <v>10.9</v>
      </c>
    </row>
    <row r="34" spans="1:13" x14ac:dyDescent="0.3">
      <c r="A34" t="s">
        <v>18</v>
      </c>
      <c r="B34" t="s">
        <v>640</v>
      </c>
      <c r="C34">
        <v>9</v>
      </c>
      <c r="D34">
        <v>800.3</v>
      </c>
      <c r="G34" t="str">
        <f t="shared" si="0"/>
        <v>California</v>
      </c>
      <c r="H34" t="str">
        <f t="shared" si="1"/>
        <v>Amador County</v>
      </c>
      <c r="I34">
        <f t="shared" si="2"/>
        <v>9</v>
      </c>
      <c r="K34" t="str">
        <f t="shared" si="3"/>
        <v>California</v>
      </c>
      <c r="L34" t="str">
        <f t="shared" si="4"/>
        <v>Amador County</v>
      </c>
      <c r="M34">
        <f t="shared" si="5"/>
        <v>800.3</v>
      </c>
    </row>
    <row r="35" spans="1:13" x14ac:dyDescent="0.3">
      <c r="A35" t="s">
        <v>18</v>
      </c>
      <c r="B35" t="s">
        <v>966</v>
      </c>
      <c r="C35">
        <v>35</v>
      </c>
      <c r="D35">
        <v>1062.5999999999999</v>
      </c>
      <c r="G35" t="str">
        <f t="shared" si="0"/>
        <v>California</v>
      </c>
      <c r="H35" t="str">
        <f t="shared" si="1"/>
        <v>Butte County</v>
      </c>
      <c r="I35">
        <f t="shared" si="2"/>
        <v>35</v>
      </c>
      <c r="K35" t="str">
        <f t="shared" si="3"/>
        <v>California</v>
      </c>
      <c r="L35" t="str">
        <f t="shared" si="4"/>
        <v>Butte County</v>
      </c>
      <c r="M35">
        <f t="shared" si="5"/>
        <v>1062.5999999999999</v>
      </c>
    </row>
    <row r="36" spans="1:13" x14ac:dyDescent="0.3">
      <c r="A36" t="s">
        <v>18</v>
      </c>
      <c r="B36" t="s">
        <v>83</v>
      </c>
      <c r="C36">
        <v>12</v>
      </c>
      <c r="D36">
        <v>326.20000000000005</v>
      </c>
      <c r="G36" t="str">
        <f t="shared" si="0"/>
        <v>California</v>
      </c>
      <c r="H36" t="str">
        <f t="shared" si="1"/>
        <v>Calaveras County</v>
      </c>
      <c r="I36">
        <f t="shared" si="2"/>
        <v>12</v>
      </c>
      <c r="K36" t="str">
        <f t="shared" si="3"/>
        <v>California</v>
      </c>
      <c r="L36" t="str">
        <f t="shared" si="4"/>
        <v>Calaveras County</v>
      </c>
      <c r="M36">
        <f t="shared" si="5"/>
        <v>326.20000000000005</v>
      </c>
    </row>
    <row r="37" spans="1:13" x14ac:dyDescent="0.3">
      <c r="A37" t="s">
        <v>18</v>
      </c>
      <c r="B37" t="s">
        <v>1382</v>
      </c>
      <c r="C37">
        <v>4</v>
      </c>
      <c r="D37">
        <v>167.5</v>
      </c>
      <c r="G37" t="str">
        <f t="shared" si="0"/>
        <v>California</v>
      </c>
      <c r="H37" t="str">
        <f t="shared" si="1"/>
        <v>Colusa County</v>
      </c>
      <c r="I37">
        <f t="shared" si="2"/>
        <v>4</v>
      </c>
      <c r="K37" t="str">
        <f t="shared" si="3"/>
        <v>California</v>
      </c>
      <c r="L37" t="str">
        <f t="shared" si="4"/>
        <v>Colusa County</v>
      </c>
      <c r="M37">
        <f t="shared" si="5"/>
        <v>167.5</v>
      </c>
    </row>
    <row r="38" spans="1:13" x14ac:dyDescent="0.3">
      <c r="A38" t="s">
        <v>18</v>
      </c>
      <c r="B38" t="s">
        <v>23</v>
      </c>
      <c r="C38">
        <v>341</v>
      </c>
      <c r="D38">
        <v>16168.7</v>
      </c>
      <c r="G38" t="str">
        <f t="shared" si="0"/>
        <v>California</v>
      </c>
      <c r="H38" t="str">
        <f t="shared" si="1"/>
        <v>Contra Costa County</v>
      </c>
      <c r="I38">
        <f t="shared" si="2"/>
        <v>341</v>
      </c>
      <c r="K38" t="str">
        <f t="shared" si="3"/>
        <v>California</v>
      </c>
      <c r="L38" t="str">
        <f t="shared" si="4"/>
        <v>Contra Costa County</v>
      </c>
      <c r="M38">
        <f t="shared" si="5"/>
        <v>16168.7</v>
      </c>
    </row>
    <row r="39" spans="1:13" x14ac:dyDescent="0.3">
      <c r="A39" t="s">
        <v>18</v>
      </c>
      <c r="B39" t="s">
        <v>2203</v>
      </c>
      <c r="C39">
        <v>13</v>
      </c>
      <c r="D39">
        <v>322.40000000000003</v>
      </c>
      <c r="G39" t="str">
        <f t="shared" si="0"/>
        <v>California</v>
      </c>
      <c r="H39" t="str">
        <f t="shared" si="1"/>
        <v>Del Norte County</v>
      </c>
      <c r="I39">
        <f t="shared" si="2"/>
        <v>13</v>
      </c>
      <c r="K39" t="str">
        <f t="shared" si="3"/>
        <v>California</v>
      </c>
      <c r="L39" t="str">
        <f t="shared" si="4"/>
        <v>Del Norte County</v>
      </c>
      <c r="M39">
        <f t="shared" si="5"/>
        <v>322.40000000000003</v>
      </c>
    </row>
    <row r="40" spans="1:13" x14ac:dyDescent="0.3">
      <c r="A40" t="s">
        <v>18</v>
      </c>
      <c r="B40" t="s">
        <v>436</v>
      </c>
      <c r="C40">
        <v>31</v>
      </c>
      <c r="D40">
        <v>2092.8000000000002</v>
      </c>
      <c r="G40" t="str">
        <f t="shared" si="0"/>
        <v>California</v>
      </c>
      <c r="H40" t="str">
        <f t="shared" si="1"/>
        <v>El Dorado County</v>
      </c>
      <c r="I40">
        <f t="shared" si="2"/>
        <v>31</v>
      </c>
      <c r="K40" t="str">
        <f t="shared" si="3"/>
        <v>California</v>
      </c>
      <c r="L40" t="str">
        <f t="shared" si="4"/>
        <v>El Dorado County</v>
      </c>
      <c r="M40">
        <f t="shared" si="5"/>
        <v>2092.8000000000002</v>
      </c>
    </row>
    <row r="41" spans="1:13" x14ac:dyDescent="0.3">
      <c r="A41" t="s">
        <v>18</v>
      </c>
      <c r="B41" t="s">
        <v>27</v>
      </c>
      <c r="C41">
        <v>279</v>
      </c>
      <c r="D41">
        <v>12662.500000000002</v>
      </c>
      <c r="G41" t="str">
        <f t="shared" si="0"/>
        <v>California</v>
      </c>
      <c r="H41" t="str">
        <f t="shared" si="1"/>
        <v>Fresno County</v>
      </c>
      <c r="I41">
        <f t="shared" si="2"/>
        <v>279</v>
      </c>
      <c r="K41" t="str">
        <f t="shared" si="3"/>
        <v>California</v>
      </c>
      <c r="L41" t="str">
        <f t="shared" si="4"/>
        <v>Fresno County</v>
      </c>
      <c r="M41">
        <f t="shared" si="5"/>
        <v>12662.500000000002</v>
      </c>
    </row>
    <row r="42" spans="1:13" x14ac:dyDescent="0.3">
      <c r="A42" t="s">
        <v>18</v>
      </c>
      <c r="B42" t="s">
        <v>207</v>
      </c>
      <c r="C42">
        <v>9</v>
      </c>
      <c r="D42">
        <v>343.2</v>
      </c>
      <c r="G42" t="str">
        <f t="shared" si="0"/>
        <v>California</v>
      </c>
      <c r="H42" t="str">
        <f t="shared" si="1"/>
        <v>Glenn County</v>
      </c>
      <c r="I42">
        <f t="shared" si="2"/>
        <v>9</v>
      </c>
      <c r="K42" t="str">
        <f t="shared" si="3"/>
        <v>California</v>
      </c>
      <c r="L42" t="str">
        <f t="shared" si="4"/>
        <v>Glenn County</v>
      </c>
      <c r="M42">
        <f t="shared" si="5"/>
        <v>343.2</v>
      </c>
    </row>
    <row r="43" spans="1:13" x14ac:dyDescent="0.3">
      <c r="A43" t="s">
        <v>18</v>
      </c>
      <c r="B43" t="s">
        <v>586</v>
      </c>
      <c r="C43">
        <v>49</v>
      </c>
      <c r="D43">
        <v>2188.2999999999997</v>
      </c>
      <c r="G43" t="str">
        <f t="shared" si="0"/>
        <v>California</v>
      </c>
      <c r="H43" t="str">
        <f t="shared" si="1"/>
        <v>Humboldt County</v>
      </c>
      <c r="I43">
        <f t="shared" si="2"/>
        <v>49</v>
      </c>
      <c r="K43" t="str">
        <f t="shared" si="3"/>
        <v>California</v>
      </c>
      <c r="L43" t="str">
        <f t="shared" si="4"/>
        <v>Humboldt County</v>
      </c>
      <c r="M43">
        <f t="shared" si="5"/>
        <v>2188.2999999999997</v>
      </c>
    </row>
    <row r="44" spans="1:13" x14ac:dyDescent="0.3">
      <c r="A44" t="s">
        <v>18</v>
      </c>
      <c r="B44" t="s">
        <v>330</v>
      </c>
      <c r="C44">
        <v>59</v>
      </c>
      <c r="D44">
        <v>2661.5999999999995</v>
      </c>
      <c r="G44" t="str">
        <f t="shared" si="0"/>
        <v>California</v>
      </c>
      <c r="H44" t="str">
        <f t="shared" si="1"/>
        <v>Imperial County</v>
      </c>
      <c r="I44">
        <f t="shared" si="2"/>
        <v>59</v>
      </c>
      <c r="K44" t="str">
        <f t="shared" si="3"/>
        <v>California</v>
      </c>
      <c r="L44" t="str">
        <f t="shared" si="4"/>
        <v>Imperial County</v>
      </c>
      <c r="M44">
        <f t="shared" si="5"/>
        <v>2661.5999999999995</v>
      </c>
    </row>
    <row r="45" spans="1:13" x14ac:dyDescent="0.3">
      <c r="A45" t="s">
        <v>18</v>
      </c>
      <c r="B45" t="s">
        <v>85</v>
      </c>
      <c r="C45">
        <v>8</v>
      </c>
      <c r="D45">
        <v>887.5</v>
      </c>
      <c r="G45" t="str">
        <f t="shared" si="0"/>
        <v>California</v>
      </c>
      <c r="H45" t="str">
        <f t="shared" si="1"/>
        <v>Inyo County</v>
      </c>
      <c r="I45">
        <f t="shared" si="2"/>
        <v>8</v>
      </c>
      <c r="K45" t="str">
        <f t="shared" si="3"/>
        <v>California</v>
      </c>
      <c r="L45" t="str">
        <f t="shared" si="4"/>
        <v>Inyo County</v>
      </c>
      <c r="M45">
        <f t="shared" si="5"/>
        <v>887.5</v>
      </c>
    </row>
    <row r="46" spans="1:13" x14ac:dyDescent="0.3">
      <c r="A46" t="s">
        <v>18</v>
      </c>
      <c r="B46" t="s">
        <v>146</v>
      </c>
      <c r="C46">
        <v>222</v>
      </c>
      <c r="D46">
        <v>11354.199999999993</v>
      </c>
      <c r="G46" t="str">
        <f t="shared" si="0"/>
        <v>California</v>
      </c>
      <c r="H46" t="str">
        <f t="shared" si="1"/>
        <v>Kern County</v>
      </c>
      <c r="I46">
        <f t="shared" si="2"/>
        <v>222</v>
      </c>
      <c r="K46" t="str">
        <f t="shared" si="3"/>
        <v>California</v>
      </c>
      <c r="L46" t="str">
        <f t="shared" si="4"/>
        <v>Kern County</v>
      </c>
      <c r="M46">
        <f t="shared" si="5"/>
        <v>11354.199999999993</v>
      </c>
    </row>
    <row r="47" spans="1:13" x14ac:dyDescent="0.3">
      <c r="A47" t="s">
        <v>18</v>
      </c>
      <c r="B47" t="s">
        <v>333</v>
      </c>
      <c r="C47">
        <v>36</v>
      </c>
      <c r="D47">
        <v>1558.4</v>
      </c>
      <c r="G47" t="str">
        <f t="shared" si="0"/>
        <v>California</v>
      </c>
      <c r="H47" t="str">
        <f t="shared" si="1"/>
        <v>Kings County</v>
      </c>
      <c r="I47">
        <f t="shared" si="2"/>
        <v>36</v>
      </c>
      <c r="K47" t="str">
        <f t="shared" si="3"/>
        <v>California</v>
      </c>
      <c r="L47" t="str">
        <f t="shared" si="4"/>
        <v>Kings County</v>
      </c>
      <c r="M47">
        <f t="shared" si="5"/>
        <v>1558.4</v>
      </c>
    </row>
    <row r="48" spans="1:13" x14ac:dyDescent="0.3">
      <c r="A48" t="s">
        <v>18</v>
      </c>
      <c r="B48" t="s">
        <v>948</v>
      </c>
      <c r="C48">
        <v>30</v>
      </c>
      <c r="D48">
        <v>2223.9</v>
      </c>
      <c r="G48" t="str">
        <f t="shared" si="0"/>
        <v>California</v>
      </c>
      <c r="H48" t="str">
        <f t="shared" si="1"/>
        <v>Lake County</v>
      </c>
      <c r="I48">
        <f t="shared" si="2"/>
        <v>30</v>
      </c>
      <c r="K48" t="str">
        <f t="shared" si="3"/>
        <v>California</v>
      </c>
      <c r="L48" t="str">
        <f t="shared" si="4"/>
        <v>Lake County</v>
      </c>
      <c r="M48">
        <f t="shared" si="5"/>
        <v>2223.9</v>
      </c>
    </row>
    <row r="49" spans="1:13" x14ac:dyDescent="0.3">
      <c r="A49" t="s">
        <v>18</v>
      </c>
      <c r="B49" t="s">
        <v>1425</v>
      </c>
      <c r="C49">
        <v>1</v>
      </c>
      <c r="D49">
        <v>26.2</v>
      </c>
      <c r="G49" t="str">
        <f t="shared" si="0"/>
        <v>California</v>
      </c>
      <c r="H49" t="str">
        <f t="shared" si="1"/>
        <v>Lassen County</v>
      </c>
      <c r="I49">
        <f t="shared" si="2"/>
        <v>1</v>
      </c>
      <c r="K49" t="str">
        <f t="shared" si="3"/>
        <v>California</v>
      </c>
      <c r="L49" t="str">
        <f t="shared" si="4"/>
        <v>Lassen County</v>
      </c>
      <c r="M49">
        <f t="shared" si="5"/>
        <v>26.2</v>
      </c>
    </row>
    <row r="50" spans="1:13" x14ac:dyDescent="0.3">
      <c r="A50" t="s">
        <v>18</v>
      </c>
      <c r="B50" t="s">
        <v>32</v>
      </c>
      <c r="C50">
        <v>3991</v>
      </c>
      <c r="D50">
        <v>215551.19999999981</v>
      </c>
      <c r="G50" t="str">
        <f t="shared" si="0"/>
        <v>California</v>
      </c>
      <c r="H50" t="str">
        <f t="shared" si="1"/>
        <v>Los Angeles County</v>
      </c>
      <c r="I50">
        <f t="shared" si="2"/>
        <v>3991</v>
      </c>
      <c r="K50" t="str">
        <f t="shared" si="3"/>
        <v>California</v>
      </c>
      <c r="L50" t="str">
        <f t="shared" si="4"/>
        <v>Los Angeles County</v>
      </c>
      <c r="M50">
        <f t="shared" si="5"/>
        <v>215551.19999999981</v>
      </c>
    </row>
    <row r="51" spans="1:13" x14ac:dyDescent="0.3">
      <c r="A51" t="s">
        <v>18</v>
      </c>
      <c r="B51" t="s">
        <v>363</v>
      </c>
      <c r="C51">
        <v>45</v>
      </c>
      <c r="D51">
        <v>2687.3999999999996</v>
      </c>
      <c r="G51" t="str">
        <f t="shared" si="0"/>
        <v>California</v>
      </c>
      <c r="H51" t="str">
        <f t="shared" si="1"/>
        <v>Madera County</v>
      </c>
      <c r="I51">
        <f t="shared" si="2"/>
        <v>45</v>
      </c>
      <c r="K51" t="str">
        <f t="shared" si="3"/>
        <v>California</v>
      </c>
      <c r="L51" t="str">
        <f t="shared" si="4"/>
        <v>Madera County</v>
      </c>
      <c r="M51">
        <f t="shared" si="5"/>
        <v>2687.3999999999996</v>
      </c>
    </row>
    <row r="52" spans="1:13" x14ac:dyDescent="0.3">
      <c r="A52" t="s">
        <v>18</v>
      </c>
      <c r="B52" t="s">
        <v>544</v>
      </c>
      <c r="C52">
        <v>39</v>
      </c>
      <c r="D52">
        <v>1463.3000000000002</v>
      </c>
      <c r="G52" t="str">
        <f t="shared" si="0"/>
        <v>California</v>
      </c>
      <c r="H52" t="str">
        <f t="shared" si="1"/>
        <v>Marin County</v>
      </c>
      <c r="I52">
        <f t="shared" si="2"/>
        <v>39</v>
      </c>
      <c r="K52" t="str">
        <f t="shared" si="3"/>
        <v>California</v>
      </c>
      <c r="L52" t="str">
        <f t="shared" si="4"/>
        <v>Marin County</v>
      </c>
      <c r="M52">
        <f t="shared" si="5"/>
        <v>1463.3000000000002</v>
      </c>
    </row>
    <row r="53" spans="1:13" x14ac:dyDescent="0.3">
      <c r="A53" t="s">
        <v>18</v>
      </c>
      <c r="B53" t="s">
        <v>415</v>
      </c>
      <c r="C53">
        <v>6</v>
      </c>
      <c r="D53">
        <v>445.79999999999995</v>
      </c>
      <c r="G53" t="str">
        <f t="shared" si="0"/>
        <v>California</v>
      </c>
      <c r="H53" t="str">
        <f t="shared" si="1"/>
        <v>Mariposa County</v>
      </c>
      <c r="I53">
        <f t="shared" si="2"/>
        <v>6</v>
      </c>
      <c r="K53" t="str">
        <f t="shared" si="3"/>
        <v>California</v>
      </c>
      <c r="L53" t="str">
        <f t="shared" si="4"/>
        <v>Mariposa County</v>
      </c>
      <c r="M53">
        <f t="shared" si="5"/>
        <v>445.79999999999995</v>
      </c>
    </row>
    <row r="54" spans="1:13" x14ac:dyDescent="0.3">
      <c r="A54" t="s">
        <v>18</v>
      </c>
      <c r="B54" t="s">
        <v>257</v>
      </c>
      <c r="C54">
        <v>9</v>
      </c>
      <c r="D54">
        <v>273.59999999999997</v>
      </c>
      <c r="G54" t="str">
        <f t="shared" si="0"/>
        <v>California</v>
      </c>
      <c r="H54" t="str">
        <f t="shared" si="1"/>
        <v>Mendocino County</v>
      </c>
      <c r="I54">
        <f t="shared" si="2"/>
        <v>9</v>
      </c>
      <c r="K54" t="str">
        <f t="shared" si="3"/>
        <v>California</v>
      </c>
      <c r="L54" t="str">
        <f t="shared" si="4"/>
        <v>Mendocino County</v>
      </c>
      <c r="M54">
        <f t="shared" si="5"/>
        <v>273.59999999999997</v>
      </c>
    </row>
    <row r="55" spans="1:13" x14ac:dyDescent="0.3">
      <c r="A55" t="s">
        <v>18</v>
      </c>
      <c r="B55" t="s">
        <v>185</v>
      </c>
      <c r="C55">
        <v>60</v>
      </c>
      <c r="D55">
        <v>2690.4</v>
      </c>
      <c r="G55" t="str">
        <f t="shared" si="0"/>
        <v>California</v>
      </c>
      <c r="H55" t="str">
        <f t="shared" si="1"/>
        <v>Merced County</v>
      </c>
      <c r="I55">
        <f t="shared" si="2"/>
        <v>60</v>
      </c>
      <c r="K55" t="str">
        <f t="shared" si="3"/>
        <v>California</v>
      </c>
      <c r="L55" t="str">
        <f t="shared" si="4"/>
        <v>Merced County</v>
      </c>
      <c r="M55">
        <f t="shared" si="5"/>
        <v>2690.4</v>
      </c>
    </row>
    <row r="56" spans="1:13" x14ac:dyDescent="0.3">
      <c r="A56" t="s">
        <v>18</v>
      </c>
      <c r="B56" t="s">
        <v>391</v>
      </c>
      <c r="C56">
        <v>2</v>
      </c>
      <c r="D56">
        <v>28.4</v>
      </c>
      <c r="G56" t="str">
        <f t="shared" si="0"/>
        <v>California</v>
      </c>
      <c r="H56" t="str">
        <f t="shared" si="1"/>
        <v>Modoc County</v>
      </c>
      <c r="I56">
        <f t="shared" si="2"/>
        <v>2</v>
      </c>
      <c r="K56" t="str">
        <f t="shared" si="3"/>
        <v>California</v>
      </c>
      <c r="L56" t="str">
        <f t="shared" si="4"/>
        <v>Modoc County</v>
      </c>
      <c r="M56">
        <f t="shared" si="5"/>
        <v>28.4</v>
      </c>
    </row>
    <row r="57" spans="1:13" x14ac:dyDescent="0.3">
      <c r="A57" t="s">
        <v>18</v>
      </c>
      <c r="B57" t="s">
        <v>669</v>
      </c>
      <c r="C57">
        <v>4</v>
      </c>
      <c r="D57">
        <v>204.8</v>
      </c>
      <c r="G57" t="str">
        <f t="shared" si="0"/>
        <v>California</v>
      </c>
      <c r="H57" t="str">
        <f t="shared" si="1"/>
        <v>Mono County</v>
      </c>
      <c r="I57">
        <f t="shared" si="2"/>
        <v>4</v>
      </c>
      <c r="K57" t="str">
        <f t="shared" si="3"/>
        <v>California</v>
      </c>
      <c r="L57" t="str">
        <f t="shared" si="4"/>
        <v>Mono County</v>
      </c>
      <c r="M57">
        <f t="shared" si="5"/>
        <v>204.8</v>
      </c>
    </row>
    <row r="58" spans="1:13" x14ac:dyDescent="0.3">
      <c r="A58" t="s">
        <v>18</v>
      </c>
      <c r="B58" t="s">
        <v>801</v>
      </c>
      <c r="C58">
        <v>31</v>
      </c>
      <c r="D58">
        <v>1607.8999999999999</v>
      </c>
      <c r="G58" t="str">
        <f t="shared" si="0"/>
        <v>California</v>
      </c>
      <c r="K58" t="str">
        <f t="shared" si="3"/>
        <v>California</v>
      </c>
      <c r="L58">
        <f t="shared" si="4"/>
        <v>0</v>
      </c>
      <c r="M58">
        <f t="shared" si="5"/>
        <v>1607.8999999999999</v>
      </c>
    </row>
    <row r="59" spans="1:13" x14ac:dyDescent="0.3">
      <c r="A59" t="s">
        <v>18</v>
      </c>
      <c r="B59" t="s">
        <v>97</v>
      </c>
      <c r="C59">
        <v>88</v>
      </c>
      <c r="D59">
        <v>6444.9</v>
      </c>
      <c r="G59" t="str">
        <f t="shared" si="0"/>
        <v>California</v>
      </c>
      <c r="K59" t="str">
        <f t="shared" si="3"/>
        <v>California</v>
      </c>
      <c r="L59">
        <f t="shared" si="4"/>
        <v>0</v>
      </c>
      <c r="M59">
        <f t="shared" si="5"/>
        <v>6444.9</v>
      </c>
    </row>
    <row r="60" spans="1:13" x14ac:dyDescent="0.3">
      <c r="A60" t="s">
        <v>18</v>
      </c>
      <c r="B60" t="s">
        <v>48</v>
      </c>
      <c r="C60">
        <v>25</v>
      </c>
      <c r="D60">
        <v>1809.3</v>
      </c>
      <c r="G60" t="str">
        <f t="shared" si="0"/>
        <v>California</v>
      </c>
      <c r="K60" t="str">
        <f t="shared" si="3"/>
        <v>California</v>
      </c>
      <c r="L60">
        <f t="shared" si="4"/>
        <v>0</v>
      </c>
      <c r="M60">
        <f t="shared" si="5"/>
        <v>1809.3</v>
      </c>
    </row>
    <row r="61" spans="1:13" x14ac:dyDescent="0.3">
      <c r="A61" t="s">
        <v>18</v>
      </c>
      <c r="B61" t="s">
        <v>187</v>
      </c>
      <c r="C61">
        <v>178</v>
      </c>
      <c r="D61">
        <v>9680.399999999996</v>
      </c>
      <c r="G61" t="str">
        <f t="shared" si="0"/>
        <v>California</v>
      </c>
      <c r="K61" t="str">
        <f t="shared" si="3"/>
        <v>California</v>
      </c>
      <c r="L61">
        <f t="shared" si="4"/>
        <v>0</v>
      </c>
      <c r="M61">
        <f t="shared" si="5"/>
        <v>9680.399999999996</v>
      </c>
    </row>
    <row r="62" spans="1:13" x14ac:dyDescent="0.3">
      <c r="A62" t="s">
        <v>18</v>
      </c>
      <c r="B62" t="s">
        <v>51</v>
      </c>
      <c r="C62">
        <v>141</v>
      </c>
      <c r="D62">
        <v>9414.7999999999993</v>
      </c>
      <c r="G62" t="str">
        <f t="shared" si="0"/>
        <v>California</v>
      </c>
      <c r="K62" t="str">
        <f t="shared" si="3"/>
        <v>California</v>
      </c>
      <c r="L62">
        <f t="shared" si="4"/>
        <v>0</v>
      </c>
      <c r="M62">
        <f t="shared" si="5"/>
        <v>9414.7999999999993</v>
      </c>
    </row>
    <row r="63" spans="1:13" x14ac:dyDescent="0.3">
      <c r="A63" t="s">
        <v>18</v>
      </c>
      <c r="B63" t="s">
        <v>337</v>
      </c>
      <c r="C63">
        <v>6</v>
      </c>
      <c r="D63">
        <v>206.1</v>
      </c>
      <c r="G63" t="str">
        <f t="shared" si="0"/>
        <v>California</v>
      </c>
      <c r="K63" t="str">
        <f t="shared" si="3"/>
        <v>California</v>
      </c>
      <c r="L63">
        <f t="shared" si="4"/>
        <v>0</v>
      </c>
      <c r="M63">
        <f t="shared" si="5"/>
        <v>206.1</v>
      </c>
    </row>
    <row r="64" spans="1:13" x14ac:dyDescent="0.3">
      <c r="A64" t="s">
        <v>18</v>
      </c>
      <c r="B64" t="s">
        <v>157</v>
      </c>
      <c r="C64">
        <v>178</v>
      </c>
      <c r="D64">
        <v>7691.3</v>
      </c>
      <c r="G64" t="str">
        <f t="shared" si="0"/>
        <v>California</v>
      </c>
      <c r="K64" t="str">
        <f t="shared" si="3"/>
        <v>California</v>
      </c>
      <c r="L64">
        <f t="shared" si="4"/>
        <v>0</v>
      </c>
      <c r="M64">
        <f t="shared" si="5"/>
        <v>7691.3</v>
      </c>
    </row>
    <row r="65" spans="1:13" x14ac:dyDescent="0.3">
      <c r="A65" t="s">
        <v>18</v>
      </c>
      <c r="B65" t="s">
        <v>54</v>
      </c>
      <c r="C65">
        <v>699</v>
      </c>
      <c r="D65">
        <v>37784.900000000016</v>
      </c>
      <c r="G65" t="str">
        <f t="shared" si="0"/>
        <v>California</v>
      </c>
      <c r="K65" t="str">
        <f t="shared" si="3"/>
        <v>California</v>
      </c>
      <c r="L65">
        <f t="shared" si="4"/>
        <v>0</v>
      </c>
      <c r="M65">
        <f t="shared" si="5"/>
        <v>37784.900000000016</v>
      </c>
    </row>
    <row r="66" spans="1:13" x14ac:dyDescent="0.3">
      <c r="A66" t="s">
        <v>18</v>
      </c>
      <c r="B66" t="s">
        <v>341</v>
      </c>
      <c r="C66">
        <v>23</v>
      </c>
      <c r="D66">
        <v>1129.7</v>
      </c>
      <c r="G66" t="str">
        <f t="shared" si="0"/>
        <v>California</v>
      </c>
      <c r="K66" t="str">
        <f t="shared" si="3"/>
        <v>California</v>
      </c>
      <c r="L66">
        <f t="shared" si="4"/>
        <v>0</v>
      </c>
      <c r="M66">
        <f t="shared" si="5"/>
        <v>1129.7</v>
      </c>
    </row>
    <row r="67" spans="1:13" x14ac:dyDescent="0.3">
      <c r="A67" t="s">
        <v>18</v>
      </c>
      <c r="B67" t="s">
        <v>58</v>
      </c>
      <c r="C67">
        <v>356</v>
      </c>
      <c r="D67">
        <v>20988.9</v>
      </c>
      <c r="G67" t="str">
        <f t="shared" si="0"/>
        <v>California</v>
      </c>
      <c r="K67" t="str">
        <f t="shared" si="3"/>
        <v>California</v>
      </c>
      <c r="L67">
        <f t="shared" si="4"/>
        <v>0</v>
      </c>
      <c r="M67">
        <f t="shared" si="5"/>
        <v>20988.9</v>
      </c>
    </row>
    <row r="68" spans="1:13" x14ac:dyDescent="0.3">
      <c r="A68" t="s">
        <v>18</v>
      </c>
      <c r="B68" t="s">
        <v>61</v>
      </c>
      <c r="C68">
        <v>1768</v>
      </c>
      <c r="D68">
        <v>98367.099999999977</v>
      </c>
      <c r="G68" t="str">
        <f t="shared" si="0"/>
        <v>California</v>
      </c>
      <c r="K68" t="str">
        <f t="shared" si="3"/>
        <v>California</v>
      </c>
      <c r="L68">
        <f t="shared" si="4"/>
        <v>0</v>
      </c>
      <c r="M68">
        <f t="shared" si="5"/>
        <v>98367.099999999977</v>
      </c>
    </row>
    <row r="69" spans="1:13" x14ac:dyDescent="0.3">
      <c r="A69" t="s">
        <v>18</v>
      </c>
      <c r="B69" t="s">
        <v>102</v>
      </c>
      <c r="C69">
        <v>307</v>
      </c>
      <c r="D69">
        <v>21911.9</v>
      </c>
      <c r="G69" t="str">
        <f t="shared" si="0"/>
        <v>California</v>
      </c>
      <c r="K69" t="str">
        <f t="shared" si="3"/>
        <v>California</v>
      </c>
      <c r="L69">
        <f t="shared" si="4"/>
        <v>0</v>
      </c>
      <c r="M69">
        <f t="shared" si="5"/>
        <v>21911.9</v>
      </c>
    </row>
    <row r="70" spans="1:13" x14ac:dyDescent="0.3">
      <c r="A70" t="s">
        <v>18</v>
      </c>
      <c r="B70" t="s">
        <v>200</v>
      </c>
      <c r="C70">
        <v>117</v>
      </c>
      <c r="D70">
        <v>5441.2</v>
      </c>
      <c r="G70" t="str">
        <f t="shared" si="0"/>
        <v>California</v>
      </c>
      <c r="K70" t="str">
        <f t="shared" si="3"/>
        <v>California</v>
      </c>
      <c r="L70">
        <f t="shared" si="4"/>
        <v>0</v>
      </c>
      <c r="M70">
        <f t="shared" si="5"/>
        <v>5441.2</v>
      </c>
    </row>
    <row r="71" spans="1:13" x14ac:dyDescent="0.3">
      <c r="A71" t="s">
        <v>18</v>
      </c>
      <c r="B71" t="s">
        <v>428</v>
      </c>
      <c r="C71">
        <v>13</v>
      </c>
      <c r="D71">
        <v>392.8</v>
      </c>
      <c r="G71" t="str">
        <f t="shared" si="0"/>
        <v>California</v>
      </c>
      <c r="K71" t="str">
        <f t="shared" si="3"/>
        <v>California</v>
      </c>
      <c r="L71">
        <f t="shared" si="4"/>
        <v>0</v>
      </c>
      <c r="M71">
        <f t="shared" si="5"/>
        <v>392.8</v>
      </c>
    </row>
    <row r="72" spans="1:13" x14ac:dyDescent="0.3">
      <c r="A72" t="s">
        <v>18</v>
      </c>
      <c r="B72" t="s">
        <v>71</v>
      </c>
      <c r="C72">
        <v>364</v>
      </c>
      <c r="D72">
        <v>16172.000000000005</v>
      </c>
      <c r="G72" t="str">
        <f t="shared" si="0"/>
        <v>California</v>
      </c>
      <c r="K72" t="str">
        <f t="shared" si="3"/>
        <v>California</v>
      </c>
      <c r="L72">
        <f t="shared" si="4"/>
        <v>0</v>
      </c>
      <c r="M72">
        <f t="shared" si="5"/>
        <v>16172.000000000005</v>
      </c>
    </row>
    <row r="73" spans="1:13" x14ac:dyDescent="0.3">
      <c r="A73" t="s">
        <v>18</v>
      </c>
      <c r="B73" t="s">
        <v>73</v>
      </c>
      <c r="C73">
        <v>95</v>
      </c>
      <c r="D73">
        <v>4334.9999999999991</v>
      </c>
      <c r="G73" t="str">
        <f t="shared" si="0"/>
        <v>California</v>
      </c>
      <c r="K73" t="str">
        <f t="shared" si="3"/>
        <v>California</v>
      </c>
      <c r="L73">
        <f t="shared" si="4"/>
        <v>0</v>
      </c>
      <c r="M73">
        <f t="shared" si="5"/>
        <v>4334.9999999999991</v>
      </c>
    </row>
    <row r="74" spans="1:13" x14ac:dyDescent="0.3">
      <c r="A74" t="s">
        <v>18</v>
      </c>
      <c r="B74" t="s">
        <v>76</v>
      </c>
      <c r="C74">
        <v>737</v>
      </c>
      <c r="D74">
        <v>37449.000000000007</v>
      </c>
      <c r="G74" t="str">
        <f t="shared" si="0"/>
        <v>California</v>
      </c>
      <c r="K74" t="str">
        <f t="shared" si="3"/>
        <v>California</v>
      </c>
      <c r="L74">
        <f t="shared" si="4"/>
        <v>0</v>
      </c>
      <c r="M74">
        <f t="shared" si="5"/>
        <v>37449.000000000007</v>
      </c>
    </row>
    <row r="75" spans="1:13" x14ac:dyDescent="0.3">
      <c r="A75" t="s">
        <v>18</v>
      </c>
      <c r="B75" t="s">
        <v>308</v>
      </c>
      <c r="C75">
        <v>39</v>
      </c>
      <c r="D75">
        <v>2447.5</v>
      </c>
      <c r="G75" t="str">
        <f t="shared" si="0"/>
        <v>California</v>
      </c>
      <c r="K75" t="str">
        <f t="shared" si="3"/>
        <v>California</v>
      </c>
      <c r="L75">
        <f t="shared" si="4"/>
        <v>0</v>
      </c>
      <c r="M75">
        <f t="shared" si="5"/>
        <v>2447.5</v>
      </c>
    </row>
    <row r="76" spans="1:13" x14ac:dyDescent="0.3">
      <c r="A76" t="s">
        <v>18</v>
      </c>
      <c r="B76" t="s">
        <v>1115</v>
      </c>
      <c r="C76">
        <v>56</v>
      </c>
      <c r="D76">
        <v>3391.1</v>
      </c>
      <c r="G76" t="str">
        <f t="shared" si="0"/>
        <v>California</v>
      </c>
      <c r="K76" t="str">
        <f t="shared" si="3"/>
        <v>California</v>
      </c>
      <c r="L76">
        <f t="shared" si="4"/>
        <v>0</v>
      </c>
      <c r="M76">
        <f t="shared" si="5"/>
        <v>3391.1</v>
      </c>
    </row>
    <row r="77" spans="1:13" x14ac:dyDescent="0.3">
      <c r="A77" t="s">
        <v>18</v>
      </c>
      <c r="B77" t="s">
        <v>699</v>
      </c>
      <c r="C77">
        <v>2</v>
      </c>
      <c r="D77">
        <v>30.8</v>
      </c>
      <c r="G77" t="str">
        <f t="shared" si="0"/>
        <v>California</v>
      </c>
      <c r="K77" t="str">
        <f t="shared" si="3"/>
        <v>California</v>
      </c>
      <c r="L77">
        <f t="shared" si="4"/>
        <v>0</v>
      </c>
      <c r="M77">
        <f t="shared" si="5"/>
        <v>30.8</v>
      </c>
    </row>
    <row r="78" spans="1:13" x14ac:dyDescent="0.3">
      <c r="A78" t="s">
        <v>18</v>
      </c>
      <c r="B78" t="s">
        <v>267</v>
      </c>
      <c r="C78">
        <v>8</v>
      </c>
      <c r="D78">
        <v>332.3</v>
      </c>
      <c r="G78" t="str">
        <f t="shared" ref="G78:G89" si="6">IF(A78="","",A78)</f>
        <v>California</v>
      </c>
      <c r="K78" t="str">
        <f t="shared" si="3"/>
        <v>California</v>
      </c>
      <c r="L78">
        <f t="shared" si="4"/>
        <v>0</v>
      </c>
      <c r="M78">
        <f t="shared" si="5"/>
        <v>332.3</v>
      </c>
    </row>
    <row r="79" spans="1:13" x14ac:dyDescent="0.3">
      <c r="A79" t="s">
        <v>18</v>
      </c>
      <c r="B79" t="s">
        <v>376</v>
      </c>
      <c r="C79">
        <v>52</v>
      </c>
      <c r="D79">
        <v>3175.9999999999995</v>
      </c>
      <c r="G79" t="str">
        <f t="shared" si="6"/>
        <v>California</v>
      </c>
      <c r="K79" t="str">
        <f t="shared" si="3"/>
        <v>California</v>
      </c>
      <c r="L79">
        <f t="shared" si="4"/>
        <v>0</v>
      </c>
      <c r="M79">
        <f t="shared" si="5"/>
        <v>3175.9999999999995</v>
      </c>
    </row>
    <row r="80" spans="1:13" x14ac:dyDescent="0.3">
      <c r="A80" t="s">
        <v>18</v>
      </c>
      <c r="B80" t="s">
        <v>107</v>
      </c>
      <c r="C80">
        <v>295</v>
      </c>
      <c r="D80">
        <v>20939.600000000002</v>
      </c>
      <c r="G80" t="str">
        <f t="shared" si="6"/>
        <v>California</v>
      </c>
      <c r="K80" t="str">
        <f t="shared" si="3"/>
        <v>California</v>
      </c>
      <c r="L80">
        <f t="shared" si="4"/>
        <v>0</v>
      </c>
      <c r="M80">
        <f t="shared" si="5"/>
        <v>20939.600000000002</v>
      </c>
    </row>
    <row r="81" spans="1:13" x14ac:dyDescent="0.3">
      <c r="A81" t="s">
        <v>18</v>
      </c>
      <c r="B81" t="s">
        <v>109</v>
      </c>
      <c r="C81">
        <v>195</v>
      </c>
      <c r="D81">
        <v>10185.899999999996</v>
      </c>
      <c r="G81" t="str">
        <f t="shared" si="6"/>
        <v>California</v>
      </c>
      <c r="K81" t="str">
        <f t="shared" si="3"/>
        <v>California</v>
      </c>
      <c r="L81">
        <f t="shared" si="4"/>
        <v>0</v>
      </c>
      <c r="M81">
        <f t="shared" si="5"/>
        <v>10185.899999999996</v>
      </c>
    </row>
    <row r="82" spans="1:13" x14ac:dyDescent="0.3">
      <c r="A82" t="s">
        <v>18</v>
      </c>
      <c r="B82" t="s">
        <v>291</v>
      </c>
      <c r="C82">
        <v>20</v>
      </c>
      <c r="D82">
        <v>958.7</v>
      </c>
      <c r="G82" t="str">
        <f t="shared" si="6"/>
        <v>California</v>
      </c>
      <c r="K82" t="str">
        <f t="shared" si="3"/>
        <v>California</v>
      </c>
      <c r="L82">
        <f t="shared" si="4"/>
        <v>0</v>
      </c>
      <c r="M82">
        <f t="shared" si="5"/>
        <v>958.7</v>
      </c>
    </row>
    <row r="83" spans="1:13" x14ac:dyDescent="0.3">
      <c r="A83" t="s">
        <v>18</v>
      </c>
      <c r="B83" t="s">
        <v>78</v>
      </c>
      <c r="C83">
        <v>6</v>
      </c>
      <c r="D83">
        <v>323</v>
      </c>
      <c r="G83" t="str">
        <f t="shared" si="6"/>
        <v>California</v>
      </c>
      <c r="K83" t="str">
        <f t="shared" si="3"/>
        <v>California</v>
      </c>
      <c r="L83">
        <f t="shared" si="4"/>
        <v>0</v>
      </c>
      <c r="M83">
        <f t="shared" si="5"/>
        <v>323</v>
      </c>
    </row>
    <row r="84" spans="1:13" x14ac:dyDescent="0.3">
      <c r="A84" t="s">
        <v>18</v>
      </c>
      <c r="B84" t="s">
        <v>607</v>
      </c>
      <c r="C84">
        <v>5</v>
      </c>
      <c r="D84">
        <v>167.70000000000002</v>
      </c>
      <c r="G84" t="str">
        <f t="shared" si="6"/>
        <v>California</v>
      </c>
      <c r="K84" t="str">
        <f t="shared" si="3"/>
        <v>California</v>
      </c>
      <c r="L84">
        <f t="shared" si="4"/>
        <v>0</v>
      </c>
      <c r="M84">
        <f t="shared" si="5"/>
        <v>167.70000000000002</v>
      </c>
    </row>
    <row r="85" spans="1:13" x14ac:dyDescent="0.3">
      <c r="A85" t="s">
        <v>18</v>
      </c>
      <c r="B85" t="s">
        <v>112</v>
      </c>
      <c r="C85">
        <v>94</v>
      </c>
      <c r="D85">
        <v>3978.5</v>
      </c>
      <c r="G85" t="str">
        <f t="shared" si="6"/>
        <v>California</v>
      </c>
      <c r="K85" t="str">
        <f t="shared" si="3"/>
        <v>California</v>
      </c>
      <c r="L85">
        <f t="shared" si="4"/>
        <v>0</v>
      </c>
      <c r="M85">
        <f t="shared" si="5"/>
        <v>3978.5</v>
      </c>
    </row>
    <row r="86" spans="1:13" x14ac:dyDescent="0.3">
      <c r="A86" t="s">
        <v>18</v>
      </c>
      <c r="B86" t="s">
        <v>996</v>
      </c>
      <c r="C86">
        <v>28</v>
      </c>
      <c r="D86">
        <v>1405</v>
      </c>
      <c r="G86" t="str">
        <f t="shared" si="6"/>
        <v>California</v>
      </c>
      <c r="K86" t="str">
        <f t="shared" si="3"/>
        <v>California</v>
      </c>
      <c r="L86">
        <f t="shared" si="4"/>
        <v>0</v>
      </c>
      <c r="M86">
        <f t="shared" si="5"/>
        <v>1405</v>
      </c>
    </row>
    <row r="87" spans="1:13" x14ac:dyDescent="0.3">
      <c r="A87" t="s">
        <v>18</v>
      </c>
      <c r="B87" t="s">
        <v>81</v>
      </c>
      <c r="C87">
        <v>179</v>
      </c>
      <c r="D87">
        <v>9869.0999999999985</v>
      </c>
      <c r="G87" t="str">
        <f t="shared" si="6"/>
        <v>California</v>
      </c>
      <c r="K87" t="str">
        <f t="shared" si="3"/>
        <v>California</v>
      </c>
      <c r="L87">
        <f t="shared" si="4"/>
        <v>0</v>
      </c>
      <c r="M87">
        <f t="shared" si="5"/>
        <v>9869.0999999999985</v>
      </c>
    </row>
    <row r="88" spans="1:13" x14ac:dyDescent="0.3">
      <c r="A88" t="s">
        <v>18</v>
      </c>
      <c r="B88" t="s">
        <v>242</v>
      </c>
      <c r="C88">
        <v>15</v>
      </c>
      <c r="D88">
        <v>615.29999999999995</v>
      </c>
      <c r="G88" t="str">
        <f t="shared" si="6"/>
        <v>California</v>
      </c>
      <c r="K88" t="str">
        <f t="shared" si="3"/>
        <v>California</v>
      </c>
      <c r="L88">
        <f t="shared" si="4"/>
        <v>0</v>
      </c>
      <c r="M88">
        <f t="shared" si="5"/>
        <v>615.29999999999995</v>
      </c>
    </row>
    <row r="89" spans="1:13" x14ac:dyDescent="0.3">
      <c r="A89" t="s">
        <v>18</v>
      </c>
      <c r="B89" t="s">
        <v>1910</v>
      </c>
      <c r="C89">
        <v>3</v>
      </c>
      <c r="D89">
        <v>285</v>
      </c>
      <c r="G89" t="str">
        <f t="shared" si="6"/>
        <v>California</v>
      </c>
      <c r="K89" t="str">
        <f t="shared" si="3"/>
        <v>California</v>
      </c>
      <c r="L89">
        <f t="shared" si="4"/>
        <v>0</v>
      </c>
      <c r="M89">
        <f t="shared" si="5"/>
        <v>285</v>
      </c>
    </row>
    <row r="91" spans="1:13" x14ac:dyDescent="0.3">
      <c r="G91" s="12" t="s">
        <v>2544</v>
      </c>
      <c r="H91" s="12" t="s">
        <v>10</v>
      </c>
    </row>
    <row r="92" spans="1:13" x14ac:dyDescent="0.3">
      <c r="G92" t="s">
        <v>2543</v>
      </c>
      <c r="H92" t="s">
        <v>2545</v>
      </c>
    </row>
    <row r="93" spans="1:13" x14ac:dyDescent="0.3">
      <c r="G93" t="s">
        <v>2543</v>
      </c>
      <c r="H93" t="s">
        <v>2546</v>
      </c>
    </row>
    <row r="94" spans="1:13" x14ac:dyDescent="0.3">
      <c r="G94" t="s">
        <v>2543</v>
      </c>
      <c r="H94" t="s">
        <v>2547</v>
      </c>
    </row>
    <row r="95" spans="1:13" x14ac:dyDescent="0.3">
      <c r="G95" t="s">
        <v>2543</v>
      </c>
      <c r="H95" t="s">
        <v>2548</v>
      </c>
    </row>
    <row r="96" spans="1:13" x14ac:dyDescent="0.3">
      <c r="G96" t="s">
        <v>2543</v>
      </c>
      <c r="H96" t="s">
        <v>2549</v>
      </c>
    </row>
    <row r="97" spans="7:8" x14ac:dyDescent="0.3">
      <c r="G97" t="s">
        <v>2543</v>
      </c>
      <c r="H97" t="s">
        <v>2550</v>
      </c>
    </row>
  </sheetData>
  <conditionalFormatting sqref="G91:H97">
    <cfRule type="colorScale" priority="1">
      <colorScale>
        <cfvo type="min"/>
        <cfvo type="max"/>
        <color rgb="FF63BE7B"/>
        <color rgb="FFFCFCFF"/>
      </colorScale>
    </cfRule>
    <cfRule type="colorScale" priority="2">
      <colorScale>
        <cfvo type="min"/>
        <cfvo type="percentile" val="50"/>
        <cfvo type="max"/>
        <color rgb="FF5A8AC6"/>
        <color rgb="FFFCFCFF"/>
        <color rgb="FFF8696B"/>
      </colorScale>
    </cfRule>
  </conditionalFormatting>
  <pageMargins left="0.7" right="0.7" top="0.75" bottom="0.75" header="0.3" footer="0.3"/>
  <drawing r:id="rId4"/>
  <tableParts count="2">
    <tablePart r:id="rId5"/>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C3547-64D5-4DE7-B482-9CC9D6103EE8}">
  <dimension ref="A1:L19"/>
  <sheetViews>
    <sheetView workbookViewId="0">
      <selection activeCell="N7" sqref="N7"/>
    </sheetView>
  </sheetViews>
  <sheetFormatPr defaultRowHeight="14.4" x14ac:dyDescent="0.3"/>
  <cols>
    <col min="1" max="1" width="12.44140625" bestFit="1" customWidth="1"/>
    <col min="2" max="2" width="12.21875" bestFit="1" customWidth="1"/>
    <col min="6" max="6" width="12.44140625" bestFit="1" customWidth="1"/>
    <col min="7" max="7" width="15.5546875" bestFit="1" customWidth="1"/>
    <col min="8" max="9" width="4" bestFit="1" customWidth="1"/>
    <col min="10" max="10" width="5" bestFit="1" customWidth="1"/>
    <col min="11" max="11" width="4" bestFit="1" customWidth="1"/>
    <col min="12" max="12" width="10.5546875" bestFit="1" customWidth="1"/>
    <col min="13" max="37" width="9" bestFit="1" customWidth="1"/>
    <col min="38" max="94" width="9.44140625" bestFit="1" customWidth="1"/>
    <col min="95" max="95" width="10.5546875" bestFit="1" customWidth="1"/>
  </cols>
  <sheetData>
    <row r="1" spans="1:12" x14ac:dyDescent="0.3">
      <c r="A1" s="14" t="s">
        <v>2551</v>
      </c>
      <c r="B1" s="14"/>
      <c r="F1" s="14" t="s">
        <v>2552</v>
      </c>
      <c r="G1" s="14"/>
    </row>
    <row r="3" spans="1:12" x14ac:dyDescent="0.3">
      <c r="A3" s="5" t="s">
        <v>2527</v>
      </c>
      <c r="B3" t="s">
        <v>2518</v>
      </c>
      <c r="F3" s="5" t="s">
        <v>2518</v>
      </c>
      <c r="G3" s="5" t="s">
        <v>2529</v>
      </c>
    </row>
    <row r="4" spans="1:12" x14ac:dyDescent="0.3">
      <c r="A4" s="6">
        <v>0</v>
      </c>
      <c r="B4">
        <v>175</v>
      </c>
      <c r="F4" s="5" t="s">
        <v>2527</v>
      </c>
      <c r="G4">
        <v>1</v>
      </c>
      <c r="H4">
        <v>2</v>
      </c>
      <c r="I4">
        <v>3</v>
      </c>
      <c r="J4">
        <v>4</v>
      </c>
      <c r="K4">
        <v>5</v>
      </c>
      <c r="L4" t="s">
        <v>2528</v>
      </c>
    </row>
    <row r="5" spans="1:12" x14ac:dyDescent="0.3">
      <c r="A5" s="6">
        <v>1</v>
      </c>
      <c r="B5">
        <v>888</v>
      </c>
      <c r="F5" s="6" t="s">
        <v>2553</v>
      </c>
      <c r="G5">
        <v>7</v>
      </c>
      <c r="H5">
        <v>37</v>
      </c>
      <c r="I5">
        <v>150</v>
      </c>
      <c r="J5">
        <v>312</v>
      </c>
      <c r="K5">
        <v>224</v>
      </c>
      <c r="L5">
        <v>730</v>
      </c>
    </row>
    <row r="6" spans="1:12" x14ac:dyDescent="0.3">
      <c r="A6" s="6">
        <v>2</v>
      </c>
      <c r="B6">
        <v>538</v>
      </c>
      <c r="F6" s="6" t="s">
        <v>2554</v>
      </c>
      <c r="G6">
        <v>8</v>
      </c>
      <c r="H6">
        <v>51</v>
      </c>
      <c r="I6">
        <v>182</v>
      </c>
      <c r="J6">
        <v>373</v>
      </c>
      <c r="K6">
        <v>247</v>
      </c>
      <c r="L6">
        <v>861</v>
      </c>
    </row>
    <row r="7" spans="1:12" x14ac:dyDescent="0.3">
      <c r="A7" s="6">
        <v>3</v>
      </c>
      <c r="B7">
        <v>344</v>
      </c>
      <c r="F7" s="6" t="s">
        <v>2555</v>
      </c>
      <c r="G7">
        <v>6</v>
      </c>
      <c r="H7">
        <v>39</v>
      </c>
      <c r="I7">
        <v>163</v>
      </c>
      <c r="J7">
        <v>351</v>
      </c>
      <c r="K7">
        <v>250</v>
      </c>
      <c r="L7">
        <v>809</v>
      </c>
    </row>
    <row r="8" spans="1:12" x14ac:dyDescent="0.3">
      <c r="A8" s="6">
        <v>4</v>
      </c>
      <c r="B8">
        <v>200</v>
      </c>
      <c r="F8" s="6" t="s">
        <v>2528</v>
      </c>
      <c r="G8">
        <v>21</v>
      </c>
      <c r="H8">
        <v>127</v>
      </c>
      <c r="I8">
        <v>495</v>
      </c>
      <c r="J8">
        <v>1036</v>
      </c>
      <c r="K8">
        <v>721</v>
      </c>
      <c r="L8">
        <v>2400</v>
      </c>
    </row>
    <row r="9" spans="1:12" x14ac:dyDescent="0.3">
      <c r="A9" s="6">
        <v>5</v>
      </c>
      <c r="B9">
        <v>94</v>
      </c>
    </row>
    <row r="10" spans="1:12" x14ac:dyDescent="0.3">
      <c r="A10" s="6">
        <v>6</v>
      </c>
      <c r="B10">
        <v>51</v>
      </c>
    </row>
    <row r="11" spans="1:12" x14ac:dyDescent="0.3">
      <c r="A11" s="6">
        <v>7</v>
      </c>
      <c r="B11">
        <v>32</v>
      </c>
    </row>
    <row r="12" spans="1:12" x14ac:dyDescent="0.3">
      <c r="A12" s="6">
        <v>8</v>
      </c>
      <c r="B12">
        <v>23</v>
      </c>
    </row>
    <row r="13" spans="1:12" x14ac:dyDescent="0.3">
      <c r="A13" s="6">
        <v>9</v>
      </c>
      <c r="B13">
        <v>9</v>
      </c>
    </row>
    <row r="14" spans="1:12" x14ac:dyDescent="0.3">
      <c r="A14" s="6">
        <v>10</v>
      </c>
      <c r="B14">
        <v>8</v>
      </c>
    </row>
    <row r="15" spans="1:12" x14ac:dyDescent="0.3">
      <c r="A15" s="6">
        <v>11</v>
      </c>
      <c r="B15">
        <v>11</v>
      </c>
    </row>
    <row r="16" spans="1:12" x14ac:dyDescent="0.3">
      <c r="A16" s="6">
        <v>12</v>
      </c>
      <c r="B16">
        <v>4</v>
      </c>
    </row>
    <row r="17" spans="1:2" x14ac:dyDescent="0.3">
      <c r="A17" s="6">
        <v>13</v>
      </c>
      <c r="B17">
        <v>10</v>
      </c>
    </row>
    <row r="18" spans="1:2" x14ac:dyDescent="0.3">
      <c r="A18" s="6">
        <v>14</v>
      </c>
      <c r="B18">
        <v>13</v>
      </c>
    </row>
    <row r="19" spans="1:2" x14ac:dyDescent="0.3">
      <c r="A19" s="6" t="s">
        <v>2528</v>
      </c>
      <c r="B19">
        <v>2400</v>
      </c>
    </row>
  </sheetData>
  <mergeCells count="2">
    <mergeCell ref="A1:B1"/>
    <mergeCell ref="F1:G1"/>
  </mergeCell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workbookViewId="0">
      <selection activeCell="J2" sqref="J2"/>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I2" t="s">
        <v>17</v>
      </c>
      <c r="J2">
        <v>4</v>
      </c>
      <c r="K2" t="s">
        <v>18</v>
      </c>
      <c r="L2" t="s">
        <v>19</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20</v>
      </c>
      <c r="B3" t="s">
        <v>21</v>
      </c>
      <c r="C3">
        <v>2</v>
      </c>
      <c r="D3">
        <v>30.6</v>
      </c>
      <c r="E3">
        <v>61.2</v>
      </c>
      <c r="F3" s="1">
        <v>45658</v>
      </c>
      <c r="G3" s="1">
        <v>45660</v>
      </c>
      <c r="H3" t="s">
        <v>22</v>
      </c>
      <c r="I3" t="s">
        <v>17</v>
      </c>
      <c r="J3">
        <v>4</v>
      </c>
      <c r="K3" t="s">
        <v>18</v>
      </c>
      <c r="L3" t="s">
        <v>23</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24</v>
      </c>
      <c r="B4" t="s">
        <v>25</v>
      </c>
      <c r="C4">
        <v>3</v>
      </c>
      <c r="D4">
        <v>109.4</v>
      </c>
      <c r="E4">
        <v>328.20000000000005</v>
      </c>
      <c r="F4" s="1">
        <v>45658</v>
      </c>
      <c r="G4" s="1">
        <v>45661</v>
      </c>
      <c r="H4" t="s">
        <v>26</v>
      </c>
      <c r="I4" t="s">
        <v>17</v>
      </c>
      <c r="J4">
        <v>3</v>
      </c>
      <c r="K4" t="s">
        <v>18</v>
      </c>
      <c r="L4" t="s">
        <v>27</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28</v>
      </c>
      <c r="B5" t="s">
        <v>29</v>
      </c>
      <c r="C5">
        <v>7</v>
      </c>
      <c r="D5">
        <v>37.700000000000003</v>
      </c>
      <c r="E5">
        <v>263.90000000000003</v>
      </c>
      <c r="F5" s="1">
        <v>45658</v>
      </c>
      <c r="G5" s="1">
        <v>45659</v>
      </c>
      <c r="H5" t="s">
        <v>26</v>
      </c>
      <c r="I5" t="s">
        <v>17</v>
      </c>
      <c r="J5">
        <v>4</v>
      </c>
      <c r="K5" t="s">
        <v>18</v>
      </c>
      <c r="L5" t="s">
        <v>27</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30</v>
      </c>
      <c r="B6" t="s">
        <v>31</v>
      </c>
      <c r="C6">
        <v>3</v>
      </c>
      <c r="D6">
        <v>56.7</v>
      </c>
      <c r="E6">
        <v>170.10000000000002</v>
      </c>
      <c r="F6" s="1">
        <v>45658</v>
      </c>
      <c r="G6" s="1">
        <v>45661</v>
      </c>
      <c r="H6" t="s">
        <v>26</v>
      </c>
      <c r="I6" t="s">
        <v>17</v>
      </c>
      <c r="J6">
        <v>5</v>
      </c>
      <c r="K6" t="s">
        <v>18</v>
      </c>
      <c r="L6" t="s">
        <v>32</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33</v>
      </c>
      <c r="B7" t="s">
        <v>21</v>
      </c>
      <c r="C7">
        <v>12</v>
      </c>
      <c r="D7">
        <v>83.5</v>
      </c>
      <c r="E7">
        <v>1002</v>
      </c>
      <c r="F7" s="1">
        <v>45658</v>
      </c>
      <c r="G7" s="1">
        <v>45661</v>
      </c>
      <c r="H7" t="s">
        <v>22</v>
      </c>
      <c r="I7" t="s">
        <v>34</v>
      </c>
      <c r="J7">
        <v>4</v>
      </c>
      <c r="K7" t="s">
        <v>18</v>
      </c>
      <c r="L7" t="s">
        <v>32</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35</v>
      </c>
      <c r="B8" t="s">
        <v>36</v>
      </c>
      <c r="C8">
        <v>1</v>
      </c>
      <c r="D8">
        <v>55.3</v>
      </c>
      <c r="E8">
        <v>55.3</v>
      </c>
      <c r="F8" s="1">
        <v>45658</v>
      </c>
      <c r="G8" s="1">
        <v>45659</v>
      </c>
      <c r="H8" t="s">
        <v>26</v>
      </c>
      <c r="I8" t="s">
        <v>17</v>
      </c>
      <c r="J8">
        <v>4</v>
      </c>
      <c r="K8" t="s">
        <v>18</v>
      </c>
      <c r="L8" t="s">
        <v>32</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37</v>
      </c>
      <c r="B9" t="s">
        <v>38</v>
      </c>
      <c r="C9">
        <v>2</v>
      </c>
      <c r="D9">
        <v>40.299999999999997</v>
      </c>
      <c r="E9">
        <v>80.599999999999994</v>
      </c>
      <c r="F9" s="1">
        <v>45658</v>
      </c>
      <c r="G9" s="1">
        <v>45659</v>
      </c>
      <c r="H9" t="s">
        <v>22</v>
      </c>
      <c r="I9" t="s">
        <v>39</v>
      </c>
      <c r="J9">
        <v>5</v>
      </c>
      <c r="K9" t="s">
        <v>18</v>
      </c>
      <c r="L9" t="s">
        <v>32</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40</v>
      </c>
      <c r="B10" t="s">
        <v>41</v>
      </c>
      <c r="C10">
        <v>11</v>
      </c>
      <c r="D10">
        <v>35.700000000000003</v>
      </c>
      <c r="E10">
        <v>392.70000000000005</v>
      </c>
      <c r="F10" s="1">
        <v>45658</v>
      </c>
      <c r="G10" s="1">
        <v>45659</v>
      </c>
      <c r="H10" t="s">
        <v>26</v>
      </c>
      <c r="I10" t="s">
        <v>17</v>
      </c>
      <c r="J10">
        <v>4</v>
      </c>
      <c r="K10" t="s">
        <v>18</v>
      </c>
      <c r="L10" t="s">
        <v>32</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42</v>
      </c>
      <c r="B11" t="s">
        <v>43</v>
      </c>
      <c r="C11">
        <v>7</v>
      </c>
      <c r="D11">
        <v>22.4</v>
      </c>
      <c r="E11">
        <v>156.79999999999998</v>
      </c>
      <c r="F11" s="1">
        <v>45658</v>
      </c>
      <c r="G11" s="1">
        <v>45661</v>
      </c>
      <c r="H11" t="s">
        <v>22</v>
      </c>
      <c r="I11" t="s">
        <v>17</v>
      </c>
      <c r="J11">
        <v>3</v>
      </c>
      <c r="K11" t="s">
        <v>18</v>
      </c>
      <c r="L11" t="s">
        <v>32</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44</v>
      </c>
      <c r="B12" t="s">
        <v>45</v>
      </c>
      <c r="C12">
        <v>2</v>
      </c>
      <c r="D12">
        <v>54.4</v>
      </c>
      <c r="E12">
        <v>108.8</v>
      </c>
      <c r="F12" s="1">
        <v>45658</v>
      </c>
      <c r="G12" s="1">
        <v>45664</v>
      </c>
      <c r="H12" t="s">
        <v>26</v>
      </c>
      <c r="I12" t="s">
        <v>17</v>
      </c>
      <c r="J12">
        <v>4</v>
      </c>
      <c r="K12" t="s">
        <v>18</v>
      </c>
      <c r="L12" t="s">
        <v>32</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46</v>
      </c>
      <c r="B13" t="s">
        <v>45</v>
      </c>
      <c r="C13">
        <v>2</v>
      </c>
      <c r="D13">
        <v>49</v>
      </c>
      <c r="E13">
        <v>98</v>
      </c>
      <c r="F13" s="1">
        <v>45658</v>
      </c>
      <c r="G13" s="1">
        <v>45660</v>
      </c>
      <c r="H13" t="s">
        <v>26</v>
      </c>
      <c r="I13" t="s">
        <v>39</v>
      </c>
      <c r="J13">
        <v>3</v>
      </c>
      <c r="K13" t="s">
        <v>18</v>
      </c>
      <c r="L13" t="s">
        <v>32</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47</v>
      </c>
      <c r="B14" t="s">
        <v>36</v>
      </c>
      <c r="C14">
        <v>7</v>
      </c>
      <c r="D14">
        <v>118.6</v>
      </c>
      <c r="E14">
        <v>830.19999999999993</v>
      </c>
      <c r="F14" s="1">
        <v>45658</v>
      </c>
      <c r="G14" s="1">
        <v>45662</v>
      </c>
      <c r="H14" t="s">
        <v>26</v>
      </c>
      <c r="I14" t="s">
        <v>34</v>
      </c>
      <c r="J14">
        <v>4</v>
      </c>
      <c r="K14" t="s">
        <v>18</v>
      </c>
      <c r="L14" t="s">
        <v>48</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49</v>
      </c>
      <c r="B15" t="s">
        <v>38</v>
      </c>
      <c r="C15">
        <v>27</v>
      </c>
      <c r="D15">
        <v>88.4</v>
      </c>
      <c r="E15">
        <v>2386.8000000000002</v>
      </c>
      <c r="F15" s="1">
        <v>45658</v>
      </c>
      <c r="G15" s="1">
        <v>45665</v>
      </c>
      <c r="H15" t="s">
        <v>22</v>
      </c>
      <c r="I15" t="s">
        <v>50</v>
      </c>
      <c r="J15">
        <v>4</v>
      </c>
      <c r="K15" t="s">
        <v>18</v>
      </c>
      <c r="L15" t="s">
        <v>51</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52</v>
      </c>
      <c r="B16" t="s">
        <v>53</v>
      </c>
      <c r="C16">
        <v>1</v>
      </c>
      <c r="D16">
        <v>66.7</v>
      </c>
      <c r="E16">
        <v>66.7</v>
      </c>
      <c r="F16" s="1">
        <v>45658</v>
      </c>
      <c r="G16" s="1">
        <v>45661</v>
      </c>
      <c r="H16" t="s">
        <v>22</v>
      </c>
      <c r="I16" t="s">
        <v>17</v>
      </c>
      <c r="J16">
        <v>4</v>
      </c>
      <c r="K16" t="s">
        <v>18</v>
      </c>
      <c r="L16" t="s">
        <v>54</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55</v>
      </c>
      <c r="B17" t="s">
        <v>45</v>
      </c>
      <c r="C17">
        <v>10</v>
      </c>
      <c r="D17">
        <v>30.9</v>
      </c>
      <c r="E17">
        <v>309</v>
      </c>
      <c r="F17" s="1">
        <v>45658</v>
      </c>
      <c r="G17" s="1">
        <v>45659</v>
      </c>
      <c r="H17" t="s">
        <v>22</v>
      </c>
      <c r="I17" t="s">
        <v>34</v>
      </c>
      <c r="J17">
        <v>5</v>
      </c>
      <c r="K17" t="s">
        <v>18</v>
      </c>
      <c r="L17" t="s">
        <v>54</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56</v>
      </c>
      <c r="B18" t="s">
        <v>31</v>
      </c>
      <c r="C18">
        <v>3</v>
      </c>
      <c r="D18">
        <v>31.1</v>
      </c>
      <c r="E18">
        <v>93.300000000000011</v>
      </c>
      <c r="F18" s="1">
        <v>45658</v>
      </c>
      <c r="G18" s="1">
        <v>45659</v>
      </c>
      <c r="H18" t="s">
        <v>26</v>
      </c>
      <c r="I18" t="s">
        <v>17</v>
      </c>
      <c r="J18">
        <v>3</v>
      </c>
      <c r="K18" t="s">
        <v>18</v>
      </c>
      <c r="L18" t="s">
        <v>54</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57</v>
      </c>
      <c r="B19" t="s">
        <v>41</v>
      </c>
      <c r="C19">
        <v>3</v>
      </c>
      <c r="D19">
        <v>36.6</v>
      </c>
      <c r="E19">
        <v>109.80000000000001</v>
      </c>
      <c r="F19" s="1">
        <v>45658</v>
      </c>
      <c r="G19" s="1">
        <v>45661</v>
      </c>
      <c r="H19" t="s">
        <v>26</v>
      </c>
      <c r="I19" t="s">
        <v>17</v>
      </c>
      <c r="J19">
        <v>4</v>
      </c>
      <c r="K19" t="s">
        <v>18</v>
      </c>
      <c r="L19" t="s">
        <v>58</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59</v>
      </c>
      <c r="B20" t="s">
        <v>38</v>
      </c>
      <c r="C20">
        <v>8</v>
      </c>
      <c r="D20">
        <v>51.1</v>
      </c>
      <c r="E20">
        <v>408.8</v>
      </c>
      <c r="F20" s="1">
        <v>45658</v>
      </c>
      <c r="G20" s="1">
        <v>45661</v>
      </c>
      <c r="H20" t="s">
        <v>26</v>
      </c>
      <c r="I20" t="s">
        <v>39</v>
      </c>
      <c r="J20">
        <v>1</v>
      </c>
      <c r="K20" t="s">
        <v>18</v>
      </c>
      <c r="L20" t="s">
        <v>58</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60</v>
      </c>
      <c r="B21" t="s">
        <v>45</v>
      </c>
      <c r="C21">
        <v>1</v>
      </c>
      <c r="D21">
        <v>25.2</v>
      </c>
      <c r="E21">
        <v>25.2</v>
      </c>
      <c r="F21" s="1">
        <v>45658</v>
      </c>
      <c r="G21" s="1">
        <v>45659</v>
      </c>
      <c r="H21" t="s">
        <v>26</v>
      </c>
      <c r="I21" t="s">
        <v>34</v>
      </c>
      <c r="J21">
        <v>5</v>
      </c>
      <c r="K21" t="s">
        <v>18</v>
      </c>
      <c r="L21" t="s">
        <v>61</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62</v>
      </c>
      <c r="B22" t="s">
        <v>45</v>
      </c>
      <c r="C22">
        <v>5</v>
      </c>
      <c r="D22">
        <v>43.8</v>
      </c>
      <c r="E22">
        <v>219</v>
      </c>
      <c r="F22" s="1">
        <v>45658</v>
      </c>
      <c r="G22" s="1">
        <v>45661</v>
      </c>
      <c r="H22" t="s">
        <v>26</v>
      </c>
      <c r="I22" t="s">
        <v>39</v>
      </c>
      <c r="J22">
        <v>4</v>
      </c>
      <c r="K22" t="s">
        <v>18</v>
      </c>
      <c r="L22" t="s">
        <v>61</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63</v>
      </c>
      <c r="B23" t="s">
        <v>43</v>
      </c>
      <c r="C23">
        <v>12</v>
      </c>
      <c r="D23">
        <v>46.7</v>
      </c>
      <c r="E23">
        <v>560.40000000000009</v>
      </c>
      <c r="F23" s="1">
        <v>45658</v>
      </c>
      <c r="G23" s="1">
        <v>45659</v>
      </c>
      <c r="H23" t="s">
        <v>26</v>
      </c>
      <c r="I23" t="s">
        <v>34</v>
      </c>
      <c r="J23">
        <v>3</v>
      </c>
      <c r="K23" t="s">
        <v>18</v>
      </c>
      <c r="L23" t="s">
        <v>61</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64</v>
      </c>
      <c r="B24" t="s">
        <v>29</v>
      </c>
      <c r="C24">
        <v>19</v>
      </c>
      <c r="D24">
        <v>79.900000000000006</v>
      </c>
      <c r="E24">
        <v>1518.1000000000001</v>
      </c>
      <c r="F24" s="1">
        <v>45658</v>
      </c>
      <c r="G24" s="1">
        <v>45659</v>
      </c>
      <c r="H24" t="s">
        <v>22</v>
      </c>
      <c r="I24" t="s">
        <v>17</v>
      </c>
      <c r="J24">
        <v>5</v>
      </c>
      <c r="K24" t="s">
        <v>18</v>
      </c>
      <c r="L24" t="s">
        <v>61</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65</v>
      </c>
      <c r="B25" t="s">
        <v>66</v>
      </c>
      <c r="C25">
        <v>8</v>
      </c>
      <c r="D25">
        <v>26.4</v>
      </c>
      <c r="E25">
        <v>211.2</v>
      </c>
      <c r="F25" s="1">
        <v>45658</v>
      </c>
      <c r="G25" s="1">
        <v>45659</v>
      </c>
      <c r="H25" t="s">
        <v>26</v>
      </c>
      <c r="I25" t="s">
        <v>50</v>
      </c>
      <c r="J25">
        <v>4</v>
      </c>
      <c r="K25" t="s">
        <v>18</v>
      </c>
      <c r="L25" t="s">
        <v>61</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67</v>
      </c>
      <c r="B26" t="s">
        <v>68</v>
      </c>
      <c r="C26">
        <v>8</v>
      </c>
      <c r="D26">
        <v>88.8</v>
      </c>
      <c r="E26">
        <v>710.4</v>
      </c>
      <c r="F26" s="1">
        <v>45658</v>
      </c>
      <c r="G26" s="1">
        <v>45659</v>
      </c>
      <c r="H26" t="s">
        <v>26</v>
      </c>
      <c r="I26" t="s">
        <v>69</v>
      </c>
      <c r="J26">
        <v>4</v>
      </c>
      <c r="K26" t="s">
        <v>18</v>
      </c>
      <c r="L26" t="s">
        <v>61</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70</v>
      </c>
      <c r="B27" t="s">
        <v>16</v>
      </c>
      <c r="C27">
        <v>10</v>
      </c>
      <c r="D27">
        <v>17.5</v>
      </c>
      <c r="E27">
        <v>175</v>
      </c>
      <c r="F27" s="1">
        <v>45658</v>
      </c>
      <c r="G27" s="1">
        <v>45659</v>
      </c>
      <c r="H27" t="s">
        <v>26</v>
      </c>
      <c r="I27" t="s">
        <v>39</v>
      </c>
      <c r="J27">
        <v>4</v>
      </c>
      <c r="K27" t="s">
        <v>18</v>
      </c>
      <c r="L27" t="s">
        <v>71</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72</v>
      </c>
      <c r="B28" t="s">
        <v>21</v>
      </c>
      <c r="C28">
        <v>9</v>
      </c>
      <c r="D28">
        <v>38.700000000000003</v>
      </c>
      <c r="E28">
        <v>348.3</v>
      </c>
      <c r="F28" s="1">
        <v>45658</v>
      </c>
      <c r="G28" s="1">
        <v>45661</v>
      </c>
      <c r="H28" t="s">
        <v>22</v>
      </c>
      <c r="I28" t="s">
        <v>34</v>
      </c>
      <c r="J28">
        <v>4</v>
      </c>
      <c r="K28" t="s">
        <v>18</v>
      </c>
      <c r="L28" t="s">
        <v>73</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74</v>
      </c>
      <c r="B29" t="s">
        <v>75</v>
      </c>
      <c r="C29">
        <v>4</v>
      </c>
      <c r="D29">
        <v>57.2</v>
      </c>
      <c r="E29">
        <v>228.8</v>
      </c>
      <c r="F29" s="1">
        <v>45658</v>
      </c>
      <c r="G29" s="1">
        <v>45660</v>
      </c>
      <c r="I29" t="s">
        <v>34</v>
      </c>
      <c r="J29">
        <v>5</v>
      </c>
      <c r="K29" t="s">
        <v>18</v>
      </c>
      <c r="L29" t="s">
        <v>76</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77</v>
      </c>
      <c r="B30" t="s">
        <v>38</v>
      </c>
      <c r="C30">
        <v>5</v>
      </c>
      <c r="D30">
        <v>50.9</v>
      </c>
      <c r="E30">
        <v>254.5</v>
      </c>
      <c r="F30" s="1">
        <v>45658</v>
      </c>
      <c r="G30" s="1">
        <v>45664</v>
      </c>
      <c r="I30" t="s">
        <v>34</v>
      </c>
      <c r="J30">
        <v>5</v>
      </c>
      <c r="K30" t="s">
        <v>18</v>
      </c>
      <c r="L30" t="s">
        <v>78</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79</v>
      </c>
      <c r="B31" t="s">
        <v>80</v>
      </c>
      <c r="C31">
        <v>7</v>
      </c>
      <c r="D31">
        <v>41</v>
      </c>
      <c r="E31">
        <v>287</v>
      </c>
      <c r="F31" s="1">
        <v>45658</v>
      </c>
      <c r="G31" s="1">
        <v>45662</v>
      </c>
      <c r="H31" t="s">
        <v>26</v>
      </c>
      <c r="I31" t="s">
        <v>34</v>
      </c>
      <c r="J31">
        <v>4</v>
      </c>
      <c r="K31" t="s">
        <v>18</v>
      </c>
      <c r="L31" t="s">
        <v>81</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82</v>
      </c>
      <c r="B32" t="s">
        <v>43</v>
      </c>
      <c r="C32">
        <v>7</v>
      </c>
      <c r="D32">
        <v>19.100000000000001</v>
      </c>
      <c r="E32">
        <v>133.70000000000002</v>
      </c>
      <c r="F32" s="1">
        <v>45658</v>
      </c>
      <c r="G32" s="1">
        <v>45662</v>
      </c>
      <c r="H32" t="s">
        <v>22</v>
      </c>
      <c r="I32" t="s">
        <v>17</v>
      </c>
      <c r="J32">
        <v>5</v>
      </c>
      <c r="K32" t="s">
        <v>18</v>
      </c>
      <c r="L32" t="s">
        <v>83</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84</v>
      </c>
      <c r="B33" t="s">
        <v>25</v>
      </c>
      <c r="C33">
        <v>5</v>
      </c>
      <c r="D33">
        <v>166.1</v>
      </c>
      <c r="E33">
        <v>830.5</v>
      </c>
      <c r="F33" s="1">
        <v>45658</v>
      </c>
      <c r="G33" s="1">
        <v>45661</v>
      </c>
      <c r="H33" t="s">
        <v>22</v>
      </c>
      <c r="I33" t="s">
        <v>17</v>
      </c>
      <c r="J33">
        <v>4</v>
      </c>
      <c r="K33" t="s">
        <v>18</v>
      </c>
      <c r="L33" t="s">
        <v>85</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86</v>
      </c>
      <c r="B34" t="s">
        <v>31</v>
      </c>
      <c r="C34">
        <v>3</v>
      </c>
      <c r="D34">
        <v>29.9</v>
      </c>
      <c r="E34">
        <v>89.699999999999989</v>
      </c>
      <c r="F34" s="1">
        <v>45658</v>
      </c>
      <c r="G34" s="1">
        <v>45659</v>
      </c>
      <c r="H34" t="s">
        <v>22</v>
      </c>
      <c r="I34" t="s">
        <v>50</v>
      </c>
      <c r="J34">
        <v>4</v>
      </c>
      <c r="K34" t="s">
        <v>18</v>
      </c>
      <c r="L34" t="s">
        <v>32</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87</v>
      </c>
      <c r="B35" t="s">
        <v>53</v>
      </c>
      <c r="C35">
        <v>6</v>
      </c>
      <c r="D35">
        <v>21.7</v>
      </c>
      <c r="E35">
        <v>130.19999999999999</v>
      </c>
      <c r="F35" s="1">
        <v>45658</v>
      </c>
      <c r="G35" s="1">
        <v>45660</v>
      </c>
      <c r="H35" t="s">
        <v>88</v>
      </c>
      <c r="I35" t="s">
        <v>39</v>
      </c>
      <c r="J35">
        <v>5</v>
      </c>
      <c r="K35" t="s">
        <v>18</v>
      </c>
      <c r="L35" t="s">
        <v>32</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89</v>
      </c>
      <c r="B36" t="s">
        <v>66</v>
      </c>
      <c r="C36">
        <v>2</v>
      </c>
      <c r="D36">
        <v>32</v>
      </c>
      <c r="E36">
        <v>64</v>
      </c>
      <c r="F36" s="1">
        <v>45658</v>
      </c>
      <c r="G36" s="1">
        <v>45661</v>
      </c>
      <c r="H36" t="s">
        <v>22</v>
      </c>
      <c r="I36" t="s">
        <v>17</v>
      </c>
      <c r="J36">
        <v>5</v>
      </c>
      <c r="K36" t="s">
        <v>18</v>
      </c>
      <c r="L36" t="s">
        <v>32</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90</v>
      </c>
      <c r="B37" t="s">
        <v>43</v>
      </c>
      <c r="C37">
        <v>2</v>
      </c>
      <c r="D37">
        <v>15.8</v>
      </c>
      <c r="E37">
        <v>31.6</v>
      </c>
      <c r="F37" s="1">
        <v>45658</v>
      </c>
      <c r="G37" s="1">
        <v>45659</v>
      </c>
      <c r="H37" t="s">
        <v>22</v>
      </c>
      <c r="I37" t="s">
        <v>69</v>
      </c>
      <c r="J37">
        <v>5</v>
      </c>
      <c r="K37" t="s">
        <v>18</v>
      </c>
      <c r="L37" t="s">
        <v>32</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91</v>
      </c>
      <c r="B38" t="s">
        <v>25</v>
      </c>
      <c r="C38">
        <v>17</v>
      </c>
      <c r="D38">
        <v>203.1</v>
      </c>
      <c r="E38">
        <v>3452.7</v>
      </c>
      <c r="F38" s="1">
        <v>45658</v>
      </c>
      <c r="G38" s="1">
        <v>45662</v>
      </c>
      <c r="H38" t="s">
        <v>22</v>
      </c>
      <c r="I38" t="s">
        <v>50</v>
      </c>
      <c r="J38">
        <v>3</v>
      </c>
      <c r="K38" t="s">
        <v>18</v>
      </c>
      <c r="L38" t="s">
        <v>32</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92</v>
      </c>
      <c r="B39" t="s">
        <v>41</v>
      </c>
      <c r="C39">
        <v>13</v>
      </c>
      <c r="D39">
        <v>39</v>
      </c>
      <c r="E39">
        <v>507</v>
      </c>
      <c r="F39" s="1">
        <v>45658</v>
      </c>
      <c r="G39" s="1">
        <v>45664</v>
      </c>
      <c r="H39" t="s">
        <v>22</v>
      </c>
      <c r="I39" t="s">
        <v>17</v>
      </c>
      <c r="J39">
        <v>5</v>
      </c>
      <c r="K39" t="s">
        <v>18</v>
      </c>
      <c r="L39" t="s">
        <v>32</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93</v>
      </c>
      <c r="B40" t="s">
        <v>53</v>
      </c>
      <c r="C40">
        <v>1</v>
      </c>
      <c r="D40">
        <v>26.5</v>
      </c>
      <c r="E40">
        <v>26.5</v>
      </c>
      <c r="F40" s="1">
        <v>45659</v>
      </c>
      <c r="G40" s="1">
        <v>45660</v>
      </c>
      <c r="H40" t="s">
        <v>22</v>
      </c>
      <c r="I40" t="s">
        <v>39</v>
      </c>
      <c r="J40">
        <v>4</v>
      </c>
      <c r="K40" t="s">
        <v>18</v>
      </c>
      <c r="L40" t="s">
        <v>32</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94</v>
      </c>
      <c r="B41" t="s">
        <v>36</v>
      </c>
      <c r="C41">
        <v>1</v>
      </c>
      <c r="D41">
        <v>43.1</v>
      </c>
      <c r="E41">
        <v>43.1</v>
      </c>
      <c r="F41" s="1">
        <v>45659</v>
      </c>
      <c r="G41" s="1">
        <v>45660</v>
      </c>
      <c r="H41" t="s">
        <v>26</v>
      </c>
      <c r="I41" t="s">
        <v>39</v>
      </c>
      <c r="J41">
        <v>3</v>
      </c>
      <c r="K41" t="s">
        <v>18</v>
      </c>
      <c r="L41" t="s">
        <v>32</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95</v>
      </c>
      <c r="B42" t="s">
        <v>21</v>
      </c>
      <c r="C42">
        <v>3</v>
      </c>
      <c r="D42">
        <v>139</v>
      </c>
      <c r="E42">
        <v>417</v>
      </c>
      <c r="F42" s="1">
        <v>45659</v>
      </c>
      <c r="G42" s="1">
        <v>45660</v>
      </c>
      <c r="H42" t="s">
        <v>26</v>
      </c>
      <c r="I42" t="s">
        <v>69</v>
      </c>
      <c r="J42">
        <v>5</v>
      </c>
      <c r="K42" t="s">
        <v>18</v>
      </c>
      <c r="L42" t="s">
        <v>32</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96</v>
      </c>
      <c r="B43" t="s">
        <v>68</v>
      </c>
      <c r="C43">
        <v>1</v>
      </c>
      <c r="D43">
        <v>80.7</v>
      </c>
      <c r="E43">
        <v>80.7</v>
      </c>
      <c r="F43" s="1">
        <v>45659</v>
      </c>
      <c r="G43" s="1">
        <v>45660</v>
      </c>
      <c r="H43" t="s">
        <v>22</v>
      </c>
      <c r="I43" t="s">
        <v>17</v>
      </c>
      <c r="J43">
        <v>5</v>
      </c>
      <c r="K43" t="s">
        <v>18</v>
      </c>
      <c r="L43" t="s">
        <v>97</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98</v>
      </c>
      <c r="B44" t="s">
        <v>31</v>
      </c>
      <c r="C44">
        <v>2</v>
      </c>
      <c r="D44">
        <v>54.5</v>
      </c>
      <c r="E44">
        <v>109</v>
      </c>
      <c r="F44" s="1">
        <v>45659</v>
      </c>
      <c r="G44" s="1">
        <v>45661</v>
      </c>
      <c r="H44" t="s">
        <v>22</v>
      </c>
      <c r="I44" t="s">
        <v>34</v>
      </c>
      <c r="J44">
        <v>3</v>
      </c>
      <c r="K44" t="s">
        <v>18</v>
      </c>
      <c r="L44" t="s">
        <v>54</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99</v>
      </c>
      <c r="B45" t="s">
        <v>38</v>
      </c>
      <c r="C45">
        <v>3</v>
      </c>
      <c r="D45">
        <v>68.599999999999994</v>
      </c>
      <c r="E45">
        <v>205.79999999999998</v>
      </c>
      <c r="F45" s="1">
        <v>45659</v>
      </c>
      <c r="G45" s="1">
        <v>45659</v>
      </c>
      <c r="H45" t="s">
        <v>26</v>
      </c>
      <c r="I45" t="s">
        <v>17</v>
      </c>
      <c r="J45">
        <v>3</v>
      </c>
      <c r="K45" t="s">
        <v>18</v>
      </c>
      <c r="L45" t="s">
        <v>61</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100</v>
      </c>
      <c r="B46" t="s">
        <v>25</v>
      </c>
      <c r="C46">
        <v>4</v>
      </c>
      <c r="D46">
        <v>135.9</v>
      </c>
      <c r="E46">
        <v>543.6</v>
      </c>
      <c r="F46" s="1">
        <v>45659</v>
      </c>
      <c r="G46" s="1">
        <v>45660</v>
      </c>
      <c r="H46" t="s">
        <v>26</v>
      </c>
      <c r="I46" t="s">
        <v>39</v>
      </c>
      <c r="J46">
        <v>5</v>
      </c>
      <c r="K46" t="s">
        <v>18</v>
      </c>
      <c r="L46" t="s">
        <v>61</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101</v>
      </c>
      <c r="B47" t="s">
        <v>25</v>
      </c>
      <c r="C47">
        <v>4</v>
      </c>
      <c r="D47">
        <v>70.900000000000006</v>
      </c>
      <c r="E47">
        <v>283.60000000000002</v>
      </c>
      <c r="F47" s="1">
        <v>45659</v>
      </c>
      <c r="G47" s="1">
        <v>45660</v>
      </c>
      <c r="H47" t="s">
        <v>26</v>
      </c>
      <c r="I47" t="s">
        <v>17</v>
      </c>
      <c r="J47">
        <v>4</v>
      </c>
      <c r="K47" t="s">
        <v>18</v>
      </c>
      <c r="L47" t="s">
        <v>102</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103</v>
      </c>
      <c r="B48" t="s">
        <v>21</v>
      </c>
      <c r="C48">
        <v>5</v>
      </c>
      <c r="D48">
        <v>63.7</v>
      </c>
      <c r="E48">
        <v>318.5</v>
      </c>
      <c r="F48" s="1">
        <v>45659</v>
      </c>
      <c r="G48" s="1">
        <v>45660</v>
      </c>
      <c r="H48" t="s">
        <v>22</v>
      </c>
      <c r="I48" t="s">
        <v>34</v>
      </c>
      <c r="J48">
        <v>3</v>
      </c>
      <c r="K48" t="s">
        <v>18</v>
      </c>
      <c r="L48" t="s">
        <v>71</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104</v>
      </c>
      <c r="B49" t="s">
        <v>75</v>
      </c>
      <c r="C49">
        <v>1</v>
      </c>
      <c r="D49">
        <v>29.7</v>
      </c>
      <c r="E49">
        <v>29.7</v>
      </c>
      <c r="F49" s="1">
        <v>45659</v>
      </c>
      <c r="G49" s="1">
        <v>45661</v>
      </c>
      <c r="H49" t="s">
        <v>26</v>
      </c>
      <c r="I49" t="s">
        <v>34</v>
      </c>
      <c r="J49">
        <v>4</v>
      </c>
      <c r="K49" t="s">
        <v>18</v>
      </c>
      <c r="L49" t="s">
        <v>76</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105</v>
      </c>
      <c r="B50" t="s">
        <v>31</v>
      </c>
      <c r="C50">
        <v>3</v>
      </c>
      <c r="D50">
        <v>26.8</v>
      </c>
      <c r="E50">
        <v>80.400000000000006</v>
      </c>
      <c r="F50" s="1">
        <v>45659</v>
      </c>
      <c r="G50" s="1">
        <v>45668</v>
      </c>
      <c r="H50" t="s">
        <v>26</v>
      </c>
      <c r="I50" t="s">
        <v>34</v>
      </c>
      <c r="J50">
        <v>5</v>
      </c>
      <c r="K50" t="s">
        <v>18</v>
      </c>
      <c r="L50" t="s">
        <v>76</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106</v>
      </c>
      <c r="B51" t="s">
        <v>80</v>
      </c>
      <c r="C51">
        <v>1</v>
      </c>
      <c r="D51">
        <v>27</v>
      </c>
      <c r="E51">
        <v>27</v>
      </c>
      <c r="F51" s="1">
        <v>45659</v>
      </c>
      <c r="G51" s="1">
        <v>45661</v>
      </c>
      <c r="H51" t="s">
        <v>26</v>
      </c>
      <c r="I51" t="s">
        <v>17</v>
      </c>
      <c r="J51">
        <v>4</v>
      </c>
      <c r="K51" t="s">
        <v>18</v>
      </c>
      <c r="L51" t="s">
        <v>107</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108</v>
      </c>
      <c r="B52" t="s">
        <v>43</v>
      </c>
      <c r="C52">
        <v>1</v>
      </c>
      <c r="D52">
        <v>41.4</v>
      </c>
      <c r="E52">
        <v>41.4</v>
      </c>
      <c r="F52" s="1">
        <v>45659</v>
      </c>
      <c r="G52" s="1">
        <v>45660</v>
      </c>
      <c r="H52" t="s">
        <v>22</v>
      </c>
      <c r="I52" t="s">
        <v>34</v>
      </c>
      <c r="J52">
        <v>5</v>
      </c>
      <c r="K52" t="s">
        <v>18</v>
      </c>
      <c r="L52" t="s">
        <v>109</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110</v>
      </c>
      <c r="B53" t="s">
        <v>43</v>
      </c>
      <c r="C53">
        <v>2</v>
      </c>
      <c r="D53">
        <v>24.3</v>
      </c>
      <c r="E53">
        <v>48.6</v>
      </c>
      <c r="F53" s="1">
        <v>45659</v>
      </c>
      <c r="G53" s="1">
        <v>45662</v>
      </c>
      <c r="H53" t="s">
        <v>26</v>
      </c>
      <c r="I53" t="s">
        <v>34</v>
      </c>
      <c r="J53">
        <v>4</v>
      </c>
      <c r="K53" t="s">
        <v>18</v>
      </c>
      <c r="L53" t="s">
        <v>109</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111</v>
      </c>
      <c r="B54" t="s">
        <v>43</v>
      </c>
      <c r="C54">
        <v>3</v>
      </c>
      <c r="D54">
        <v>41.7</v>
      </c>
      <c r="E54">
        <v>125.10000000000001</v>
      </c>
      <c r="F54" s="1">
        <v>45659</v>
      </c>
      <c r="G54" s="1">
        <v>45661</v>
      </c>
      <c r="H54" t="s">
        <v>22</v>
      </c>
      <c r="I54" t="s">
        <v>17</v>
      </c>
      <c r="J54">
        <v>5</v>
      </c>
      <c r="K54" t="s">
        <v>18</v>
      </c>
      <c r="L54" t="s">
        <v>112</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113</v>
      </c>
      <c r="B55" t="s">
        <v>16</v>
      </c>
      <c r="C55">
        <v>2</v>
      </c>
      <c r="D55">
        <v>18</v>
      </c>
      <c r="E55">
        <v>36</v>
      </c>
      <c r="F55" s="1">
        <v>45659</v>
      </c>
      <c r="G55" s="1">
        <v>45660</v>
      </c>
      <c r="H55" t="s">
        <v>26</v>
      </c>
      <c r="I55" t="s">
        <v>17</v>
      </c>
      <c r="J55">
        <v>5</v>
      </c>
      <c r="K55" t="s">
        <v>18</v>
      </c>
      <c r="L55" t="s">
        <v>114</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115</v>
      </c>
      <c r="B56" t="s">
        <v>41</v>
      </c>
      <c r="C56">
        <v>3</v>
      </c>
      <c r="D56">
        <v>91.3</v>
      </c>
      <c r="E56">
        <v>273.89999999999998</v>
      </c>
      <c r="F56" s="1">
        <v>45659</v>
      </c>
      <c r="G56" s="1">
        <v>45662</v>
      </c>
      <c r="H56" t="s">
        <v>22</v>
      </c>
      <c r="I56" t="s">
        <v>39</v>
      </c>
      <c r="J56">
        <v>5</v>
      </c>
      <c r="K56" t="s">
        <v>18</v>
      </c>
      <c r="L56" t="s">
        <v>32</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116</v>
      </c>
      <c r="B57" t="s">
        <v>43</v>
      </c>
      <c r="C57">
        <v>8</v>
      </c>
      <c r="D57">
        <v>19.3</v>
      </c>
      <c r="E57">
        <v>154.4</v>
      </c>
      <c r="F57" s="1">
        <v>45659</v>
      </c>
      <c r="G57" s="1">
        <v>45660</v>
      </c>
      <c r="H57" t="s">
        <v>22</v>
      </c>
      <c r="I57" t="s">
        <v>17</v>
      </c>
      <c r="J57">
        <v>4</v>
      </c>
      <c r="K57" t="s">
        <v>18</v>
      </c>
      <c r="L57" t="s">
        <v>32</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117</v>
      </c>
      <c r="B58" t="s">
        <v>68</v>
      </c>
      <c r="C58">
        <v>13</v>
      </c>
      <c r="D58">
        <v>63.2</v>
      </c>
      <c r="E58">
        <v>821.6</v>
      </c>
      <c r="F58" s="1">
        <v>45659</v>
      </c>
      <c r="G58" s="1">
        <v>45660</v>
      </c>
      <c r="H58" t="s">
        <v>26</v>
      </c>
      <c r="I58" t="s">
        <v>17</v>
      </c>
      <c r="J58">
        <v>4</v>
      </c>
      <c r="K58" t="s">
        <v>18</v>
      </c>
      <c r="L58" t="s">
        <v>32</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118</v>
      </c>
      <c r="B59" t="s">
        <v>53</v>
      </c>
      <c r="C59">
        <v>9</v>
      </c>
      <c r="D59">
        <v>33.299999999999997</v>
      </c>
      <c r="E59">
        <v>299.7</v>
      </c>
      <c r="F59" s="1">
        <v>45660</v>
      </c>
      <c r="G59" s="1">
        <v>45668</v>
      </c>
      <c r="H59" t="s">
        <v>26</v>
      </c>
      <c r="I59" t="s">
        <v>17</v>
      </c>
      <c r="J59">
        <v>5</v>
      </c>
      <c r="K59" t="s">
        <v>18</v>
      </c>
      <c r="L59" t="s">
        <v>32</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119</v>
      </c>
      <c r="B60" t="s">
        <v>41</v>
      </c>
      <c r="C60">
        <v>2</v>
      </c>
      <c r="D60">
        <v>64.2</v>
      </c>
      <c r="E60">
        <v>128.4</v>
      </c>
      <c r="F60" s="1">
        <v>45660</v>
      </c>
      <c r="G60" s="1">
        <v>45661</v>
      </c>
      <c r="H60" t="s">
        <v>22</v>
      </c>
      <c r="I60" t="s">
        <v>17</v>
      </c>
      <c r="J60">
        <v>5</v>
      </c>
      <c r="K60" t="s">
        <v>18</v>
      </c>
      <c r="L60" t="s">
        <v>32</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120</v>
      </c>
      <c r="B61" t="s">
        <v>45</v>
      </c>
      <c r="C61">
        <v>3</v>
      </c>
      <c r="D61">
        <v>23.1</v>
      </c>
      <c r="E61">
        <v>69.300000000000011</v>
      </c>
      <c r="F61" s="1">
        <v>45660</v>
      </c>
      <c r="G61" s="1">
        <v>45663</v>
      </c>
      <c r="H61" t="s">
        <v>26</v>
      </c>
      <c r="I61" t="s">
        <v>34</v>
      </c>
      <c r="J61">
        <v>5</v>
      </c>
      <c r="K61" t="s">
        <v>18</v>
      </c>
      <c r="L61" t="s">
        <v>32</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121</v>
      </c>
      <c r="B62" t="s">
        <v>122</v>
      </c>
      <c r="C62">
        <v>2</v>
      </c>
      <c r="D62">
        <v>71.099999999999994</v>
      </c>
      <c r="E62">
        <v>142.19999999999999</v>
      </c>
      <c r="F62" s="1">
        <v>45660</v>
      </c>
      <c r="G62" s="1">
        <v>45662</v>
      </c>
      <c r="H62" t="s">
        <v>26</v>
      </c>
      <c r="I62" t="s">
        <v>50</v>
      </c>
      <c r="J62">
        <v>3</v>
      </c>
      <c r="K62" t="s">
        <v>18</v>
      </c>
      <c r="L62" t="s">
        <v>32</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123</v>
      </c>
      <c r="B63" t="s">
        <v>16</v>
      </c>
      <c r="C63">
        <v>2</v>
      </c>
      <c r="D63">
        <v>11.5</v>
      </c>
      <c r="E63">
        <v>23</v>
      </c>
      <c r="F63" s="1">
        <v>45660</v>
      </c>
      <c r="G63" s="1">
        <v>45661</v>
      </c>
      <c r="H63" t="s">
        <v>26</v>
      </c>
      <c r="I63" t="s">
        <v>17</v>
      </c>
      <c r="J63">
        <v>4</v>
      </c>
      <c r="K63" t="s">
        <v>18</v>
      </c>
      <c r="L63" t="s">
        <v>32</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124</v>
      </c>
      <c r="B64" t="s">
        <v>122</v>
      </c>
      <c r="C64">
        <v>19</v>
      </c>
      <c r="D64">
        <v>69.2</v>
      </c>
      <c r="E64">
        <v>1314.8</v>
      </c>
      <c r="F64" s="1">
        <v>45660</v>
      </c>
      <c r="G64" s="1">
        <v>45665</v>
      </c>
      <c r="H64" t="s">
        <v>26</v>
      </c>
      <c r="I64" t="s">
        <v>17</v>
      </c>
      <c r="J64">
        <v>4</v>
      </c>
      <c r="K64" t="s">
        <v>18</v>
      </c>
      <c r="L64" t="s">
        <v>32</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125</v>
      </c>
      <c r="B65" t="s">
        <v>16</v>
      </c>
      <c r="C65">
        <v>1</v>
      </c>
      <c r="D65">
        <v>26.8</v>
      </c>
      <c r="E65">
        <v>26.8</v>
      </c>
      <c r="F65" s="1">
        <v>45660</v>
      </c>
      <c r="G65" s="1">
        <v>45661</v>
      </c>
      <c r="H65" t="s">
        <v>22</v>
      </c>
      <c r="I65" t="s">
        <v>39</v>
      </c>
      <c r="J65">
        <v>2</v>
      </c>
      <c r="K65" t="s">
        <v>18</v>
      </c>
      <c r="L65" t="s">
        <v>32</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126</v>
      </c>
      <c r="B66" t="s">
        <v>127</v>
      </c>
      <c r="C66">
        <v>3</v>
      </c>
      <c r="D66">
        <v>31.2</v>
      </c>
      <c r="E66">
        <v>93.6</v>
      </c>
      <c r="F66" s="1">
        <v>45660</v>
      </c>
      <c r="G66" s="1">
        <v>45663</v>
      </c>
      <c r="H66" t="s">
        <v>26</v>
      </c>
      <c r="I66" t="s">
        <v>17</v>
      </c>
      <c r="J66">
        <v>4</v>
      </c>
      <c r="K66" t="s">
        <v>18</v>
      </c>
      <c r="L66" t="s">
        <v>32</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128</v>
      </c>
      <c r="B67" t="s">
        <v>68</v>
      </c>
      <c r="C67">
        <v>2</v>
      </c>
      <c r="D67">
        <v>113.2</v>
      </c>
      <c r="E67">
        <v>226.4</v>
      </c>
      <c r="F67" s="1">
        <v>45660</v>
      </c>
      <c r="G67" s="1">
        <v>45661</v>
      </c>
      <c r="H67" t="s">
        <v>26</v>
      </c>
      <c r="I67" t="s">
        <v>69</v>
      </c>
      <c r="J67">
        <v>4</v>
      </c>
      <c r="K67" t="s">
        <v>18</v>
      </c>
      <c r="L67" t="s">
        <v>32</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129</v>
      </c>
      <c r="B68" t="s">
        <v>53</v>
      </c>
      <c r="C68">
        <v>8</v>
      </c>
      <c r="D68">
        <v>21</v>
      </c>
      <c r="E68">
        <v>168</v>
      </c>
      <c r="F68" s="1">
        <v>45660</v>
      </c>
      <c r="G68" s="1">
        <v>45661</v>
      </c>
      <c r="H68" t="s">
        <v>22</v>
      </c>
      <c r="I68" t="s">
        <v>17</v>
      </c>
      <c r="J68">
        <v>4</v>
      </c>
      <c r="K68" t="s">
        <v>18</v>
      </c>
      <c r="L68" t="s">
        <v>54</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130</v>
      </c>
      <c r="B69" t="s">
        <v>21</v>
      </c>
      <c r="C69">
        <v>2</v>
      </c>
      <c r="D69">
        <v>89.1</v>
      </c>
      <c r="E69">
        <v>178.2</v>
      </c>
      <c r="F69" s="1">
        <v>45660</v>
      </c>
      <c r="G69" s="1">
        <v>45661</v>
      </c>
      <c r="H69" t="s">
        <v>26</v>
      </c>
      <c r="I69" t="s">
        <v>39</v>
      </c>
      <c r="J69">
        <v>5</v>
      </c>
      <c r="K69" t="s">
        <v>18</v>
      </c>
      <c r="L69" t="s">
        <v>54</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131</v>
      </c>
      <c r="B70" t="s">
        <v>21</v>
      </c>
      <c r="C70">
        <v>1</v>
      </c>
      <c r="D70">
        <v>97.7</v>
      </c>
      <c r="E70">
        <v>97.7</v>
      </c>
      <c r="F70" s="1">
        <v>45660</v>
      </c>
      <c r="G70" s="1">
        <v>45662</v>
      </c>
      <c r="H70" t="s">
        <v>26</v>
      </c>
      <c r="I70" t="s">
        <v>17</v>
      </c>
      <c r="J70">
        <v>3</v>
      </c>
      <c r="K70" t="s">
        <v>18</v>
      </c>
      <c r="L70" t="s">
        <v>54</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132</v>
      </c>
      <c r="B71" t="s">
        <v>122</v>
      </c>
      <c r="C71">
        <v>4</v>
      </c>
      <c r="D71">
        <v>97.7</v>
      </c>
      <c r="E71">
        <v>390.8</v>
      </c>
      <c r="F71" s="1">
        <v>45660</v>
      </c>
      <c r="G71" s="1">
        <v>45662</v>
      </c>
      <c r="H71" t="s">
        <v>22</v>
      </c>
      <c r="I71" t="s">
        <v>50</v>
      </c>
      <c r="J71">
        <v>4</v>
      </c>
      <c r="K71" t="s">
        <v>18</v>
      </c>
      <c r="L71" t="s">
        <v>54</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133</v>
      </c>
      <c r="B72" t="s">
        <v>134</v>
      </c>
      <c r="C72">
        <v>3</v>
      </c>
      <c r="D72">
        <v>47.4</v>
      </c>
      <c r="E72">
        <v>142.19999999999999</v>
      </c>
      <c r="F72" s="1">
        <v>45660</v>
      </c>
      <c r="G72" s="1">
        <v>45663</v>
      </c>
      <c r="H72" t="s">
        <v>22</v>
      </c>
      <c r="I72" t="s">
        <v>50</v>
      </c>
      <c r="J72">
        <v>5</v>
      </c>
      <c r="K72" t="s">
        <v>18</v>
      </c>
      <c r="L72" t="s">
        <v>61</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135</v>
      </c>
      <c r="B73" t="s">
        <v>41</v>
      </c>
      <c r="C73">
        <v>1</v>
      </c>
      <c r="D73">
        <v>89.6</v>
      </c>
      <c r="E73">
        <v>89.6</v>
      </c>
      <c r="F73" s="1">
        <v>45660</v>
      </c>
      <c r="G73" s="1">
        <v>45663</v>
      </c>
      <c r="H73" t="s">
        <v>26</v>
      </c>
      <c r="I73" t="s">
        <v>17</v>
      </c>
      <c r="J73">
        <v>5</v>
      </c>
      <c r="K73" t="s">
        <v>18</v>
      </c>
      <c r="L73" t="s">
        <v>61</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136</v>
      </c>
      <c r="B74" t="s">
        <v>53</v>
      </c>
      <c r="C74">
        <v>18</v>
      </c>
      <c r="D74">
        <v>28.4</v>
      </c>
      <c r="E74">
        <v>511.2</v>
      </c>
      <c r="F74" s="1">
        <v>45660</v>
      </c>
      <c r="G74" s="1">
        <v>45663</v>
      </c>
      <c r="H74" t="s">
        <v>26</v>
      </c>
      <c r="I74" t="s">
        <v>50</v>
      </c>
      <c r="J74">
        <v>5</v>
      </c>
      <c r="K74" t="s">
        <v>18</v>
      </c>
      <c r="L74" t="s">
        <v>102</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137</v>
      </c>
      <c r="B75" t="s">
        <v>16</v>
      </c>
      <c r="C75">
        <v>2</v>
      </c>
      <c r="D75">
        <v>17.899999999999999</v>
      </c>
      <c r="E75">
        <v>35.799999999999997</v>
      </c>
      <c r="F75" s="1">
        <v>45660</v>
      </c>
      <c r="G75" s="1">
        <v>45661</v>
      </c>
      <c r="H75" t="s">
        <v>26</v>
      </c>
      <c r="I75" t="s">
        <v>17</v>
      </c>
      <c r="J75">
        <v>5</v>
      </c>
      <c r="K75" t="s">
        <v>18</v>
      </c>
      <c r="L75" t="s">
        <v>71</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138</v>
      </c>
      <c r="B76" t="s">
        <v>45</v>
      </c>
      <c r="C76">
        <v>2</v>
      </c>
      <c r="D76">
        <v>48.4</v>
      </c>
      <c r="E76">
        <v>96.8</v>
      </c>
      <c r="F76" s="1">
        <v>45660</v>
      </c>
      <c r="G76" s="1">
        <v>45663</v>
      </c>
      <c r="H76" t="s">
        <v>22</v>
      </c>
      <c r="I76" t="s">
        <v>34</v>
      </c>
      <c r="J76">
        <v>4</v>
      </c>
      <c r="K76" t="s">
        <v>18</v>
      </c>
      <c r="L76" t="s">
        <v>71</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139</v>
      </c>
      <c r="B77" t="s">
        <v>68</v>
      </c>
      <c r="C77">
        <v>4</v>
      </c>
      <c r="D77">
        <v>44.4</v>
      </c>
      <c r="E77">
        <v>177.6</v>
      </c>
      <c r="F77" s="1">
        <v>45660</v>
      </c>
      <c r="G77" s="1">
        <v>45661</v>
      </c>
      <c r="H77" t="s">
        <v>88</v>
      </c>
      <c r="I77" t="s">
        <v>34</v>
      </c>
      <c r="J77">
        <v>3</v>
      </c>
      <c r="K77" t="s">
        <v>18</v>
      </c>
      <c r="L77" t="s">
        <v>76</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140</v>
      </c>
      <c r="B78" t="s">
        <v>25</v>
      </c>
      <c r="C78">
        <v>8</v>
      </c>
      <c r="D78">
        <v>103.7</v>
      </c>
      <c r="E78">
        <v>829.6</v>
      </c>
      <c r="F78" s="1">
        <v>45660</v>
      </c>
      <c r="G78" s="1">
        <v>45661</v>
      </c>
      <c r="H78" t="s">
        <v>26</v>
      </c>
      <c r="I78" t="s">
        <v>17</v>
      </c>
      <c r="J78">
        <v>3</v>
      </c>
      <c r="K78" t="s">
        <v>18</v>
      </c>
      <c r="L78" t="s">
        <v>109</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141</v>
      </c>
      <c r="B79" t="s">
        <v>36</v>
      </c>
      <c r="C79">
        <v>4</v>
      </c>
      <c r="D79">
        <v>58.6</v>
      </c>
      <c r="E79">
        <v>234.4</v>
      </c>
      <c r="F79" s="1">
        <v>45660</v>
      </c>
      <c r="G79" s="1">
        <v>45662</v>
      </c>
      <c r="H79" t="s">
        <v>22</v>
      </c>
      <c r="I79" t="s">
        <v>50</v>
      </c>
      <c r="J79">
        <v>4</v>
      </c>
      <c r="K79" t="s">
        <v>18</v>
      </c>
      <c r="L79" t="s">
        <v>109</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142</v>
      </c>
      <c r="B80" t="s">
        <v>45</v>
      </c>
      <c r="C80">
        <v>4</v>
      </c>
      <c r="D80">
        <v>54.8</v>
      </c>
      <c r="E80">
        <v>219.2</v>
      </c>
      <c r="F80" s="1">
        <v>45660</v>
      </c>
      <c r="G80" s="1">
        <v>45664</v>
      </c>
      <c r="H80" t="s">
        <v>26</v>
      </c>
      <c r="I80" t="s">
        <v>39</v>
      </c>
      <c r="J80">
        <v>3</v>
      </c>
      <c r="K80" t="s">
        <v>18</v>
      </c>
      <c r="L80" t="s">
        <v>81</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143</v>
      </c>
      <c r="B81" t="s">
        <v>68</v>
      </c>
      <c r="C81">
        <v>3</v>
      </c>
      <c r="D81">
        <v>78.8</v>
      </c>
      <c r="E81">
        <v>236.39999999999998</v>
      </c>
      <c r="F81" s="1">
        <v>45660</v>
      </c>
      <c r="G81" s="1">
        <v>45666</v>
      </c>
      <c r="H81" t="s">
        <v>26</v>
      </c>
      <c r="I81" t="s">
        <v>69</v>
      </c>
      <c r="J81">
        <v>3</v>
      </c>
      <c r="K81" t="s">
        <v>18</v>
      </c>
      <c r="L81" t="s">
        <v>114</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144</v>
      </c>
      <c r="B82" t="s">
        <v>145</v>
      </c>
      <c r="C82">
        <v>5</v>
      </c>
      <c r="D82">
        <v>36.799999999999997</v>
      </c>
      <c r="E82">
        <v>184</v>
      </c>
      <c r="F82" s="1">
        <v>45660</v>
      </c>
      <c r="G82" s="1">
        <v>45663</v>
      </c>
      <c r="H82" t="s">
        <v>22</v>
      </c>
      <c r="I82" t="s">
        <v>69</v>
      </c>
      <c r="J82">
        <v>3</v>
      </c>
      <c r="K82" t="s">
        <v>18</v>
      </c>
      <c r="L82" t="s">
        <v>146</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147</v>
      </c>
      <c r="B83" t="s">
        <v>38</v>
      </c>
      <c r="C83">
        <v>6</v>
      </c>
      <c r="D83">
        <v>50.6</v>
      </c>
      <c r="E83">
        <v>303.60000000000002</v>
      </c>
      <c r="F83" s="1">
        <v>45660</v>
      </c>
      <c r="G83" s="1">
        <v>45662</v>
      </c>
      <c r="H83" t="s">
        <v>26</v>
      </c>
      <c r="I83" t="s">
        <v>50</v>
      </c>
      <c r="J83">
        <v>4</v>
      </c>
      <c r="K83" t="s">
        <v>18</v>
      </c>
      <c r="L83" t="s">
        <v>32</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148</v>
      </c>
      <c r="B84" t="s">
        <v>122</v>
      </c>
      <c r="C84">
        <v>3</v>
      </c>
      <c r="D84">
        <v>36.799999999999997</v>
      </c>
      <c r="E84">
        <v>110.39999999999999</v>
      </c>
      <c r="F84" s="1">
        <v>45660</v>
      </c>
      <c r="G84" s="1">
        <v>45660</v>
      </c>
      <c r="H84" t="s">
        <v>22</v>
      </c>
      <c r="I84" t="s">
        <v>39</v>
      </c>
      <c r="J84">
        <v>3</v>
      </c>
      <c r="K84" t="s">
        <v>18</v>
      </c>
      <c r="L84" t="s">
        <v>32</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149</v>
      </c>
      <c r="B85" t="s">
        <v>43</v>
      </c>
      <c r="C85">
        <v>9</v>
      </c>
      <c r="D85">
        <v>41.8</v>
      </c>
      <c r="E85">
        <v>376.2</v>
      </c>
      <c r="F85" s="1">
        <v>45661</v>
      </c>
      <c r="G85" s="1">
        <v>45667</v>
      </c>
      <c r="H85" t="s">
        <v>26</v>
      </c>
      <c r="I85" t="s">
        <v>50</v>
      </c>
      <c r="J85">
        <v>4</v>
      </c>
      <c r="K85" t="s">
        <v>18</v>
      </c>
      <c r="L85" t="s">
        <v>32</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150</v>
      </c>
      <c r="B86" t="s">
        <v>145</v>
      </c>
      <c r="C86">
        <v>1</v>
      </c>
      <c r="D86">
        <v>77.3</v>
      </c>
      <c r="E86">
        <v>77.3</v>
      </c>
      <c r="F86" s="1">
        <v>45661</v>
      </c>
      <c r="G86" s="1">
        <v>45662</v>
      </c>
      <c r="H86" t="s">
        <v>22</v>
      </c>
      <c r="I86" t="s">
        <v>69</v>
      </c>
      <c r="J86">
        <v>2</v>
      </c>
      <c r="K86" t="s">
        <v>18</v>
      </c>
      <c r="L86" t="s">
        <v>32</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151</v>
      </c>
      <c r="B87" t="s">
        <v>43</v>
      </c>
      <c r="C87">
        <v>4</v>
      </c>
      <c r="D87">
        <v>19.8</v>
      </c>
      <c r="E87">
        <v>79.2</v>
      </c>
      <c r="F87" s="1">
        <v>45661</v>
      </c>
      <c r="G87" s="1">
        <v>45667</v>
      </c>
      <c r="H87" t="s">
        <v>22</v>
      </c>
      <c r="I87" t="s">
        <v>34</v>
      </c>
      <c r="J87">
        <v>5</v>
      </c>
      <c r="K87" t="s">
        <v>18</v>
      </c>
      <c r="L87" t="s">
        <v>32</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152</v>
      </c>
      <c r="B88" t="s">
        <v>75</v>
      </c>
      <c r="C88">
        <v>4</v>
      </c>
      <c r="D88">
        <v>15.5</v>
      </c>
      <c r="E88">
        <v>62</v>
      </c>
      <c r="F88" s="1">
        <v>45661</v>
      </c>
      <c r="G88" s="1">
        <v>45662</v>
      </c>
      <c r="H88" t="s">
        <v>26</v>
      </c>
      <c r="I88" t="s">
        <v>34</v>
      </c>
      <c r="J88">
        <v>5</v>
      </c>
      <c r="K88" t="s">
        <v>18</v>
      </c>
      <c r="L88" t="s">
        <v>32</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153</v>
      </c>
      <c r="B89" t="s">
        <v>68</v>
      </c>
      <c r="C89">
        <v>1</v>
      </c>
      <c r="D89">
        <v>46.8</v>
      </c>
      <c r="E89">
        <v>46.8</v>
      </c>
      <c r="F89" s="1">
        <v>45661</v>
      </c>
      <c r="G89" s="1">
        <v>45665</v>
      </c>
      <c r="H89" t="s">
        <v>22</v>
      </c>
      <c r="I89" t="s">
        <v>17</v>
      </c>
      <c r="J89">
        <v>5</v>
      </c>
      <c r="K89" t="s">
        <v>18</v>
      </c>
      <c r="L89" t="s">
        <v>32</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154</v>
      </c>
      <c r="B90" t="s">
        <v>45</v>
      </c>
      <c r="C90">
        <v>9</v>
      </c>
      <c r="D90">
        <v>28.6</v>
      </c>
      <c r="E90">
        <v>257.40000000000003</v>
      </c>
      <c r="F90" s="1">
        <v>45661</v>
      </c>
      <c r="G90" s="1">
        <v>45665</v>
      </c>
      <c r="H90" t="s">
        <v>22</v>
      </c>
      <c r="I90" t="s">
        <v>17</v>
      </c>
      <c r="J90">
        <v>5</v>
      </c>
      <c r="K90" t="s">
        <v>18</v>
      </c>
      <c r="L90" t="s">
        <v>32</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155</v>
      </c>
      <c r="B91" t="s">
        <v>25</v>
      </c>
      <c r="C91">
        <v>1</v>
      </c>
      <c r="D91">
        <v>97.7</v>
      </c>
      <c r="E91">
        <v>97.7</v>
      </c>
      <c r="F91" s="1">
        <v>45661</v>
      </c>
      <c r="G91" s="1">
        <v>45664</v>
      </c>
      <c r="H91" t="s">
        <v>26</v>
      </c>
      <c r="I91" t="s">
        <v>34</v>
      </c>
      <c r="J91">
        <v>4</v>
      </c>
      <c r="K91" t="s">
        <v>18</v>
      </c>
      <c r="L91" t="s">
        <v>32</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156</v>
      </c>
      <c r="B92" t="s">
        <v>45</v>
      </c>
      <c r="C92">
        <v>5</v>
      </c>
      <c r="D92">
        <v>54.7</v>
      </c>
      <c r="E92">
        <v>273.5</v>
      </c>
      <c r="F92" s="1">
        <v>45661</v>
      </c>
      <c r="G92" s="1">
        <v>45664</v>
      </c>
      <c r="I92" t="s">
        <v>17</v>
      </c>
      <c r="J92">
        <v>5</v>
      </c>
      <c r="K92" t="s">
        <v>18</v>
      </c>
      <c r="L92" t="s">
        <v>157</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158</v>
      </c>
      <c r="B93" t="s">
        <v>25</v>
      </c>
      <c r="C93">
        <v>6</v>
      </c>
      <c r="D93">
        <v>130.5</v>
      </c>
      <c r="E93">
        <v>783</v>
      </c>
      <c r="F93" s="1">
        <v>45661</v>
      </c>
      <c r="G93" s="1">
        <v>45663</v>
      </c>
      <c r="H93" t="s">
        <v>26</v>
      </c>
      <c r="I93" t="s">
        <v>17</v>
      </c>
      <c r="J93">
        <v>3</v>
      </c>
      <c r="K93" t="s">
        <v>18</v>
      </c>
      <c r="L93" t="s">
        <v>157</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159</v>
      </c>
      <c r="B94" t="s">
        <v>66</v>
      </c>
      <c r="C94">
        <v>2</v>
      </c>
      <c r="D94">
        <v>50.4</v>
      </c>
      <c r="E94">
        <v>100.8</v>
      </c>
      <c r="F94" s="1">
        <v>45661</v>
      </c>
      <c r="G94" s="1">
        <v>45663</v>
      </c>
      <c r="H94" t="s">
        <v>22</v>
      </c>
      <c r="I94" t="s">
        <v>39</v>
      </c>
      <c r="J94">
        <v>5</v>
      </c>
      <c r="K94" t="s">
        <v>18</v>
      </c>
      <c r="L94" t="s">
        <v>54</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160</v>
      </c>
      <c r="B95" t="s">
        <v>38</v>
      </c>
      <c r="C95">
        <v>13</v>
      </c>
      <c r="D95">
        <v>61.5</v>
      </c>
      <c r="E95">
        <v>799.5</v>
      </c>
      <c r="F95" s="1">
        <v>45661</v>
      </c>
      <c r="G95" s="1">
        <v>45662</v>
      </c>
      <c r="I95" t="s">
        <v>50</v>
      </c>
      <c r="J95">
        <v>3</v>
      </c>
      <c r="K95" t="s">
        <v>18</v>
      </c>
      <c r="L95" t="s">
        <v>76</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161</v>
      </c>
      <c r="B96" t="s">
        <v>45</v>
      </c>
      <c r="C96">
        <v>4</v>
      </c>
      <c r="D96">
        <v>30.1</v>
      </c>
      <c r="E96">
        <v>120.4</v>
      </c>
      <c r="F96" s="1">
        <v>45661</v>
      </c>
      <c r="G96" s="1">
        <v>45662</v>
      </c>
      <c r="H96" t="s">
        <v>26</v>
      </c>
      <c r="I96" t="s">
        <v>17</v>
      </c>
      <c r="J96">
        <v>5</v>
      </c>
      <c r="K96" t="s">
        <v>18</v>
      </c>
      <c r="L96" t="s">
        <v>114</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162</v>
      </c>
      <c r="B97" t="s">
        <v>25</v>
      </c>
      <c r="C97">
        <v>5</v>
      </c>
      <c r="D97">
        <v>74.8</v>
      </c>
      <c r="E97">
        <v>374</v>
      </c>
      <c r="F97" s="1">
        <v>45661</v>
      </c>
      <c r="G97" s="1">
        <v>45662</v>
      </c>
      <c r="H97" t="s">
        <v>26</v>
      </c>
      <c r="I97" t="s">
        <v>34</v>
      </c>
      <c r="J97">
        <v>4</v>
      </c>
      <c r="K97" t="s">
        <v>18</v>
      </c>
      <c r="L97" t="s">
        <v>23</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163</v>
      </c>
      <c r="B98" t="s">
        <v>127</v>
      </c>
      <c r="C98">
        <v>3</v>
      </c>
      <c r="D98">
        <v>64.900000000000006</v>
      </c>
      <c r="E98">
        <v>194.70000000000002</v>
      </c>
      <c r="F98" s="1">
        <v>45661</v>
      </c>
      <c r="G98" s="1">
        <v>45668</v>
      </c>
      <c r="H98" t="s">
        <v>22</v>
      </c>
      <c r="I98" t="s">
        <v>17</v>
      </c>
      <c r="J98">
        <v>4</v>
      </c>
      <c r="K98" t="s">
        <v>18</v>
      </c>
      <c r="L98" t="s">
        <v>27</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164</v>
      </c>
      <c r="B99" t="s">
        <v>45</v>
      </c>
      <c r="C99">
        <v>2</v>
      </c>
      <c r="D99">
        <v>50.5</v>
      </c>
      <c r="E99">
        <v>101</v>
      </c>
      <c r="F99" s="1">
        <v>45661</v>
      </c>
      <c r="G99" s="1">
        <v>45663</v>
      </c>
      <c r="H99" t="s">
        <v>22</v>
      </c>
      <c r="I99" t="s">
        <v>34</v>
      </c>
      <c r="J99">
        <v>4</v>
      </c>
      <c r="K99" t="s">
        <v>18</v>
      </c>
      <c r="L99" t="s">
        <v>146</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165</v>
      </c>
      <c r="B100" t="s">
        <v>66</v>
      </c>
      <c r="C100">
        <v>7</v>
      </c>
      <c r="D100">
        <v>63</v>
      </c>
      <c r="E100">
        <v>441</v>
      </c>
      <c r="F100" s="1">
        <v>45661</v>
      </c>
      <c r="G100" s="1">
        <v>45664</v>
      </c>
      <c r="H100" t="s">
        <v>22</v>
      </c>
      <c r="I100" t="s">
        <v>50</v>
      </c>
      <c r="J100">
        <v>5</v>
      </c>
      <c r="K100" t="s">
        <v>18</v>
      </c>
      <c r="L100" t="s">
        <v>32</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166</v>
      </c>
      <c r="B101" t="s">
        <v>25</v>
      </c>
      <c r="C101">
        <v>3</v>
      </c>
      <c r="D101">
        <v>93.6</v>
      </c>
      <c r="E101">
        <v>280.79999999999995</v>
      </c>
      <c r="F101" s="1">
        <v>45661</v>
      </c>
      <c r="G101" s="1">
        <v>45674</v>
      </c>
      <c r="H101" t="s">
        <v>26</v>
      </c>
      <c r="I101" t="s">
        <v>17</v>
      </c>
      <c r="J101">
        <v>5</v>
      </c>
      <c r="K101" t="s">
        <v>18</v>
      </c>
      <c r="L101" t="s">
        <v>32</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167</v>
      </c>
      <c r="B102" t="s">
        <v>36</v>
      </c>
      <c r="C102">
        <v>30</v>
      </c>
      <c r="D102">
        <v>41.4</v>
      </c>
      <c r="E102">
        <v>1242</v>
      </c>
      <c r="F102" s="1">
        <v>45661</v>
      </c>
      <c r="G102" s="1">
        <v>45665</v>
      </c>
      <c r="H102" t="s">
        <v>22</v>
      </c>
      <c r="I102" t="s">
        <v>39</v>
      </c>
      <c r="J102">
        <v>5</v>
      </c>
      <c r="K102" t="s">
        <v>18</v>
      </c>
      <c r="L102" t="s">
        <v>32</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168</v>
      </c>
      <c r="B103" t="s">
        <v>25</v>
      </c>
      <c r="C103">
        <v>2</v>
      </c>
      <c r="D103">
        <v>160</v>
      </c>
      <c r="E103">
        <v>320</v>
      </c>
      <c r="F103" s="1">
        <v>45662</v>
      </c>
      <c r="G103" s="1">
        <v>45663</v>
      </c>
      <c r="H103" t="s">
        <v>22</v>
      </c>
      <c r="I103" t="s">
        <v>39</v>
      </c>
      <c r="J103">
        <v>5</v>
      </c>
      <c r="K103" t="s">
        <v>18</v>
      </c>
      <c r="L103" t="s">
        <v>51</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169</v>
      </c>
      <c r="B104" t="s">
        <v>170</v>
      </c>
      <c r="C104">
        <v>11</v>
      </c>
      <c r="D104">
        <v>10.5</v>
      </c>
      <c r="E104">
        <v>115.5</v>
      </c>
      <c r="F104" s="1">
        <v>45662</v>
      </c>
      <c r="G104" s="1">
        <v>45665</v>
      </c>
      <c r="H104" t="s">
        <v>26</v>
      </c>
      <c r="I104" t="s">
        <v>69</v>
      </c>
      <c r="J104">
        <v>4</v>
      </c>
      <c r="K104" t="s">
        <v>18</v>
      </c>
      <c r="L104" t="s">
        <v>61</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171</v>
      </c>
      <c r="B105" t="s">
        <v>53</v>
      </c>
      <c r="C105">
        <v>2</v>
      </c>
      <c r="D105">
        <v>53</v>
      </c>
      <c r="E105">
        <v>106</v>
      </c>
      <c r="F105" s="1">
        <v>45662</v>
      </c>
      <c r="G105" s="1">
        <v>45662</v>
      </c>
      <c r="H105" t="s">
        <v>22</v>
      </c>
      <c r="I105" t="s">
        <v>39</v>
      </c>
      <c r="J105">
        <v>2</v>
      </c>
      <c r="K105" t="s">
        <v>18</v>
      </c>
      <c r="L105" t="s">
        <v>102</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172</v>
      </c>
      <c r="B106" t="s">
        <v>43</v>
      </c>
      <c r="C106">
        <v>3</v>
      </c>
      <c r="D106">
        <v>18.5</v>
      </c>
      <c r="E106">
        <v>55.5</v>
      </c>
      <c r="F106" s="1">
        <v>45662</v>
      </c>
      <c r="G106" s="1">
        <v>45667</v>
      </c>
      <c r="H106" t="s">
        <v>26</v>
      </c>
      <c r="I106" t="s">
        <v>34</v>
      </c>
      <c r="J106">
        <v>5</v>
      </c>
      <c r="K106" t="s">
        <v>18</v>
      </c>
      <c r="L106" t="s">
        <v>76</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173</v>
      </c>
      <c r="B107" t="s">
        <v>127</v>
      </c>
      <c r="C107">
        <v>3</v>
      </c>
      <c r="D107">
        <v>84.5</v>
      </c>
      <c r="E107">
        <v>253.5</v>
      </c>
      <c r="F107" s="1">
        <v>45662</v>
      </c>
      <c r="G107" s="1">
        <v>45664</v>
      </c>
      <c r="H107" t="s">
        <v>26</v>
      </c>
      <c r="I107" t="s">
        <v>69</v>
      </c>
      <c r="J107">
        <v>3</v>
      </c>
      <c r="K107" t="s">
        <v>18</v>
      </c>
      <c r="L107" t="s">
        <v>81</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174</v>
      </c>
      <c r="B108" t="s">
        <v>122</v>
      </c>
      <c r="C108">
        <v>7</v>
      </c>
      <c r="D108">
        <v>31.2</v>
      </c>
      <c r="E108">
        <v>218.4</v>
      </c>
      <c r="F108" s="1">
        <v>45662</v>
      </c>
      <c r="G108" s="1">
        <v>45662</v>
      </c>
      <c r="H108" t="s">
        <v>26</v>
      </c>
      <c r="I108" t="s">
        <v>39</v>
      </c>
      <c r="J108">
        <v>5</v>
      </c>
      <c r="K108" t="s">
        <v>18</v>
      </c>
      <c r="L108" t="s">
        <v>32</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175</v>
      </c>
      <c r="B109" t="s">
        <v>43</v>
      </c>
      <c r="C109">
        <v>18</v>
      </c>
      <c r="D109">
        <v>32.6</v>
      </c>
      <c r="E109">
        <v>586.80000000000007</v>
      </c>
      <c r="F109" s="1">
        <v>45662</v>
      </c>
      <c r="G109" s="1">
        <v>45663</v>
      </c>
      <c r="H109" t="s">
        <v>22</v>
      </c>
      <c r="I109" t="s">
        <v>34</v>
      </c>
      <c r="J109">
        <v>3</v>
      </c>
      <c r="K109" t="s">
        <v>18</v>
      </c>
      <c r="L109" t="s">
        <v>32</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176</v>
      </c>
      <c r="B110" t="s">
        <v>53</v>
      </c>
      <c r="C110">
        <v>4</v>
      </c>
      <c r="D110">
        <v>45.4</v>
      </c>
      <c r="E110">
        <v>181.6</v>
      </c>
      <c r="F110" s="1">
        <v>45662</v>
      </c>
      <c r="G110" s="1">
        <v>45664</v>
      </c>
      <c r="H110" t="s">
        <v>22</v>
      </c>
      <c r="I110" t="s">
        <v>34</v>
      </c>
      <c r="J110">
        <v>4</v>
      </c>
      <c r="K110" t="s">
        <v>18</v>
      </c>
      <c r="L110" t="s">
        <v>32</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177</v>
      </c>
      <c r="B111" t="s">
        <v>25</v>
      </c>
      <c r="C111">
        <v>12</v>
      </c>
      <c r="D111">
        <v>120</v>
      </c>
      <c r="E111">
        <v>1440</v>
      </c>
      <c r="F111" s="1">
        <v>45662</v>
      </c>
      <c r="G111" s="1">
        <v>45663</v>
      </c>
      <c r="H111" t="s">
        <v>26</v>
      </c>
      <c r="I111" t="s">
        <v>39</v>
      </c>
      <c r="J111">
        <v>2</v>
      </c>
      <c r="K111" t="s">
        <v>18</v>
      </c>
      <c r="L111" t="s">
        <v>32</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178</v>
      </c>
      <c r="B112" t="s">
        <v>16</v>
      </c>
      <c r="C112">
        <v>4</v>
      </c>
      <c r="D112">
        <v>18.899999999999999</v>
      </c>
      <c r="E112">
        <v>75.599999999999994</v>
      </c>
      <c r="F112" s="1">
        <v>45662</v>
      </c>
      <c r="G112" s="1">
        <v>45664</v>
      </c>
      <c r="H112" t="s">
        <v>22</v>
      </c>
      <c r="I112" t="s">
        <v>17</v>
      </c>
      <c r="J112">
        <v>5</v>
      </c>
      <c r="K112" t="s">
        <v>18</v>
      </c>
      <c r="L112" t="s">
        <v>32</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179</v>
      </c>
      <c r="B113" t="s">
        <v>31</v>
      </c>
      <c r="C113">
        <v>1</v>
      </c>
      <c r="D113">
        <v>32</v>
      </c>
      <c r="E113">
        <v>32</v>
      </c>
      <c r="F113" s="1">
        <v>45662</v>
      </c>
      <c r="G113" s="1">
        <v>45664</v>
      </c>
      <c r="H113" t="s">
        <v>26</v>
      </c>
      <c r="I113" t="s">
        <v>69</v>
      </c>
      <c r="J113">
        <v>4</v>
      </c>
      <c r="K113" t="s">
        <v>18</v>
      </c>
      <c r="L113" t="s">
        <v>32</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180</v>
      </c>
      <c r="B114" t="s">
        <v>41</v>
      </c>
      <c r="C114">
        <v>2</v>
      </c>
      <c r="D114">
        <v>37.299999999999997</v>
      </c>
      <c r="E114">
        <v>74.599999999999994</v>
      </c>
      <c r="F114" s="1">
        <v>45662</v>
      </c>
      <c r="G114" s="1">
        <v>45663</v>
      </c>
      <c r="H114" t="s">
        <v>22</v>
      </c>
      <c r="I114" t="s">
        <v>39</v>
      </c>
      <c r="J114">
        <v>4</v>
      </c>
      <c r="K114" t="s">
        <v>18</v>
      </c>
      <c r="L114" t="s">
        <v>32</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181</v>
      </c>
      <c r="B115" t="s">
        <v>145</v>
      </c>
      <c r="C115">
        <v>1</v>
      </c>
      <c r="D115">
        <v>119.8</v>
      </c>
      <c r="E115">
        <v>119.8</v>
      </c>
      <c r="F115" s="1">
        <v>45662</v>
      </c>
      <c r="G115" s="1">
        <v>45663</v>
      </c>
      <c r="H115" t="s">
        <v>22</v>
      </c>
      <c r="I115" t="s">
        <v>34</v>
      </c>
      <c r="J115">
        <v>3</v>
      </c>
      <c r="K115" t="s">
        <v>18</v>
      </c>
      <c r="L115" t="s">
        <v>32</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182</v>
      </c>
      <c r="B116" t="s">
        <v>53</v>
      </c>
      <c r="C116">
        <v>2</v>
      </c>
      <c r="D116">
        <v>26.4</v>
      </c>
      <c r="E116">
        <v>52.8</v>
      </c>
      <c r="F116" s="1">
        <v>45662</v>
      </c>
      <c r="G116" s="1">
        <v>45665</v>
      </c>
      <c r="H116" t="s">
        <v>22</v>
      </c>
      <c r="I116" t="s">
        <v>39</v>
      </c>
      <c r="J116">
        <v>4</v>
      </c>
      <c r="K116" t="s">
        <v>18</v>
      </c>
      <c r="L116" t="s">
        <v>32</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183</v>
      </c>
      <c r="B117" t="s">
        <v>38</v>
      </c>
      <c r="C117">
        <v>6</v>
      </c>
      <c r="D117">
        <v>76.5</v>
      </c>
      <c r="E117">
        <v>459</v>
      </c>
      <c r="F117" s="1">
        <v>45662</v>
      </c>
      <c r="G117" s="1">
        <v>45663</v>
      </c>
      <c r="H117" t="s">
        <v>26</v>
      </c>
      <c r="I117" t="s">
        <v>34</v>
      </c>
      <c r="J117">
        <v>3</v>
      </c>
      <c r="K117" t="s">
        <v>18</v>
      </c>
      <c r="L117" t="s">
        <v>32</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184</v>
      </c>
      <c r="B118" t="s">
        <v>31</v>
      </c>
      <c r="C118">
        <v>10</v>
      </c>
      <c r="D118">
        <v>45.7</v>
      </c>
      <c r="E118">
        <v>457</v>
      </c>
      <c r="F118" s="1">
        <v>45662</v>
      </c>
      <c r="G118" s="1">
        <v>45663</v>
      </c>
      <c r="H118" t="s">
        <v>26</v>
      </c>
      <c r="I118" t="s">
        <v>39</v>
      </c>
      <c r="J118">
        <v>4</v>
      </c>
      <c r="K118" t="s">
        <v>18</v>
      </c>
      <c r="L118" t="s">
        <v>185</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186</v>
      </c>
      <c r="B119" t="s">
        <v>21</v>
      </c>
      <c r="C119">
        <v>12</v>
      </c>
      <c r="D119">
        <v>92.6</v>
      </c>
      <c r="E119">
        <v>1111.1999999999998</v>
      </c>
      <c r="F119" s="1">
        <v>45662</v>
      </c>
      <c r="G119" s="1">
        <v>45664</v>
      </c>
      <c r="H119" t="s">
        <v>26</v>
      </c>
      <c r="I119" t="s">
        <v>39</v>
      </c>
      <c r="J119">
        <v>4</v>
      </c>
      <c r="K119" t="s">
        <v>18</v>
      </c>
      <c r="L119" t="s">
        <v>187</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188</v>
      </c>
      <c r="B120" t="s">
        <v>38</v>
      </c>
      <c r="C120">
        <v>6</v>
      </c>
      <c r="D120">
        <v>60.1</v>
      </c>
      <c r="E120">
        <v>360.6</v>
      </c>
      <c r="F120" s="1">
        <v>45662</v>
      </c>
      <c r="G120" s="1">
        <v>45663</v>
      </c>
      <c r="H120" t="s">
        <v>22</v>
      </c>
      <c r="I120" t="s">
        <v>34</v>
      </c>
      <c r="J120">
        <v>4</v>
      </c>
      <c r="K120" t="s">
        <v>18</v>
      </c>
      <c r="L120" t="s">
        <v>157</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189</v>
      </c>
      <c r="B121" t="s">
        <v>21</v>
      </c>
      <c r="C121">
        <v>3</v>
      </c>
      <c r="D121">
        <v>73</v>
      </c>
      <c r="E121">
        <v>219</v>
      </c>
      <c r="F121" s="1">
        <v>45662</v>
      </c>
      <c r="G121" s="1">
        <v>45663</v>
      </c>
      <c r="H121" t="s">
        <v>26</v>
      </c>
      <c r="I121" t="s">
        <v>50</v>
      </c>
      <c r="J121">
        <v>3</v>
      </c>
      <c r="K121" t="s">
        <v>18</v>
      </c>
      <c r="L121" t="s">
        <v>54</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190</v>
      </c>
      <c r="B122" t="s">
        <v>38</v>
      </c>
      <c r="C122">
        <v>3</v>
      </c>
      <c r="D122">
        <v>44.3</v>
      </c>
      <c r="E122">
        <v>132.89999999999998</v>
      </c>
      <c r="F122" s="1">
        <v>45662</v>
      </c>
      <c r="G122" s="1">
        <v>45666</v>
      </c>
      <c r="I122" t="s">
        <v>39</v>
      </c>
      <c r="J122">
        <v>5</v>
      </c>
      <c r="K122" t="s">
        <v>18</v>
      </c>
      <c r="L122" t="s">
        <v>54</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191</v>
      </c>
      <c r="B123" t="s">
        <v>38</v>
      </c>
      <c r="C123">
        <v>3</v>
      </c>
      <c r="D123">
        <v>63.3</v>
      </c>
      <c r="E123">
        <v>189.89999999999998</v>
      </c>
      <c r="F123" s="1">
        <v>45662</v>
      </c>
      <c r="G123" s="1">
        <v>45663</v>
      </c>
      <c r="H123" t="s">
        <v>22</v>
      </c>
      <c r="I123" t="s">
        <v>39</v>
      </c>
      <c r="J123">
        <v>4</v>
      </c>
      <c r="K123" t="s">
        <v>18</v>
      </c>
      <c r="L123" t="s">
        <v>54</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192</v>
      </c>
      <c r="B124" t="s">
        <v>68</v>
      </c>
      <c r="C124">
        <v>1</v>
      </c>
      <c r="D124">
        <v>66.8</v>
      </c>
      <c r="E124">
        <v>66.8</v>
      </c>
      <c r="F124" s="1">
        <v>45662</v>
      </c>
      <c r="G124" s="1">
        <v>45663</v>
      </c>
      <c r="H124" t="s">
        <v>26</v>
      </c>
      <c r="I124" t="s">
        <v>34</v>
      </c>
      <c r="J124">
        <v>4</v>
      </c>
      <c r="K124" t="s">
        <v>18</v>
      </c>
      <c r="L124" t="s">
        <v>54</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193</v>
      </c>
      <c r="B125" t="s">
        <v>25</v>
      </c>
      <c r="C125">
        <v>2</v>
      </c>
      <c r="D125">
        <v>59.7</v>
      </c>
      <c r="E125">
        <v>119.4</v>
      </c>
      <c r="F125" s="1">
        <v>45662</v>
      </c>
      <c r="G125" s="1">
        <v>45663</v>
      </c>
      <c r="H125" t="s">
        <v>26</v>
      </c>
      <c r="I125" t="s">
        <v>17</v>
      </c>
      <c r="J125">
        <v>4</v>
      </c>
      <c r="K125" t="s">
        <v>18</v>
      </c>
      <c r="L125" t="s">
        <v>58</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194</v>
      </c>
      <c r="B126" t="s">
        <v>21</v>
      </c>
      <c r="C126">
        <v>6</v>
      </c>
      <c r="D126">
        <v>92</v>
      </c>
      <c r="E126">
        <v>552</v>
      </c>
      <c r="F126" s="1">
        <v>45662</v>
      </c>
      <c r="G126" s="1">
        <v>45664</v>
      </c>
      <c r="H126" t="s">
        <v>22</v>
      </c>
      <c r="I126" t="s">
        <v>17</v>
      </c>
      <c r="J126">
        <v>2</v>
      </c>
      <c r="K126" t="s">
        <v>18</v>
      </c>
      <c r="L126" t="s">
        <v>58</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195</v>
      </c>
      <c r="B127" t="s">
        <v>41</v>
      </c>
      <c r="C127">
        <v>2</v>
      </c>
      <c r="D127">
        <v>87.6</v>
      </c>
      <c r="E127">
        <v>175.2</v>
      </c>
      <c r="F127" s="1">
        <v>45662</v>
      </c>
      <c r="G127" s="1">
        <v>45664</v>
      </c>
      <c r="H127" t="s">
        <v>22</v>
      </c>
      <c r="I127" t="s">
        <v>34</v>
      </c>
      <c r="J127">
        <v>3</v>
      </c>
      <c r="K127" t="s">
        <v>18</v>
      </c>
      <c r="L127" t="s">
        <v>61</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196</v>
      </c>
      <c r="B128" t="s">
        <v>38</v>
      </c>
      <c r="C128">
        <v>3</v>
      </c>
      <c r="D128">
        <v>84.5</v>
      </c>
      <c r="E128">
        <v>253.5</v>
      </c>
      <c r="F128" s="1">
        <v>45662</v>
      </c>
      <c r="G128" s="1">
        <v>45663</v>
      </c>
      <c r="H128" t="s">
        <v>26</v>
      </c>
      <c r="I128" t="s">
        <v>34</v>
      </c>
      <c r="J128">
        <v>3</v>
      </c>
      <c r="K128" t="s">
        <v>18</v>
      </c>
      <c r="L128" t="s">
        <v>61</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197</v>
      </c>
      <c r="B129" t="s">
        <v>21</v>
      </c>
      <c r="C129">
        <v>2</v>
      </c>
      <c r="D129">
        <v>116.3</v>
      </c>
      <c r="E129">
        <v>232.6</v>
      </c>
      <c r="F129" s="1">
        <v>45663</v>
      </c>
      <c r="G129" s="1">
        <v>45665</v>
      </c>
      <c r="H129" t="s">
        <v>22</v>
      </c>
      <c r="I129" t="s">
        <v>39</v>
      </c>
      <c r="J129">
        <v>5</v>
      </c>
      <c r="K129" t="s">
        <v>18</v>
      </c>
      <c r="L129" t="s">
        <v>61</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198</v>
      </c>
      <c r="B130" t="s">
        <v>38</v>
      </c>
      <c r="C130">
        <v>5</v>
      </c>
      <c r="D130">
        <v>52.7</v>
      </c>
      <c r="E130">
        <v>263.5</v>
      </c>
      <c r="F130" s="1">
        <v>45663</v>
      </c>
      <c r="G130" s="1">
        <v>45667</v>
      </c>
      <c r="H130" t="s">
        <v>22</v>
      </c>
      <c r="I130" t="s">
        <v>17</v>
      </c>
      <c r="J130">
        <v>4</v>
      </c>
      <c r="K130" t="s">
        <v>18</v>
      </c>
      <c r="L130" t="s">
        <v>61</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199</v>
      </c>
      <c r="B131" t="s">
        <v>127</v>
      </c>
      <c r="C131">
        <v>3</v>
      </c>
      <c r="D131">
        <v>34.200000000000003</v>
      </c>
      <c r="E131">
        <v>102.60000000000001</v>
      </c>
      <c r="F131" s="1">
        <v>45663</v>
      </c>
      <c r="G131" s="1">
        <v>45664</v>
      </c>
      <c r="H131" t="s">
        <v>22</v>
      </c>
      <c r="I131" t="s">
        <v>17</v>
      </c>
      <c r="J131">
        <v>5</v>
      </c>
      <c r="K131" t="s">
        <v>18</v>
      </c>
      <c r="L131" t="s">
        <v>200</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201</v>
      </c>
      <c r="B132" t="s">
        <v>45</v>
      </c>
      <c r="C132">
        <v>1</v>
      </c>
      <c r="D132">
        <v>23.3</v>
      </c>
      <c r="E132">
        <v>23.3</v>
      </c>
      <c r="F132" s="1">
        <v>45663</v>
      </c>
      <c r="G132" s="1">
        <v>45672</v>
      </c>
      <c r="H132" t="s">
        <v>88</v>
      </c>
      <c r="I132" t="s">
        <v>39</v>
      </c>
      <c r="J132">
        <v>5</v>
      </c>
      <c r="K132" t="s">
        <v>18</v>
      </c>
      <c r="L132" t="s">
        <v>71</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202</v>
      </c>
      <c r="B133" t="s">
        <v>16</v>
      </c>
      <c r="C133">
        <v>26</v>
      </c>
      <c r="D133">
        <v>25.9</v>
      </c>
      <c r="E133">
        <v>673.4</v>
      </c>
      <c r="F133" s="1">
        <v>45663</v>
      </c>
      <c r="G133" s="1">
        <v>45666</v>
      </c>
      <c r="H133" t="s">
        <v>26</v>
      </c>
      <c r="I133" t="s">
        <v>69</v>
      </c>
      <c r="J133">
        <v>3</v>
      </c>
      <c r="K133" t="s">
        <v>18</v>
      </c>
      <c r="L133" t="s">
        <v>71</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203</v>
      </c>
      <c r="B134" t="s">
        <v>38</v>
      </c>
      <c r="C134">
        <v>29</v>
      </c>
      <c r="D134">
        <v>54.9</v>
      </c>
      <c r="E134">
        <v>1592.1</v>
      </c>
      <c r="F134" s="1">
        <v>45663</v>
      </c>
      <c r="G134" s="1">
        <v>45664</v>
      </c>
      <c r="H134" t="s">
        <v>22</v>
      </c>
      <c r="I134" t="s">
        <v>34</v>
      </c>
      <c r="J134">
        <v>5</v>
      </c>
      <c r="K134" t="s">
        <v>18</v>
      </c>
      <c r="L134" t="s">
        <v>71</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204</v>
      </c>
      <c r="B135" t="s">
        <v>36</v>
      </c>
      <c r="C135">
        <v>3</v>
      </c>
      <c r="D135">
        <v>75.8</v>
      </c>
      <c r="E135">
        <v>227.39999999999998</v>
      </c>
      <c r="F135" s="1">
        <v>45663</v>
      </c>
      <c r="G135" s="1">
        <v>45668</v>
      </c>
      <c r="H135" t="s">
        <v>88</v>
      </c>
      <c r="I135" t="s">
        <v>34</v>
      </c>
      <c r="J135">
        <v>4</v>
      </c>
      <c r="K135" t="s">
        <v>18</v>
      </c>
      <c r="L135" t="s">
        <v>107</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205</v>
      </c>
      <c r="B136" t="s">
        <v>21</v>
      </c>
      <c r="C136">
        <v>9</v>
      </c>
      <c r="D136">
        <v>44.9</v>
      </c>
      <c r="E136">
        <v>404.09999999999997</v>
      </c>
      <c r="F136" s="1">
        <v>45663</v>
      </c>
      <c r="G136" s="1">
        <v>45666</v>
      </c>
      <c r="H136" t="s">
        <v>26</v>
      </c>
      <c r="I136" t="s">
        <v>39</v>
      </c>
      <c r="J136">
        <v>5</v>
      </c>
      <c r="K136" t="s">
        <v>18</v>
      </c>
      <c r="L136" t="s">
        <v>27</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206</v>
      </c>
      <c r="B137" t="s">
        <v>66</v>
      </c>
      <c r="C137">
        <v>2</v>
      </c>
      <c r="D137">
        <v>48.8</v>
      </c>
      <c r="E137">
        <v>97.6</v>
      </c>
      <c r="F137" s="1">
        <v>45663</v>
      </c>
      <c r="G137" s="1">
        <v>45665</v>
      </c>
      <c r="H137" t="s">
        <v>26</v>
      </c>
      <c r="I137" t="s">
        <v>50</v>
      </c>
      <c r="J137">
        <v>4</v>
      </c>
      <c r="K137" t="s">
        <v>18</v>
      </c>
      <c r="L137" t="s">
        <v>207</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208</v>
      </c>
      <c r="B138" t="s">
        <v>122</v>
      </c>
      <c r="C138">
        <v>1</v>
      </c>
      <c r="D138">
        <v>20.3</v>
      </c>
      <c r="E138">
        <v>20.3</v>
      </c>
      <c r="F138" s="1">
        <v>45663</v>
      </c>
      <c r="G138" s="1">
        <v>45664</v>
      </c>
      <c r="H138" t="s">
        <v>26</v>
      </c>
      <c r="I138" t="s">
        <v>17</v>
      </c>
      <c r="J138">
        <v>5</v>
      </c>
      <c r="K138" t="s">
        <v>18</v>
      </c>
      <c r="L138" t="s">
        <v>146</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209</v>
      </c>
      <c r="B139" t="s">
        <v>36</v>
      </c>
      <c r="C139">
        <v>7</v>
      </c>
      <c r="D139">
        <v>36.4</v>
      </c>
      <c r="E139">
        <v>254.79999999999998</v>
      </c>
      <c r="F139" s="1">
        <v>45663</v>
      </c>
      <c r="G139" s="1">
        <v>45666</v>
      </c>
      <c r="H139" t="s">
        <v>26</v>
      </c>
      <c r="I139" t="s">
        <v>17</v>
      </c>
      <c r="J139">
        <v>3</v>
      </c>
      <c r="K139" t="s">
        <v>18</v>
      </c>
      <c r="L139" t="s">
        <v>32</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210</v>
      </c>
      <c r="B140" t="s">
        <v>16</v>
      </c>
      <c r="C140">
        <v>1</v>
      </c>
      <c r="D140">
        <v>19</v>
      </c>
      <c r="E140">
        <v>19</v>
      </c>
      <c r="F140" s="1">
        <v>45663</v>
      </c>
      <c r="G140" s="1">
        <v>45668</v>
      </c>
      <c r="H140" t="s">
        <v>26</v>
      </c>
      <c r="I140" t="s">
        <v>34</v>
      </c>
      <c r="J140">
        <v>5</v>
      </c>
      <c r="K140" t="s">
        <v>18</v>
      </c>
      <c r="L140" t="s">
        <v>32</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211</v>
      </c>
      <c r="B141" t="s">
        <v>43</v>
      </c>
      <c r="C141">
        <v>1</v>
      </c>
      <c r="D141">
        <v>17.8</v>
      </c>
      <c r="E141">
        <v>17.8</v>
      </c>
      <c r="F141" s="1">
        <v>45663</v>
      </c>
      <c r="G141" s="1">
        <v>45663</v>
      </c>
      <c r="H141" t="s">
        <v>22</v>
      </c>
      <c r="I141" t="s">
        <v>17</v>
      </c>
      <c r="J141">
        <v>4</v>
      </c>
      <c r="K141" t="s">
        <v>18</v>
      </c>
      <c r="L141" t="s">
        <v>32</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212</v>
      </c>
      <c r="B142" t="s">
        <v>25</v>
      </c>
      <c r="C142">
        <v>6</v>
      </c>
      <c r="D142">
        <v>139.6</v>
      </c>
      <c r="E142">
        <v>837.59999999999991</v>
      </c>
      <c r="F142" s="1">
        <v>45663</v>
      </c>
      <c r="G142" s="1">
        <v>45666</v>
      </c>
      <c r="H142" t="s">
        <v>22</v>
      </c>
      <c r="I142" t="s">
        <v>17</v>
      </c>
      <c r="J142">
        <v>4</v>
      </c>
      <c r="K142" t="s">
        <v>18</v>
      </c>
      <c r="L142" t="s">
        <v>32</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213</v>
      </c>
      <c r="B143" t="s">
        <v>45</v>
      </c>
      <c r="C143">
        <v>1</v>
      </c>
      <c r="D143">
        <v>31.7</v>
      </c>
      <c r="E143">
        <v>31.7</v>
      </c>
      <c r="F143" s="1">
        <v>45663</v>
      </c>
      <c r="G143" s="1">
        <v>45663</v>
      </c>
      <c r="I143" t="s">
        <v>17</v>
      </c>
      <c r="J143">
        <v>4</v>
      </c>
      <c r="K143" t="s">
        <v>18</v>
      </c>
      <c r="L143" t="s">
        <v>32</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214</v>
      </c>
      <c r="B144" t="s">
        <v>43</v>
      </c>
      <c r="C144">
        <v>8</v>
      </c>
      <c r="D144">
        <v>26.3</v>
      </c>
      <c r="E144">
        <v>210.4</v>
      </c>
      <c r="F144" s="1">
        <v>45663</v>
      </c>
      <c r="G144" s="1">
        <v>45666</v>
      </c>
      <c r="H144" t="s">
        <v>26</v>
      </c>
      <c r="I144" t="s">
        <v>69</v>
      </c>
      <c r="J144">
        <v>2</v>
      </c>
      <c r="K144" t="s">
        <v>18</v>
      </c>
      <c r="L144" t="s">
        <v>32</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215</v>
      </c>
      <c r="B145" t="s">
        <v>31</v>
      </c>
      <c r="C145">
        <v>2</v>
      </c>
      <c r="D145">
        <v>47.8</v>
      </c>
      <c r="E145">
        <v>95.6</v>
      </c>
      <c r="F145" s="1">
        <v>45663</v>
      </c>
      <c r="G145" s="1">
        <v>45664</v>
      </c>
      <c r="I145" t="s">
        <v>17</v>
      </c>
      <c r="J145">
        <v>4</v>
      </c>
      <c r="K145" t="s">
        <v>18</v>
      </c>
      <c r="L145" t="s">
        <v>32</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216</v>
      </c>
      <c r="B146" t="s">
        <v>45</v>
      </c>
      <c r="C146">
        <v>3</v>
      </c>
      <c r="D146">
        <v>69.400000000000006</v>
      </c>
      <c r="E146">
        <v>208.20000000000002</v>
      </c>
      <c r="F146" s="1">
        <v>45663</v>
      </c>
      <c r="G146" s="1">
        <v>45667</v>
      </c>
      <c r="H146" t="s">
        <v>26</v>
      </c>
      <c r="I146" t="s">
        <v>17</v>
      </c>
      <c r="J146">
        <v>4</v>
      </c>
      <c r="K146" t="s">
        <v>18</v>
      </c>
      <c r="L146" t="s">
        <v>32</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217</v>
      </c>
      <c r="B147" t="s">
        <v>145</v>
      </c>
      <c r="C147">
        <v>12</v>
      </c>
      <c r="D147">
        <v>25.8</v>
      </c>
      <c r="E147">
        <v>309.60000000000002</v>
      </c>
      <c r="F147" s="1">
        <v>45663</v>
      </c>
      <c r="G147" s="1">
        <v>45664</v>
      </c>
      <c r="H147" t="s">
        <v>22</v>
      </c>
      <c r="I147" t="s">
        <v>69</v>
      </c>
      <c r="J147">
        <v>2</v>
      </c>
      <c r="K147" t="s">
        <v>18</v>
      </c>
      <c r="L147" t="s">
        <v>32</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218</v>
      </c>
      <c r="B148" t="s">
        <v>16</v>
      </c>
      <c r="C148">
        <v>4</v>
      </c>
      <c r="D148">
        <v>26.4</v>
      </c>
      <c r="E148">
        <v>105.6</v>
      </c>
      <c r="F148" s="1">
        <v>45663</v>
      </c>
      <c r="G148" s="1">
        <v>45664</v>
      </c>
      <c r="H148" t="s">
        <v>22</v>
      </c>
      <c r="I148" t="s">
        <v>34</v>
      </c>
      <c r="J148">
        <v>5</v>
      </c>
      <c r="K148" t="s">
        <v>18</v>
      </c>
      <c r="L148" t="s">
        <v>32</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219</v>
      </c>
      <c r="B149" t="s">
        <v>43</v>
      </c>
      <c r="C149">
        <v>4</v>
      </c>
      <c r="D149">
        <v>15.7</v>
      </c>
      <c r="E149">
        <v>62.8</v>
      </c>
      <c r="F149" s="1">
        <v>45663</v>
      </c>
      <c r="G149" s="1">
        <v>45664</v>
      </c>
      <c r="H149" t="s">
        <v>22</v>
      </c>
      <c r="I149" t="s">
        <v>39</v>
      </c>
      <c r="J149">
        <v>4</v>
      </c>
      <c r="K149" t="s">
        <v>18</v>
      </c>
      <c r="L149" t="s">
        <v>32</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220</v>
      </c>
      <c r="B150" t="s">
        <v>43</v>
      </c>
      <c r="C150">
        <v>1</v>
      </c>
      <c r="D150">
        <v>39.700000000000003</v>
      </c>
      <c r="E150">
        <v>39.700000000000003</v>
      </c>
      <c r="F150" s="1">
        <v>45663</v>
      </c>
      <c r="G150" s="1">
        <v>45667</v>
      </c>
      <c r="H150" t="s">
        <v>22</v>
      </c>
      <c r="I150" t="s">
        <v>17</v>
      </c>
      <c r="J150">
        <v>4</v>
      </c>
      <c r="K150" t="s">
        <v>18</v>
      </c>
      <c r="L150" t="s">
        <v>32</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221</v>
      </c>
      <c r="B151" t="s">
        <v>53</v>
      </c>
      <c r="C151">
        <v>4</v>
      </c>
      <c r="D151">
        <v>31.1</v>
      </c>
      <c r="E151">
        <v>124.4</v>
      </c>
      <c r="F151" s="1">
        <v>45663</v>
      </c>
      <c r="G151" s="1">
        <v>45665</v>
      </c>
      <c r="H151" t="s">
        <v>26</v>
      </c>
      <c r="I151" t="s">
        <v>39</v>
      </c>
      <c r="J151">
        <v>3</v>
      </c>
      <c r="K151" t="s">
        <v>18</v>
      </c>
      <c r="L151" t="s">
        <v>32</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222</v>
      </c>
      <c r="B152" t="s">
        <v>75</v>
      </c>
      <c r="C152">
        <v>15</v>
      </c>
      <c r="D152">
        <v>23.4</v>
      </c>
      <c r="E152">
        <v>351</v>
      </c>
      <c r="F152" s="1">
        <v>45663</v>
      </c>
      <c r="G152" s="1">
        <v>45672</v>
      </c>
      <c r="H152" t="s">
        <v>22</v>
      </c>
      <c r="I152" t="s">
        <v>17</v>
      </c>
      <c r="J152">
        <v>4</v>
      </c>
      <c r="K152" t="s">
        <v>18</v>
      </c>
      <c r="L152" t="s">
        <v>32</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223</v>
      </c>
      <c r="B153" t="s">
        <v>21</v>
      </c>
      <c r="C153">
        <v>4</v>
      </c>
      <c r="D153">
        <v>57.1</v>
      </c>
      <c r="E153">
        <v>228.4</v>
      </c>
      <c r="F153" s="1">
        <v>45664</v>
      </c>
      <c r="G153" s="1">
        <v>45665</v>
      </c>
      <c r="H153" t="s">
        <v>22</v>
      </c>
      <c r="I153" t="s">
        <v>39</v>
      </c>
      <c r="J153">
        <v>4</v>
      </c>
      <c r="K153" t="s">
        <v>18</v>
      </c>
      <c r="L153" t="s">
        <v>187</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224</v>
      </c>
      <c r="B154" t="s">
        <v>25</v>
      </c>
      <c r="C154">
        <v>5</v>
      </c>
      <c r="D154">
        <v>89.9</v>
      </c>
      <c r="E154">
        <v>449.5</v>
      </c>
      <c r="F154" s="1">
        <v>45664</v>
      </c>
      <c r="G154" s="1">
        <v>45664</v>
      </c>
      <c r="H154" t="s">
        <v>26</v>
      </c>
      <c r="I154" t="s">
        <v>17</v>
      </c>
      <c r="J154">
        <v>1</v>
      </c>
      <c r="K154" t="s">
        <v>18</v>
      </c>
      <c r="L154" t="s">
        <v>157</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225</v>
      </c>
      <c r="B155" t="s">
        <v>53</v>
      </c>
      <c r="C155">
        <v>7</v>
      </c>
      <c r="D155">
        <v>48.1</v>
      </c>
      <c r="E155">
        <v>336.7</v>
      </c>
      <c r="F155" s="1">
        <v>45664</v>
      </c>
      <c r="G155" s="1">
        <v>45666</v>
      </c>
      <c r="H155" t="s">
        <v>26</v>
      </c>
      <c r="I155" t="s">
        <v>34</v>
      </c>
      <c r="J155">
        <v>5</v>
      </c>
      <c r="K155" t="s">
        <v>18</v>
      </c>
      <c r="L155" t="s">
        <v>54</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226</v>
      </c>
      <c r="B156" t="s">
        <v>43</v>
      </c>
      <c r="C156">
        <v>2</v>
      </c>
      <c r="D156">
        <v>29.3</v>
      </c>
      <c r="E156">
        <v>58.6</v>
      </c>
      <c r="F156" s="1">
        <v>45664</v>
      </c>
      <c r="G156" s="1">
        <v>45664</v>
      </c>
      <c r="H156" t="s">
        <v>26</v>
      </c>
      <c r="I156" t="s">
        <v>34</v>
      </c>
      <c r="J156">
        <v>3</v>
      </c>
      <c r="K156" t="s">
        <v>18</v>
      </c>
      <c r="L156" t="s">
        <v>54</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227</v>
      </c>
      <c r="B157" t="s">
        <v>43</v>
      </c>
      <c r="C157">
        <v>4</v>
      </c>
      <c r="D157">
        <v>28.8</v>
      </c>
      <c r="E157">
        <v>115.2</v>
      </c>
      <c r="F157" s="1">
        <v>45664</v>
      </c>
      <c r="G157" s="1">
        <v>45665</v>
      </c>
      <c r="H157" t="s">
        <v>26</v>
      </c>
      <c r="I157" t="s">
        <v>17</v>
      </c>
      <c r="J157">
        <v>2</v>
      </c>
      <c r="K157" t="s">
        <v>18</v>
      </c>
      <c r="L157" t="s">
        <v>54</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228</v>
      </c>
      <c r="B158" t="s">
        <v>53</v>
      </c>
      <c r="C158">
        <v>5</v>
      </c>
      <c r="D158">
        <v>40.5</v>
      </c>
      <c r="E158">
        <v>202.5</v>
      </c>
      <c r="F158" s="1">
        <v>45664</v>
      </c>
      <c r="G158" s="1">
        <v>45668</v>
      </c>
      <c r="H158" t="s">
        <v>26</v>
      </c>
      <c r="I158" t="s">
        <v>50</v>
      </c>
      <c r="J158">
        <v>4</v>
      </c>
      <c r="K158" t="s">
        <v>18</v>
      </c>
      <c r="L158" t="s">
        <v>54</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229</v>
      </c>
      <c r="B159" t="s">
        <v>145</v>
      </c>
      <c r="C159">
        <v>14</v>
      </c>
      <c r="D159">
        <v>65.099999999999994</v>
      </c>
      <c r="E159">
        <v>911.39999999999986</v>
      </c>
      <c r="F159" s="1">
        <v>45664</v>
      </c>
      <c r="G159" s="1">
        <v>45665</v>
      </c>
      <c r="H159" t="s">
        <v>26</v>
      </c>
      <c r="I159" t="s">
        <v>69</v>
      </c>
      <c r="J159">
        <v>4</v>
      </c>
      <c r="K159" t="s">
        <v>18</v>
      </c>
      <c r="L159" t="s">
        <v>58</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230</v>
      </c>
      <c r="B160" t="s">
        <v>43</v>
      </c>
      <c r="C160">
        <v>4</v>
      </c>
      <c r="D160">
        <v>40.299999999999997</v>
      </c>
      <c r="E160">
        <v>161.19999999999999</v>
      </c>
      <c r="F160" s="1">
        <v>45664</v>
      </c>
      <c r="G160" s="1">
        <v>45669</v>
      </c>
      <c r="H160" t="s">
        <v>26</v>
      </c>
      <c r="I160" t="s">
        <v>39</v>
      </c>
      <c r="J160">
        <v>4</v>
      </c>
      <c r="K160" t="s">
        <v>18</v>
      </c>
      <c r="L160" t="s">
        <v>58</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231</v>
      </c>
      <c r="B161" t="s">
        <v>38</v>
      </c>
      <c r="C161">
        <v>5</v>
      </c>
      <c r="D161">
        <v>51.8</v>
      </c>
      <c r="E161">
        <v>259</v>
      </c>
      <c r="F161" s="1">
        <v>45664</v>
      </c>
      <c r="G161" s="1">
        <v>45665</v>
      </c>
      <c r="H161" t="s">
        <v>22</v>
      </c>
      <c r="I161" t="s">
        <v>39</v>
      </c>
      <c r="J161">
        <v>5</v>
      </c>
      <c r="K161" t="s">
        <v>18</v>
      </c>
      <c r="L161" t="s">
        <v>61</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232</v>
      </c>
      <c r="B162" t="s">
        <v>38</v>
      </c>
      <c r="C162">
        <v>3</v>
      </c>
      <c r="D162">
        <v>61.3</v>
      </c>
      <c r="E162">
        <v>183.89999999999998</v>
      </c>
      <c r="F162" s="1">
        <v>45664</v>
      </c>
      <c r="G162" s="1">
        <v>45665</v>
      </c>
      <c r="H162" t="s">
        <v>26</v>
      </c>
      <c r="I162" t="s">
        <v>50</v>
      </c>
      <c r="J162">
        <v>4</v>
      </c>
      <c r="K162" t="s">
        <v>18</v>
      </c>
      <c r="L162" t="s">
        <v>61</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233</v>
      </c>
      <c r="B163" t="s">
        <v>25</v>
      </c>
      <c r="C163">
        <v>4</v>
      </c>
      <c r="D163">
        <v>122.5</v>
      </c>
      <c r="E163">
        <v>490</v>
      </c>
      <c r="F163" s="1">
        <v>45664</v>
      </c>
      <c r="G163" s="1">
        <v>45665</v>
      </c>
      <c r="H163" t="s">
        <v>22</v>
      </c>
      <c r="I163" t="s">
        <v>17</v>
      </c>
      <c r="J163">
        <v>4</v>
      </c>
      <c r="K163" t="s">
        <v>18</v>
      </c>
      <c r="L163" t="s">
        <v>61</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234</v>
      </c>
      <c r="B164" t="s">
        <v>16</v>
      </c>
      <c r="C164">
        <v>9</v>
      </c>
      <c r="D164">
        <v>12.5</v>
      </c>
      <c r="E164">
        <v>112.5</v>
      </c>
      <c r="F164" s="1">
        <v>45664</v>
      </c>
      <c r="G164" s="1">
        <v>45665</v>
      </c>
      <c r="I164" t="s">
        <v>34</v>
      </c>
      <c r="J164">
        <v>5</v>
      </c>
      <c r="K164" t="s">
        <v>18</v>
      </c>
      <c r="L164" t="s">
        <v>61</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235</v>
      </c>
      <c r="B165" t="s">
        <v>122</v>
      </c>
      <c r="C165">
        <v>8</v>
      </c>
      <c r="D165">
        <v>37.5</v>
      </c>
      <c r="E165">
        <v>300</v>
      </c>
      <c r="F165" s="1">
        <v>45664</v>
      </c>
      <c r="G165" s="1">
        <v>45665</v>
      </c>
      <c r="H165" t="s">
        <v>26</v>
      </c>
      <c r="I165" t="s">
        <v>17</v>
      </c>
      <c r="J165">
        <v>4</v>
      </c>
      <c r="K165" t="s">
        <v>18</v>
      </c>
      <c r="L165" t="s">
        <v>71</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236</v>
      </c>
      <c r="B166" t="s">
        <v>38</v>
      </c>
      <c r="C166">
        <v>3</v>
      </c>
      <c r="D166">
        <v>40</v>
      </c>
      <c r="E166">
        <v>120</v>
      </c>
      <c r="F166" s="1">
        <v>45664</v>
      </c>
      <c r="G166" s="1">
        <v>45667</v>
      </c>
      <c r="H166" t="s">
        <v>22</v>
      </c>
      <c r="I166" t="s">
        <v>17</v>
      </c>
      <c r="J166">
        <v>2</v>
      </c>
      <c r="K166" t="s">
        <v>18</v>
      </c>
      <c r="L166" t="s">
        <v>76</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237</v>
      </c>
      <c r="B167" t="s">
        <v>134</v>
      </c>
      <c r="C167">
        <v>8</v>
      </c>
      <c r="D167">
        <v>38.5</v>
      </c>
      <c r="E167">
        <v>308</v>
      </c>
      <c r="F167" s="1">
        <v>45664</v>
      </c>
      <c r="G167" s="1">
        <v>45669</v>
      </c>
      <c r="H167" t="s">
        <v>26</v>
      </c>
      <c r="I167" t="s">
        <v>39</v>
      </c>
      <c r="J167">
        <v>3</v>
      </c>
      <c r="K167" t="s">
        <v>18</v>
      </c>
      <c r="L167" t="s">
        <v>76</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238</v>
      </c>
      <c r="B168" t="s">
        <v>25</v>
      </c>
      <c r="C168">
        <v>2</v>
      </c>
      <c r="D168">
        <v>86.4</v>
      </c>
      <c r="E168">
        <v>172.8</v>
      </c>
      <c r="F168" s="1">
        <v>45664</v>
      </c>
      <c r="G168" s="1">
        <v>45666</v>
      </c>
      <c r="H168" t="s">
        <v>26</v>
      </c>
      <c r="I168" t="s">
        <v>17</v>
      </c>
      <c r="J168">
        <v>4</v>
      </c>
      <c r="K168" t="s">
        <v>18</v>
      </c>
      <c r="L168" t="s">
        <v>107</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239</v>
      </c>
      <c r="B169" t="s">
        <v>53</v>
      </c>
      <c r="C169">
        <v>1</v>
      </c>
      <c r="D169">
        <v>50.7</v>
      </c>
      <c r="E169">
        <v>50.7</v>
      </c>
      <c r="F169" s="1">
        <v>45664</v>
      </c>
      <c r="G169" s="1">
        <v>45668</v>
      </c>
      <c r="H169" t="s">
        <v>26</v>
      </c>
      <c r="I169" t="s">
        <v>34</v>
      </c>
      <c r="J169">
        <v>4</v>
      </c>
      <c r="K169" t="s">
        <v>18</v>
      </c>
      <c r="L169" t="s">
        <v>107</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240</v>
      </c>
      <c r="B170" t="s">
        <v>53</v>
      </c>
      <c r="C170">
        <v>2</v>
      </c>
      <c r="D170">
        <v>61</v>
      </c>
      <c r="E170">
        <v>122</v>
      </c>
      <c r="F170" s="1">
        <v>45664</v>
      </c>
      <c r="G170" s="1">
        <v>45675</v>
      </c>
      <c r="H170" t="s">
        <v>26</v>
      </c>
      <c r="I170" t="s">
        <v>69</v>
      </c>
      <c r="J170">
        <v>3</v>
      </c>
      <c r="K170" t="s">
        <v>18</v>
      </c>
      <c r="L170" t="s">
        <v>107</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241</v>
      </c>
      <c r="B171" t="s">
        <v>31</v>
      </c>
      <c r="C171">
        <v>2</v>
      </c>
      <c r="D171">
        <v>19.899999999999999</v>
      </c>
      <c r="E171">
        <v>39.799999999999997</v>
      </c>
      <c r="F171" s="1">
        <v>45664</v>
      </c>
      <c r="G171" s="1">
        <v>45667</v>
      </c>
      <c r="H171" t="s">
        <v>26</v>
      </c>
      <c r="I171" t="s">
        <v>34</v>
      </c>
      <c r="J171">
        <v>4</v>
      </c>
      <c r="K171" t="s">
        <v>18</v>
      </c>
      <c r="L171" t="s">
        <v>242</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243</v>
      </c>
      <c r="B172" t="s">
        <v>36</v>
      </c>
      <c r="C172">
        <v>1</v>
      </c>
      <c r="D172">
        <v>78.3</v>
      </c>
      <c r="E172">
        <v>78.3</v>
      </c>
      <c r="F172" s="1">
        <v>45664</v>
      </c>
      <c r="G172" s="1">
        <v>45664</v>
      </c>
      <c r="H172" t="s">
        <v>26</v>
      </c>
      <c r="I172" t="s">
        <v>17</v>
      </c>
      <c r="J172">
        <v>5</v>
      </c>
      <c r="K172" t="s">
        <v>18</v>
      </c>
      <c r="L172" t="s">
        <v>23</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244</v>
      </c>
      <c r="B173" t="s">
        <v>16</v>
      </c>
      <c r="C173">
        <v>19</v>
      </c>
      <c r="D173">
        <v>10.4</v>
      </c>
      <c r="E173">
        <v>197.6</v>
      </c>
      <c r="F173" s="1">
        <v>45664</v>
      </c>
      <c r="G173" s="1">
        <v>45666</v>
      </c>
      <c r="H173" t="s">
        <v>22</v>
      </c>
      <c r="I173" t="s">
        <v>17</v>
      </c>
      <c r="J173">
        <v>5</v>
      </c>
      <c r="K173" t="s">
        <v>18</v>
      </c>
      <c r="L173" t="s">
        <v>27</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245</v>
      </c>
      <c r="B174" t="s">
        <v>53</v>
      </c>
      <c r="C174">
        <v>1</v>
      </c>
      <c r="D174">
        <v>36.1</v>
      </c>
      <c r="E174">
        <v>36.1</v>
      </c>
      <c r="F174" s="1">
        <v>45664</v>
      </c>
      <c r="G174" s="1">
        <v>45667</v>
      </c>
      <c r="H174" t="s">
        <v>22</v>
      </c>
      <c r="I174" t="s">
        <v>50</v>
      </c>
      <c r="J174">
        <v>5</v>
      </c>
      <c r="K174" t="s">
        <v>18</v>
      </c>
      <c r="L174" t="s">
        <v>32</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246</v>
      </c>
      <c r="B175" t="s">
        <v>80</v>
      </c>
      <c r="C175">
        <v>2</v>
      </c>
      <c r="D175">
        <v>17.3</v>
      </c>
      <c r="E175">
        <v>34.6</v>
      </c>
      <c r="F175" s="1">
        <v>45664</v>
      </c>
      <c r="G175" s="1">
        <v>45666</v>
      </c>
      <c r="H175" t="s">
        <v>26</v>
      </c>
      <c r="I175" t="s">
        <v>34</v>
      </c>
      <c r="J175">
        <v>5</v>
      </c>
      <c r="K175" t="s">
        <v>18</v>
      </c>
      <c r="L175" t="s">
        <v>32</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247</v>
      </c>
      <c r="B176" t="s">
        <v>53</v>
      </c>
      <c r="C176">
        <v>2</v>
      </c>
      <c r="D176">
        <v>30.5</v>
      </c>
      <c r="E176">
        <v>61</v>
      </c>
      <c r="F176" s="1">
        <v>45664</v>
      </c>
      <c r="G176" s="1">
        <v>45665</v>
      </c>
      <c r="H176" t="s">
        <v>26</v>
      </c>
      <c r="I176" t="s">
        <v>34</v>
      </c>
      <c r="J176">
        <v>5</v>
      </c>
      <c r="K176" t="s">
        <v>18</v>
      </c>
      <c r="L176" t="s">
        <v>32</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248</v>
      </c>
      <c r="B177" t="s">
        <v>145</v>
      </c>
      <c r="C177">
        <v>62</v>
      </c>
      <c r="D177">
        <v>70.099999999999994</v>
      </c>
      <c r="E177">
        <v>4346.2</v>
      </c>
      <c r="F177" s="1">
        <v>45664</v>
      </c>
      <c r="G177" s="1">
        <v>45664</v>
      </c>
      <c r="H177" t="s">
        <v>26</v>
      </c>
      <c r="I177" t="s">
        <v>39</v>
      </c>
      <c r="J177">
        <v>4</v>
      </c>
      <c r="K177" t="s">
        <v>18</v>
      </c>
      <c r="L177" t="s">
        <v>32</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249</v>
      </c>
      <c r="B178" t="s">
        <v>29</v>
      </c>
      <c r="C178">
        <v>1</v>
      </c>
      <c r="D178">
        <v>76.099999999999994</v>
      </c>
      <c r="E178">
        <v>76.099999999999994</v>
      </c>
      <c r="F178" s="1">
        <v>45664</v>
      </c>
      <c r="G178" s="1">
        <v>45664</v>
      </c>
      <c r="H178" t="s">
        <v>26</v>
      </c>
      <c r="I178" t="s">
        <v>39</v>
      </c>
      <c r="J178">
        <v>3</v>
      </c>
      <c r="K178" t="s">
        <v>18</v>
      </c>
      <c r="L178" t="s">
        <v>32</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250</v>
      </c>
      <c r="B179" t="s">
        <v>122</v>
      </c>
      <c r="C179">
        <v>13</v>
      </c>
      <c r="D179">
        <v>34.200000000000003</v>
      </c>
      <c r="E179">
        <v>444.6</v>
      </c>
      <c r="F179" s="1">
        <v>45664</v>
      </c>
      <c r="G179" s="1">
        <v>45665</v>
      </c>
      <c r="H179" t="s">
        <v>22</v>
      </c>
      <c r="I179" t="s">
        <v>17</v>
      </c>
      <c r="J179">
        <v>4</v>
      </c>
      <c r="K179" t="s">
        <v>18</v>
      </c>
      <c r="L179" t="s">
        <v>32</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251</v>
      </c>
      <c r="B180" t="s">
        <v>43</v>
      </c>
      <c r="C180">
        <v>5</v>
      </c>
      <c r="D180">
        <v>30.3</v>
      </c>
      <c r="E180">
        <v>151.5</v>
      </c>
      <c r="F180" s="1">
        <v>45664</v>
      </c>
      <c r="G180" s="1">
        <v>45669</v>
      </c>
      <c r="H180" t="s">
        <v>26</v>
      </c>
      <c r="I180" t="s">
        <v>69</v>
      </c>
      <c r="J180">
        <v>4</v>
      </c>
      <c r="K180" t="s">
        <v>18</v>
      </c>
      <c r="L180" t="s">
        <v>32</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252</v>
      </c>
      <c r="B181" t="s">
        <v>38</v>
      </c>
      <c r="C181">
        <v>5</v>
      </c>
      <c r="D181">
        <v>52.5</v>
      </c>
      <c r="E181">
        <v>262.5</v>
      </c>
      <c r="F181" s="1">
        <v>45664</v>
      </c>
      <c r="G181" s="1">
        <v>45668</v>
      </c>
      <c r="I181" t="s">
        <v>50</v>
      </c>
      <c r="J181">
        <v>4</v>
      </c>
      <c r="K181" t="s">
        <v>18</v>
      </c>
      <c r="L181" t="s">
        <v>32</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253</v>
      </c>
      <c r="B182" t="s">
        <v>45</v>
      </c>
      <c r="C182">
        <v>11</v>
      </c>
      <c r="D182">
        <v>28.7</v>
      </c>
      <c r="E182">
        <v>315.7</v>
      </c>
      <c r="F182" s="1">
        <v>45664</v>
      </c>
      <c r="G182" s="1">
        <v>45665</v>
      </c>
      <c r="H182" t="s">
        <v>26</v>
      </c>
      <c r="I182" t="s">
        <v>39</v>
      </c>
      <c r="J182">
        <v>4</v>
      </c>
      <c r="K182" t="s">
        <v>18</v>
      </c>
      <c r="L182" t="s">
        <v>32</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254</v>
      </c>
      <c r="B183" t="s">
        <v>41</v>
      </c>
      <c r="C183">
        <v>7</v>
      </c>
      <c r="D183">
        <v>52</v>
      </c>
      <c r="E183">
        <v>364</v>
      </c>
      <c r="F183" s="1">
        <v>45664</v>
      </c>
      <c r="G183" s="1">
        <v>45665</v>
      </c>
      <c r="H183" t="s">
        <v>22</v>
      </c>
      <c r="I183" t="s">
        <v>34</v>
      </c>
      <c r="J183">
        <v>2</v>
      </c>
      <c r="K183" t="s">
        <v>18</v>
      </c>
      <c r="L183" t="s">
        <v>32</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255</v>
      </c>
      <c r="B184" t="s">
        <v>16</v>
      </c>
      <c r="C184">
        <v>1</v>
      </c>
      <c r="D184">
        <v>13.3</v>
      </c>
      <c r="E184">
        <v>13.3</v>
      </c>
      <c r="F184" s="1">
        <v>45665</v>
      </c>
      <c r="G184" s="1">
        <v>45669</v>
      </c>
      <c r="H184" t="s">
        <v>26</v>
      </c>
      <c r="I184" t="s">
        <v>39</v>
      </c>
      <c r="J184">
        <v>3</v>
      </c>
      <c r="K184" t="s">
        <v>18</v>
      </c>
      <c r="L184" t="s">
        <v>32</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256</v>
      </c>
      <c r="B185" t="s">
        <v>16</v>
      </c>
      <c r="C185">
        <v>3</v>
      </c>
      <c r="D185">
        <v>15.7</v>
      </c>
      <c r="E185">
        <v>47.099999999999994</v>
      </c>
      <c r="F185" s="1">
        <v>45665</v>
      </c>
      <c r="G185" s="1">
        <v>45666</v>
      </c>
      <c r="H185" t="s">
        <v>26</v>
      </c>
      <c r="I185" t="s">
        <v>34</v>
      </c>
      <c r="J185">
        <v>4</v>
      </c>
      <c r="K185" t="s">
        <v>18</v>
      </c>
      <c r="L185" t="s">
        <v>257</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258</v>
      </c>
      <c r="B186" t="s">
        <v>43</v>
      </c>
      <c r="C186">
        <v>2</v>
      </c>
      <c r="D186">
        <v>25.6</v>
      </c>
      <c r="E186">
        <v>51.2</v>
      </c>
      <c r="F186" s="1">
        <v>45665</v>
      </c>
      <c r="G186" s="1">
        <v>45666</v>
      </c>
      <c r="H186" t="s">
        <v>22</v>
      </c>
      <c r="I186" t="s">
        <v>17</v>
      </c>
      <c r="J186">
        <v>5</v>
      </c>
      <c r="K186" t="s">
        <v>18</v>
      </c>
      <c r="L186" t="s">
        <v>157</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259</v>
      </c>
      <c r="B187" t="s">
        <v>43</v>
      </c>
      <c r="C187">
        <v>1</v>
      </c>
      <c r="D187">
        <v>43.4</v>
      </c>
      <c r="E187">
        <v>43.4</v>
      </c>
      <c r="F187" s="1">
        <v>45665</v>
      </c>
      <c r="G187" s="1">
        <v>45670</v>
      </c>
      <c r="H187" t="s">
        <v>22</v>
      </c>
      <c r="I187" t="s">
        <v>17</v>
      </c>
      <c r="J187">
        <v>4</v>
      </c>
      <c r="K187" t="s">
        <v>18</v>
      </c>
      <c r="L187" t="s">
        <v>54</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260</v>
      </c>
      <c r="B188" t="s">
        <v>66</v>
      </c>
      <c r="C188">
        <v>9</v>
      </c>
      <c r="D188">
        <v>33.4</v>
      </c>
      <c r="E188">
        <v>300.59999999999997</v>
      </c>
      <c r="F188" s="1">
        <v>45665</v>
      </c>
      <c r="G188" s="1">
        <v>45665</v>
      </c>
      <c r="H188" t="s">
        <v>26</v>
      </c>
      <c r="I188" t="s">
        <v>17</v>
      </c>
      <c r="J188">
        <v>4</v>
      </c>
      <c r="K188" t="s">
        <v>18</v>
      </c>
      <c r="L188" t="s">
        <v>61</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261</v>
      </c>
      <c r="B189" t="s">
        <v>43</v>
      </c>
      <c r="C189">
        <v>19</v>
      </c>
      <c r="D189">
        <v>55</v>
      </c>
      <c r="E189">
        <v>1045</v>
      </c>
      <c r="F189" s="1">
        <v>45665</v>
      </c>
      <c r="G189" s="1">
        <v>45666</v>
      </c>
      <c r="H189" t="s">
        <v>26</v>
      </c>
      <c r="I189" t="s">
        <v>34</v>
      </c>
      <c r="J189">
        <v>5</v>
      </c>
      <c r="K189" t="s">
        <v>18</v>
      </c>
      <c r="L189" t="s">
        <v>61</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262</v>
      </c>
      <c r="B190" t="s">
        <v>43</v>
      </c>
      <c r="C190">
        <v>3</v>
      </c>
      <c r="D190">
        <v>23.6</v>
      </c>
      <c r="E190">
        <v>70.800000000000011</v>
      </c>
      <c r="F190" s="1">
        <v>45665</v>
      </c>
      <c r="G190" s="1">
        <v>45666</v>
      </c>
      <c r="H190" t="s">
        <v>22</v>
      </c>
      <c r="I190" t="s">
        <v>17</v>
      </c>
      <c r="J190">
        <v>5</v>
      </c>
      <c r="K190" t="s">
        <v>18</v>
      </c>
      <c r="L190" t="s">
        <v>61</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263</v>
      </c>
      <c r="B191" t="s">
        <v>68</v>
      </c>
      <c r="C191">
        <v>9</v>
      </c>
      <c r="D191">
        <v>104</v>
      </c>
      <c r="E191">
        <v>936</v>
      </c>
      <c r="F191" s="1">
        <v>45665</v>
      </c>
      <c r="G191" s="1">
        <v>45667</v>
      </c>
      <c r="H191" t="s">
        <v>26</v>
      </c>
      <c r="I191" t="s">
        <v>39</v>
      </c>
      <c r="J191">
        <v>5</v>
      </c>
      <c r="K191" t="s">
        <v>18</v>
      </c>
      <c r="L191" t="s">
        <v>102</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264</v>
      </c>
      <c r="B192" t="s">
        <v>38</v>
      </c>
      <c r="C192">
        <v>2</v>
      </c>
      <c r="D192">
        <v>51.8</v>
      </c>
      <c r="E192">
        <v>103.6</v>
      </c>
      <c r="F192" s="1">
        <v>45665</v>
      </c>
      <c r="G192" s="1">
        <v>45669</v>
      </c>
      <c r="I192" t="s">
        <v>17</v>
      </c>
      <c r="J192">
        <v>5</v>
      </c>
      <c r="K192" t="s">
        <v>18</v>
      </c>
      <c r="L192" t="s">
        <v>73</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265</v>
      </c>
      <c r="B193" t="s">
        <v>53</v>
      </c>
      <c r="C193">
        <v>5</v>
      </c>
      <c r="D193">
        <v>34.5</v>
      </c>
      <c r="E193">
        <v>172.5</v>
      </c>
      <c r="F193" s="1">
        <v>45665</v>
      </c>
      <c r="G193" s="1">
        <v>45667</v>
      </c>
      <c r="I193" t="s">
        <v>39</v>
      </c>
      <c r="J193">
        <v>5</v>
      </c>
      <c r="K193" t="s">
        <v>18</v>
      </c>
      <c r="L193" t="s">
        <v>76</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266</v>
      </c>
      <c r="B194" t="s">
        <v>38</v>
      </c>
      <c r="C194">
        <v>2</v>
      </c>
      <c r="D194">
        <v>51.8</v>
      </c>
      <c r="E194">
        <v>103.6</v>
      </c>
      <c r="F194" s="1">
        <v>45665</v>
      </c>
      <c r="G194" s="1">
        <v>45667</v>
      </c>
      <c r="H194" t="s">
        <v>22</v>
      </c>
      <c r="I194" t="s">
        <v>34</v>
      </c>
      <c r="J194">
        <v>5</v>
      </c>
      <c r="K194" t="s">
        <v>18</v>
      </c>
      <c r="L194" t="s">
        <v>267</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268</v>
      </c>
      <c r="B195" t="s">
        <v>145</v>
      </c>
      <c r="C195">
        <v>43</v>
      </c>
      <c r="D195">
        <v>131.5</v>
      </c>
      <c r="E195">
        <v>5654.5</v>
      </c>
      <c r="F195" s="1">
        <v>45665</v>
      </c>
      <c r="G195" s="1">
        <v>45666</v>
      </c>
      <c r="H195" t="s">
        <v>26</v>
      </c>
      <c r="I195" t="s">
        <v>17</v>
      </c>
      <c r="J195">
        <v>5</v>
      </c>
      <c r="K195" t="s">
        <v>18</v>
      </c>
      <c r="L195" t="s">
        <v>107</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269</v>
      </c>
      <c r="B196" t="s">
        <v>43</v>
      </c>
      <c r="C196">
        <v>7</v>
      </c>
      <c r="D196">
        <v>47.8</v>
      </c>
      <c r="E196">
        <v>334.59999999999997</v>
      </c>
      <c r="F196" s="1">
        <v>45665</v>
      </c>
      <c r="G196" s="1">
        <v>45665</v>
      </c>
      <c r="H196" t="s">
        <v>26</v>
      </c>
      <c r="I196" t="s">
        <v>17</v>
      </c>
      <c r="J196">
        <v>4</v>
      </c>
      <c r="K196" t="s">
        <v>18</v>
      </c>
      <c r="L196" t="s">
        <v>109</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270</v>
      </c>
      <c r="B197" t="s">
        <v>16</v>
      </c>
      <c r="C197">
        <v>2</v>
      </c>
      <c r="D197">
        <v>10.199999999999999</v>
      </c>
      <c r="E197">
        <v>20.399999999999999</v>
      </c>
      <c r="F197" s="1">
        <v>45665</v>
      </c>
      <c r="G197" s="1">
        <v>45667</v>
      </c>
      <c r="H197" t="s">
        <v>26</v>
      </c>
      <c r="I197" t="s">
        <v>17</v>
      </c>
      <c r="J197">
        <v>4</v>
      </c>
      <c r="K197" t="s">
        <v>18</v>
      </c>
      <c r="L197" t="s">
        <v>109</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271</v>
      </c>
      <c r="B198" t="s">
        <v>43</v>
      </c>
      <c r="C198">
        <v>8</v>
      </c>
      <c r="D198">
        <v>41</v>
      </c>
      <c r="E198">
        <v>328</v>
      </c>
      <c r="F198" s="1">
        <v>45665</v>
      </c>
      <c r="G198" s="1">
        <v>45665</v>
      </c>
      <c r="H198" t="s">
        <v>26</v>
      </c>
      <c r="I198" t="s">
        <v>34</v>
      </c>
      <c r="J198">
        <v>5</v>
      </c>
      <c r="K198" t="s">
        <v>18</v>
      </c>
      <c r="L198" t="s">
        <v>109</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272</v>
      </c>
      <c r="B199" t="s">
        <v>53</v>
      </c>
      <c r="C199">
        <v>7</v>
      </c>
      <c r="D199">
        <v>50.8</v>
      </c>
      <c r="E199">
        <v>355.59999999999997</v>
      </c>
      <c r="F199" s="1">
        <v>45665</v>
      </c>
      <c r="G199" s="1">
        <v>45668</v>
      </c>
      <c r="H199" t="s">
        <v>26</v>
      </c>
      <c r="I199" t="s">
        <v>34</v>
      </c>
      <c r="J199">
        <v>4</v>
      </c>
      <c r="K199" t="s">
        <v>18</v>
      </c>
      <c r="L199" t="s">
        <v>114</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273</v>
      </c>
      <c r="B200" t="s">
        <v>145</v>
      </c>
      <c r="C200">
        <v>3</v>
      </c>
      <c r="D200">
        <v>39.6</v>
      </c>
      <c r="E200">
        <v>118.80000000000001</v>
      </c>
      <c r="F200" s="1">
        <v>45665</v>
      </c>
      <c r="G200" s="1">
        <v>45666</v>
      </c>
      <c r="H200" t="s">
        <v>22</v>
      </c>
      <c r="I200" t="s">
        <v>39</v>
      </c>
      <c r="J200">
        <v>5</v>
      </c>
      <c r="K200" t="s">
        <v>18</v>
      </c>
      <c r="L200" t="s">
        <v>23</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274</v>
      </c>
      <c r="B201" t="s">
        <v>36</v>
      </c>
      <c r="C201">
        <v>2</v>
      </c>
      <c r="D201">
        <v>69.5</v>
      </c>
      <c r="E201">
        <v>139</v>
      </c>
      <c r="F201" s="1">
        <v>45665</v>
      </c>
      <c r="G201" s="1">
        <v>45667</v>
      </c>
      <c r="H201" t="s">
        <v>22</v>
      </c>
      <c r="I201" t="s">
        <v>17</v>
      </c>
      <c r="J201">
        <v>5</v>
      </c>
      <c r="K201" t="s">
        <v>18</v>
      </c>
      <c r="L201" t="s">
        <v>27</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275</v>
      </c>
      <c r="B202" t="s">
        <v>43</v>
      </c>
      <c r="C202">
        <v>8</v>
      </c>
      <c r="D202">
        <v>32.6</v>
      </c>
      <c r="E202">
        <v>260.8</v>
      </c>
      <c r="F202" s="1">
        <v>45665</v>
      </c>
      <c r="G202" s="1">
        <v>45668</v>
      </c>
      <c r="H202" t="s">
        <v>22</v>
      </c>
      <c r="I202" t="s">
        <v>34</v>
      </c>
      <c r="J202">
        <v>4</v>
      </c>
      <c r="K202" t="s">
        <v>18</v>
      </c>
      <c r="L202" t="s">
        <v>32</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276</v>
      </c>
      <c r="B203" t="s">
        <v>41</v>
      </c>
      <c r="C203">
        <v>2</v>
      </c>
      <c r="D203">
        <v>49.1</v>
      </c>
      <c r="E203">
        <v>98.2</v>
      </c>
      <c r="F203" s="1">
        <v>45665</v>
      </c>
      <c r="G203" s="1">
        <v>45673</v>
      </c>
      <c r="H203" t="s">
        <v>22</v>
      </c>
      <c r="I203" t="s">
        <v>50</v>
      </c>
      <c r="J203">
        <v>5</v>
      </c>
      <c r="K203" t="s">
        <v>18</v>
      </c>
      <c r="L203" t="s">
        <v>32</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277</v>
      </c>
      <c r="B204" t="s">
        <v>38</v>
      </c>
      <c r="C204">
        <v>2</v>
      </c>
      <c r="D204">
        <v>49.4</v>
      </c>
      <c r="E204">
        <v>98.8</v>
      </c>
      <c r="F204" s="1">
        <v>45666</v>
      </c>
      <c r="G204" s="1">
        <v>45667</v>
      </c>
      <c r="H204" t="s">
        <v>26</v>
      </c>
      <c r="I204" t="s">
        <v>39</v>
      </c>
      <c r="J204">
        <v>4</v>
      </c>
      <c r="K204" t="s">
        <v>18</v>
      </c>
      <c r="L204" t="s">
        <v>32</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278</v>
      </c>
      <c r="B205" t="s">
        <v>41</v>
      </c>
      <c r="C205">
        <v>7</v>
      </c>
      <c r="D205">
        <v>65.099999999999994</v>
      </c>
      <c r="E205">
        <v>455.69999999999993</v>
      </c>
      <c r="F205" s="1">
        <v>45666</v>
      </c>
      <c r="G205" s="1">
        <v>45669</v>
      </c>
      <c r="H205" t="s">
        <v>26</v>
      </c>
      <c r="I205" t="s">
        <v>39</v>
      </c>
      <c r="J205">
        <v>5</v>
      </c>
      <c r="K205" t="s">
        <v>18</v>
      </c>
      <c r="L205" t="s">
        <v>32</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279</v>
      </c>
      <c r="B206" t="s">
        <v>29</v>
      </c>
      <c r="C206">
        <v>2</v>
      </c>
      <c r="D206">
        <v>52.1</v>
      </c>
      <c r="E206">
        <v>104.2</v>
      </c>
      <c r="F206" s="1">
        <v>45666</v>
      </c>
      <c r="G206" s="1">
        <v>45670</v>
      </c>
      <c r="H206" t="s">
        <v>26</v>
      </c>
      <c r="I206" t="s">
        <v>39</v>
      </c>
      <c r="J206">
        <v>4</v>
      </c>
      <c r="K206" t="s">
        <v>18</v>
      </c>
      <c r="L206" t="s">
        <v>32</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280</v>
      </c>
      <c r="B207" t="s">
        <v>25</v>
      </c>
      <c r="C207">
        <v>4</v>
      </c>
      <c r="D207">
        <v>129.19999999999999</v>
      </c>
      <c r="E207">
        <v>516.79999999999995</v>
      </c>
      <c r="F207" s="1">
        <v>45666</v>
      </c>
      <c r="G207" s="1">
        <v>45667</v>
      </c>
      <c r="H207" t="s">
        <v>26</v>
      </c>
      <c r="I207" t="s">
        <v>34</v>
      </c>
      <c r="J207">
        <v>4</v>
      </c>
      <c r="K207" t="s">
        <v>18</v>
      </c>
      <c r="L207" t="s">
        <v>32</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281</v>
      </c>
      <c r="B208" t="s">
        <v>21</v>
      </c>
      <c r="C208">
        <v>19</v>
      </c>
      <c r="D208">
        <v>81.8</v>
      </c>
      <c r="E208">
        <v>1554.2</v>
      </c>
      <c r="F208" s="1">
        <v>45666</v>
      </c>
      <c r="G208" s="1">
        <v>45666</v>
      </c>
      <c r="H208" t="s">
        <v>26</v>
      </c>
      <c r="I208" t="s">
        <v>34</v>
      </c>
      <c r="J208">
        <v>3</v>
      </c>
      <c r="K208" t="s">
        <v>18</v>
      </c>
      <c r="L208" t="s">
        <v>32</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282</v>
      </c>
      <c r="B209" t="s">
        <v>134</v>
      </c>
      <c r="C209">
        <v>1</v>
      </c>
      <c r="D209">
        <v>24.9</v>
      </c>
      <c r="E209">
        <v>24.9</v>
      </c>
      <c r="F209" s="1">
        <v>45666</v>
      </c>
      <c r="G209" s="1">
        <v>45670</v>
      </c>
      <c r="H209" t="s">
        <v>26</v>
      </c>
      <c r="I209" t="s">
        <v>34</v>
      </c>
      <c r="J209">
        <v>4</v>
      </c>
      <c r="K209" t="s">
        <v>18</v>
      </c>
      <c r="L209" t="s">
        <v>32</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283</v>
      </c>
      <c r="B210" t="s">
        <v>16</v>
      </c>
      <c r="C210">
        <v>3</v>
      </c>
      <c r="D210">
        <v>49.4</v>
      </c>
      <c r="E210">
        <v>148.19999999999999</v>
      </c>
      <c r="F210" s="1">
        <v>45666</v>
      </c>
      <c r="G210" s="1">
        <v>45669</v>
      </c>
      <c r="H210" t="s">
        <v>26</v>
      </c>
      <c r="I210" t="s">
        <v>69</v>
      </c>
      <c r="J210">
        <v>2</v>
      </c>
      <c r="K210" t="s">
        <v>18</v>
      </c>
      <c r="L210" t="s">
        <v>32</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284</v>
      </c>
      <c r="B211" t="s">
        <v>43</v>
      </c>
      <c r="C211">
        <v>2</v>
      </c>
      <c r="D211">
        <v>22.7</v>
      </c>
      <c r="E211">
        <v>45.4</v>
      </c>
      <c r="F211" s="1">
        <v>45666</v>
      </c>
      <c r="G211" s="1">
        <v>45667</v>
      </c>
      <c r="H211" t="s">
        <v>22</v>
      </c>
      <c r="I211" t="s">
        <v>50</v>
      </c>
      <c r="J211">
        <v>5</v>
      </c>
      <c r="K211" t="s">
        <v>18</v>
      </c>
      <c r="L211" t="s">
        <v>32</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285</v>
      </c>
      <c r="B212" t="s">
        <v>21</v>
      </c>
      <c r="C212">
        <v>1</v>
      </c>
      <c r="D212">
        <v>77.3</v>
      </c>
      <c r="E212">
        <v>77.3</v>
      </c>
      <c r="F212" s="1">
        <v>45666</v>
      </c>
      <c r="G212" s="1">
        <v>45666</v>
      </c>
      <c r="H212" t="s">
        <v>26</v>
      </c>
      <c r="I212" t="s">
        <v>17</v>
      </c>
      <c r="J212">
        <v>5</v>
      </c>
      <c r="K212" t="s">
        <v>18</v>
      </c>
      <c r="L212" t="s">
        <v>54</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286</v>
      </c>
      <c r="B213" t="s">
        <v>21</v>
      </c>
      <c r="C213">
        <v>5</v>
      </c>
      <c r="D213">
        <v>109.1</v>
      </c>
      <c r="E213">
        <v>545.5</v>
      </c>
      <c r="F213" s="1">
        <v>45666</v>
      </c>
      <c r="G213" s="1">
        <v>45669</v>
      </c>
      <c r="H213" t="s">
        <v>26</v>
      </c>
      <c r="I213" t="s">
        <v>17</v>
      </c>
      <c r="J213">
        <v>4</v>
      </c>
      <c r="K213" t="s">
        <v>18</v>
      </c>
      <c r="L213" t="s">
        <v>54</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287</v>
      </c>
      <c r="B214" t="s">
        <v>25</v>
      </c>
      <c r="C214">
        <v>4</v>
      </c>
      <c r="D214">
        <v>53.9</v>
      </c>
      <c r="E214">
        <v>215.6</v>
      </c>
      <c r="F214" s="1">
        <v>45666</v>
      </c>
      <c r="G214" s="1">
        <v>45667</v>
      </c>
      <c r="H214" t="s">
        <v>22</v>
      </c>
      <c r="I214" t="s">
        <v>17</v>
      </c>
      <c r="J214">
        <v>3</v>
      </c>
      <c r="K214" t="s">
        <v>18</v>
      </c>
      <c r="L214" t="s">
        <v>61</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288</v>
      </c>
      <c r="B215" t="s">
        <v>45</v>
      </c>
      <c r="C215">
        <v>26</v>
      </c>
      <c r="D215">
        <v>21.2</v>
      </c>
      <c r="E215">
        <v>551.19999999999993</v>
      </c>
      <c r="F215" s="1">
        <v>45666</v>
      </c>
      <c r="G215" s="1">
        <v>45666</v>
      </c>
      <c r="H215" t="s">
        <v>26</v>
      </c>
      <c r="I215" t="s">
        <v>17</v>
      </c>
      <c r="J215">
        <v>4</v>
      </c>
      <c r="K215" t="s">
        <v>18</v>
      </c>
      <c r="L215" t="s">
        <v>71</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289</v>
      </c>
      <c r="B216" t="s">
        <v>127</v>
      </c>
      <c r="C216">
        <v>4</v>
      </c>
      <c r="D216">
        <v>69</v>
      </c>
      <c r="E216">
        <v>276</v>
      </c>
      <c r="F216" s="1">
        <v>45666</v>
      </c>
      <c r="G216" s="1">
        <v>45668</v>
      </c>
      <c r="H216" t="s">
        <v>26</v>
      </c>
      <c r="I216" t="s">
        <v>34</v>
      </c>
      <c r="J216">
        <v>3</v>
      </c>
      <c r="K216" t="s">
        <v>18</v>
      </c>
      <c r="L216" t="s">
        <v>107</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290</v>
      </c>
      <c r="B217" t="s">
        <v>38</v>
      </c>
      <c r="C217">
        <v>3</v>
      </c>
      <c r="D217">
        <v>46.2</v>
      </c>
      <c r="E217">
        <v>138.60000000000002</v>
      </c>
      <c r="F217" s="1">
        <v>45666</v>
      </c>
      <c r="G217" s="1">
        <v>45668</v>
      </c>
      <c r="H217" t="s">
        <v>26</v>
      </c>
      <c r="I217" t="s">
        <v>17</v>
      </c>
      <c r="J217">
        <v>5</v>
      </c>
      <c r="K217" t="s">
        <v>18</v>
      </c>
      <c r="L217" t="s">
        <v>291</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292</v>
      </c>
      <c r="B218" t="s">
        <v>21</v>
      </c>
      <c r="C218">
        <v>5</v>
      </c>
      <c r="D218">
        <v>97.4</v>
      </c>
      <c r="E218">
        <v>487</v>
      </c>
      <c r="F218" s="1">
        <v>45666</v>
      </c>
      <c r="G218" s="1">
        <v>45670</v>
      </c>
      <c r="H218" t="s">
        <v>26</v>
      </c>
      <c r="I218" t="s">
        <v>69</v>
      </c>
      <c r="J218">
        <v>5</v>
      </c>
      <c r="K218" t="s">
        <v>18</v>
      </c>
      <c r="L218" t="s">
        <v>114</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293</v>
      </c>
      <c r="B219" t="s">
        <v>43</v>
      </c>
      <c r="C219">
        <v>5</v>
      </c>
      <c r="D219">
        <v>21</v>
      </c>
      <c r="E219">
        <v>105</v>
      </c>
      <c r="F219" s="1">
        <v>45666</v>
      </c>
      <c r="G219" s="1">
        <v>45667</v>
      </c>
      <c r="H219" t="s">
        <v>22</v>
      </c>
      <c r="I219" t="s">
        <v>17</v>
      </c>
      <c r="J219">
        <v>3</v>
      </c>
      <c r="K219" t="s">
        <v>18</v>
      </c>
      <c r="L219" t="s">
        <v>114</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294</v>
      </c>
      <c r="B220" t="s">
        <v>36</v>
      </c>
      <c r="C220">
        <v>2</v>
      </c>
      <c r="D220">
        <v>32.700000000000003</v>
      </c>
      <c r="E220">
        <v>65.400000000000006</v>
      </c>
      <c r="F220" s="1">
        <v>45667</v>
      </c>
      <c r="G220" s="1">
        <v>45670</v>
      </c>
      <c r="H220" t="s">
        <v>26</v>
      </c>
      <c r="I220" t="s">
        <v>34</v>
      </c>
      <c r="J220">
        <v>4</v>
      </c>
      <c r="K220" t="s">
        <v>18</v>
      </c>
      <c r="L220" t="s">
        <v>27</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295</v>
      </c>
      <c r="B221" t="s">
        <v>38</v>
      </c>
      <c r="C221">
        <v>4</v>
      </c>
      <c r="D221">
        <v>48</v>
      </c>
      <c r="E221">
        <v>192</v>
      </c>
      <c r="F221" s="1">
        <v>45667</v>
      </c>
      <c r="G221" s="1">
        <v>45668</v>
      </c>
      <c r="H221" t="s">
        <v>22</v>
      </c>
      <c r="I221" t="s">
        <v>50</v>
      </c>
      <c r="J221">
        <v>4</v>
      </c>
      <c r="K221" t="s">
        <v>18</v>
      </c>
      <c r="L221" t="s">
        <v>32</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296</v>
      </c>
      <c r="B222" t="s">
        <v>38</v>
      </c>
      <c r="C222">
        <v>3</v>
      </c>
      <c r="D222">
        <v>68.2</v>
      </c>
      <c r="E222">
        <v>204.60000000000002</v>
      </c>
      <c r="F222" s="1">
        <v>45667</v>
      </c>
      <c r="G222" s="1">
        <v>45671</v>
      </c>
      <c r="I222" t="s">
        <v>17</v>
      </c>
      <c r="J222">
        <v>5</v>
      </c>
      <c r="K222" t="s">
        <v>18</v>
      </c>
      <c r="L222" t="s">
        <v>32</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297</v>
      </c>
      <c r="B223" t="s">
        <v>36</v>
      </c>
      <c r="C223">
        <v>1</v>
      </c>
      <c r="D223">
        <v>45.4</v>
      </c>
      <c r="E223">
        <v>45.4</v>
      </c>
      <c r="F223" s="1">
        <v>45667</v>
      </c>
      <c r="G223" s="1">
        <v>45669</v>
      </c>
      <c r="H223" t="s">
        <v>22</v>
      </c>
      <c r="I223" t="s">
        <v>34</v>
      </c>
      <c r="J223">
        <v>4</v>
      </c>
      <c r="K223" t="s">
        <v>18</v>
      </c>
      <c r="L223" t="s">
        <v>32</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298</v>
      </c>
      <c r="B224" t="s">
        <v>68</v>
      </c>
      <c r="C224">
        <v>2</v>
      </c>
      <c r="D224">
        <v>53.9</v>
      </c>
      <c r="E224">
        <v>107.8</v>
      </c>
      <c r="F224" s="1">
        <v>45667</v>
      </c>
      <c r="G224" s="1">
        <v>45668</v>
      </c>
      <c r="H224" t="s">
        <v>26</v>
      </c>
      <c r="I224" t="s">
        <v>39</v>
      </c>
      <c r="J224">
        <v>4</v>
      </c>
      <c r="K224" t="s">
        <v>18</v>
      </c>
      <c r="L224" t="s">
        <v>32</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299</v>
      </c>
      <c r="B225" t="s">
        <v>25</v>
      </c>
      <c r="C225">
        <v>4</v>
      </c>
      <c r="D225">
        <v>62.1</v>
      </c>
      <c r="E225">
        <v>248.4</v>
      </c>
      <c r="F225" s="1">
        <v>45667</v>
      </c>
      <c r="G225" s="1">
        <v>45671</v>
      </c>
      <c r="H225" t="s">
        <v>26</v>
      </c>
      <c r="I225" t="s">
        <v>17</v>
      </c>
      <c r="J225">
        <v>4</v>
      </c>
      <c r="K225" t="s">
        <v>18</v>
      </c>
      <c r="L225" t="s">
        <v>48</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300</v>
      </c>
      <c r="B226" t="s">
        <v>75</v>
      </c>
      <c r="C226">
        <v>7</v>
      </c>
      <c r="D226">
        <v>33.1</v>
      </c>
      <c r="E226">
        <v>231.70000000000002</v>
      </c>
      <c r="F226" s="1">
        <v>45667</v>
      </c>
      <c r="G226" s="1">
        <v>45672</v>
      </c>
      <c r="H226" t="s">
        <v>22</v>
      </c>
      <c r="I226" t="s">
        <v>34</v>
      </c>
      <c r="J226">
        <v>4</v>
      </c>
      <c r="K226" t="s">
        <v>18</v>
      </c>
      <c r="L226" t="s">
        <v>54</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301</v>
      </c>
      <c r="B227" t="s">
        <v>145</v>
      </c>
      <c r="C227">
        <v>5</v>
      </c>
      <c r="D227">
        <v>35.200000000000003</v>
      </c>
      <c r="E227">
        <v>176</v>
      </c>
      <c r="F227" s="1">
        <v>45667</v>
      </c>
      <c r="G227" s="1">
        <v>45667</v>
      </c>
      <c r="H227" t="s">
        <v>26</v>
      </c>
      <c r="I227" t="s">
        <v>34</v>
      </c>
      <c r="J227">
        <v>4</v>
      </c>
      <c r="K227" t="s">
        <v>18</v>
      </c>
      <c r="L227" t="s">
        <v>54</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302</v>
      </c>
      <c r="B228" t="s">
        <v>45</v>
      </c>
      <c r="C228">
        <v>3</v>
      </c>
      <c r="D228">
        <v>32.1</v>
      </c>
      <c r="E228">
        <v>96.300000000000011</v>
      </c>
      <c r="F228" s="1">
        <v>45667</v>
      </c>
      <c r="G228" s="1">
        <v>45672</v>
      </c>
      <c r="H228" t="s">
        <v>22</v>
      </c>
      <c r="I228" t="s">
        <v>50</v>
      </c>
      <c r="J228">
        <v>4</v>
      </c>
      <c r="K228" t="s">
        <v>18</v>
      </c>
      <c r="L228" t="s">
        <v>61</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303</v>
      </c>
      <c r="B229" t="s">
        <v>66</v>
      </c>
      <c r="C229">
        <v>1</v>
      </c>
      <c r="D229">
        <v>38.1</v>
      </c>
      <c r="E229">
        <v>38.1</v>
      </c>
      <c r="F229" s="1">
        <v>45667</v>
      </c>
      <c r="G229" s="1">
        <v>45672</v>
      </c>
      <c r="H229" t="s">
        <v>26</v>
      </c>
      <c r="I229" t="s">
        <v>17</v>
      </c>
      <c r="J229">
        <v>5</v>
      </c>
      <c r="K229" t="s">
        <v>18</v>
      </c>
      <c r="L229" t="s">
        <v>61</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304</v>
      </c>
      <c r="B230" t="s">
        <v>43</v>
      </c>
      <c r="C230">
        <v>1</v>
      </c>
      <c r="D230">
        <v>65.2</v>
      </c>
      <c r="E230">
        <v>65.2</v>
      </c>
      <c r="F230" s="1">
        <v>45667</v>
      </c>
      <c r="G230" s="1">
        <v>45672</v>
      </c>
      <c r="H230" t="s">
        <v>26</v>
      </c>
      <c r="I230" t="s">
        <v>50</v>
      </c>
      <c r="J230">
        <v>3</v>
      </c>
      <c r="K230" t="s">
        <v>18</v>
      </c>
      <c r="L230" t="s">
        <v>61</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305</v>
      </c>
      <c r="B231" t="s">
        <v>53</v>
      </c>
      <c r="C231">
        <v>7</v>
      </c>
      <c r="D231">
        <v>55.2</v>
      </c>
      <c r="E231">
        <v>386.40000000000003</v>
      </c>
      <c r="F231" s="1">
        <v>45667</v>
      </c>
      <c r="G231" s="1">
        <v>45668</v>
      </c>
      <c r="H231" t="s">
        <v>22</v>
      </c>
      <c r="I231" t="s">
        <v>39</v>
      </c>
      <c r="J231">
        <v>4</v>
      </c>
      <c r="K231" t="s">
        <v>18</v>
      </c>
      <c r="L231" t="s">
        <v>76</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306</v>
      </c>
      <c r="B232" t="s">
        <v>38</v>
      </c>
      <c r="C232">
        <v>1</v>
      </c>
      <c r="D232">
        <v>62</v>
      </c>
      <c r="E232">
        <v>62</v>
      </c>
      <c r="F232" s="1">
        <v>45667</v>
      </c>
      <c r="G232" s="1">
        <v>45671</v>
      </c>
      <c r="H232" t="s">
        <v>26</v>
      </c>
      <c r="I232" t="s">
        <v>17</v>
      </c>
      <c r="J232">
        <v>4</v>
      </c>
      <c r="K232" t="s">
        <v>18</v>
      </c>
      <c r="L232" t="s">
        <v>76</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307</v>
      </c>
      <c r="B233" t="s">
        <v>41</v>
      </c>
      <c r="C233">
        <v>3</v>
      </c>
      <c r="D233">
        <v>45.9</v>
      </c>
      <c r="E233">
        <v>137.69999999999999</v>
      </c>
      <c r="F233" s="1">
        <v>45667</v>
      </c>
      <c r="G233" s="1">
        <v>45668</v>
      </c>
      <c r="H233" t="s">
        <v>26</v>
      </c>
      <c r="I233" t="s">
        <v>39</v>
      </c>
      <c r="J233">
        <v>4</v>
      </c>
      <c r="K233" t="s">
        <v>18</v>
      </c>
      <c r="L233" t="s">
        <v>308</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309</v>
      </c>
      <c r="B234" t="s">
        <v>145</v>
      </c>
      <c r="C234">
        <v>3</v>
      </c>
      <c r="D234">
        <v>58.3</v>
      </c>
      <c r="E234">
        <v>174.89999999999998</v>
      </c>
      <c r="F234" s="1">
        <v>45667</v>
      </c>
      <c r="G234" s="1">
        <v>45667</v>
      </c>
      <c r="H234" t="s">
        <v>22</v>
      </c>
      <c r="I234" t="s">
        <v>34</v>
      </c>
      <c r="J234">
        <v>3</v>
      </c>
      <c r="K234" t="s">
        <v>18</v>
      </c>
      <c r="L234" t="s">
        <v>107</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310</v>
      </c>
      <c r="B235" t="s">
        <v>43</v>
      </c>
      <c r="C235">
        <v>2</v>
      </c>
      <c r="D235">
        <v>22.3</v>
      </c>
      <c r="E235">
        <v>44.6</v>
      </c>
      <c r="F235" s="1">
        <v>45667</v>
      </c>
      <c r="G235" s="1">
        <v>45670</v>
      </c>
      <c r="H235" t="s">
        <v>26</v>
      </c>
      <c r="I235" t="s">
        <v>17</v>
      </c>
      <c r="J235">
        <v>5</v>
      </c>
      <c r="K235" t="s">
        <v>18</v>
      </c>
      <c r="L235" t="s">
        <v>112</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311</v>
      </c>
      <c r="B236" t="s">
        <v>170</v>
      </c>
      <c r="C236">
        <v>5</v>
      </c>
      <c r="D236">
        <v>24</v>
      </c>
      <c r="E236">
        <v>120</v>
      </c>
      <c r="F236" s="1">
        <v>45667</v>
      </c>
      <c r="G236" s="1">
        <v>45668</v>
      </c>
      <c r="H236" t="s">
        <v>22</v>
      </c>
      <c r="I236" t="s">
        <v>69</v>
      </c>
      <c r="J236">
        <v>4</v>
      </c>
      <c r="K236" t="s">
        <v>18</v>
      </c>
      <c r="L236" t="s">
        <v>23</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312</v>
      </c>
      <c r="B237" t="s">
        <v>16</v>
      </c>
      <c r="C237">
        <v>10</v>
      </c>
      <c r="D237">
        <v>21.3</v>
      </c>
      <c r="E237">
        <v>213</v>
      </c>
      <c r="F237" s="1">
        <v>45667</v>
      </c>
      <c r="G237" s="1">
        <v>45667</v>
      </c>
      <c r="H237" t="s">
        <v>26</v>
      </c>
      <c r="I237" t="s">
        <v>34</v>
      </c>
      <c r="J237">
        <v>5</v>
      </c>
      <c r="K237" t="s">
        <v>18</v>
      </c>
      <c r="L237" t="s">
        <v>146</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313</v>
      </c>
      <c r="B238" t="s">
        <v>38</v>
      </c>
      <c r="C238">
        <v>41</v>
      </c>
      <c r="D238">
        <v>57.8</v>
      </c>
      <c r="E238">
        <v>2369.7999999999997</v>
      </c>
      <c r="F238" s="1">
        <v>45667</v>
      </c>
      <c r="G238" s="1">
        <v>45669</v>
      </c>
      <c r="H238" t="s">
        <v>26</v>
      </c>
      <c r="I238" t="s">
        <v>17</v>
      </c>
      <c r="J238">
        <v>5</v>
      </c>
      <c r="K238" t="s">
        <v>18</v>
      </c>
      <c r="L238" t="s">
        <v>32</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314</v>
      </c>
      <c r="B239" t="s">
        <v>53</v>
      </c>
      <c r="C239">
        <v>3</v>
      </c>
      <c r="D239">
        <v>67.599999999999994</v>
      </c>
      <c r="E239">
        <v>202.79999999999998</v>
      </c>
      <c r="F239" s="1">
        <v>45667</v>
      </c>
      <c r="G239" s="1">
        <v>45668</v>
      </c>
      <c r="H239" t="s">
        <v>26</v>
      </c>
      <c r="I239" t="s">
        <v>17</v>
      </c>
      <c r="J239">
        <v>4</v>
      </c>
      <c r="K239" t="s">
        <v>18</v>
      </c>
      <c r="L239" t="s">
        <v>32</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315</v>
      </c>
      <c r="B240" t="s">
        <v>38</v>
      </c>
      <c r="C240">
        <v>6</v>
      </c>
      <c r="D240">
        <v>66.7</v>
      </c>
      <c r="E240">
        <v>400.20000000000005</v>
      </c>
      <c r="F240" s="1">
        <v>45667</v>
      </c>
      <c r="G240" s="1">
        <v>45671</v>
      </c>
      <c r="H240" t="s">
        <v>22</v>
      </c>
      <c r="I240" t="s">
        <v>69</v>
      </c>
      <c r="J240">
        <v>3</v>
      </c>
      <c r="K240" t="s">
        <v>18</v>
      </c>
      <c r="L240" t="s">
        <v>32</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316</v>
      </c>
      <c r="B241" t="s">
        <v>21</v>
      </c>
      <c r="C241">
        <v>4</v>
      </c>
      <c r="D241">
        <v>53.1</v>
      </c>
      <c r="E241">
        <v>212.4</v>
      </c>
      <c r="F241" s="1">
        <v>45667</v>
      </c>
      <c r="G241" s="1">
        <v>45669</v>
      </c>
      <c r="H241" t="s">
        <v>26</v>
      </c>
      <c r="I241" t="s">
        <v>34</v>
      </c>
      <c r="J241">
        <v>4</v>
      </c>
      <c r="K241" t="s">
        <v>18</v>
      </c>
      <c r="L241" t="s">
        <v>32</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317</v>
      </c>
      <c r="B242" t="s">
        <v>68</v>
      </c>
      <c r="C242">
        <v>3</v>
      </c>
      <c r="D242">
        <v>57.4</v>
      </c>
      <c r="E242">
        <v>172.2</v>
      </c>
      <c r="F242" s="1">
        <v>45667</v>
      </c>
      <c r="G242" s="1">
        <v>45670</v>
      </c>
      <c r="H242" t="s">
        <v>26</v>
      </c>
      <c r="I242" t="s">
        <v>17</v>
      </c>
      <c r="J242">
        <v>5</v>
      </c>
      <c r="K242" t="s">
        <v>18</v>
      </c>
      <c r="L242" t="s">
        <v>257</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318</v>
      </c>
      <c r="B243" t="s">
        <v>25</v>
      </c>
      <c r="C243">
        <v>5</v>
      </c>
      <c r="D243">
        <v>58.1</v>
      </c>
      <c r="E243">
        <v>290.5</v>
      </c>
      <c r="F243" s="1">
        <v>45667</v>
      </c>
      <c r="G243" s="1">
        <v>45667</v>
      </c>
      <c r="H243" t="s">
        <v>22</v>
      </c>
      <c r="I243" t="s">
        <v>39</v>
      </c>
      <c r="J243">
        <v>5</v>
      </c>
      <c r="K243" t="s">
        <v>18</v>
      </c>
      <c r="L243" t="s">
        <v>54</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319</v>
      </c>
      <c r="B244" t="s">
        <v>36</v>
      </c>
      <c r="C244">
        <v>3</v>
      </c>
      <c r="D244">
        <v>31.8</v>
      </c>
      <c r="E244">
        <v>95.4</v>
      </c>
      <c r="F244" s="1">
        <v>45668</v>
      </c>
      <c r="G244" s="1">
        <v>45670</v>
      </c>
      <c r="H244" t="s">
        <v>22</v>
      </c>
      <c r="I244" t="s">
        <v>50</v>
      </c>
      <c r="J244">
        <v>4</v>
      </c>
      <c r="K244" t="s">
        <v>18</v>
      </c>
      <c r="L244" t="s">
        <v>54</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320</v>
      </c>
      <c r="B245" t="s">
        <v>31</v>
      </c>
      <c r="C245">
        <v>3</v>
      </c>
      <c r="D245">
        <v>31.5</v>
      </c>
      <c r="E245">
        <v>94.5</v>
      </c>
      <c r="F245" s="1">
        <v>45668</v>
      </c>
      <c r="G245" s="1">
        <v>45671</v>
      </c>
      <c r="H245" t="s">
        <v>22</v>
      </c>
      <c r="I245" t="s">
        <v>17</v>
      </c>
      <c r="J245">
        <v>3</v>
      </c>
      <c r="K245" t="s">
        <v>18</v>
      </c>
      <c r="L245" t="s">
        <v>61</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321</v>
      </c>
      <c r="B246" t="s">
        <v>38</v>
      </c>
      <c r="C246">
        <v>7</v>
      </c>
      <c r="D246">
        <v>55.9</v>
      </c>
      <c r="E246">
        <v>391.3</v>
      </c>
      <c r="F246" s="1">
        <v>45668</v>
      </c>
      <c r="G246" s="1">
        <v>45672</v>
      </c>
      <c r="H246" t="s">
        <v>26</v>
      </c>
      <c r="I246" t="s">
        <v>34</v>
      </c>
      <c r="J246">
        <v>5</v>
      </c>
      <c r="K246" t="s">
        <v>18</v>
      </c>
      <c r="L246" t="s">
        <v>61</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322</v>
      </c>
      <c r="B247" t="s">
        <v>43</v>
      </c>
      <c r="C247">
        <v>2</v>
      </c>
      <c r="D247">
        <v>36.4</v>
      </c>
      <c r="E247">
        <v>72.8</v>
      </c>
      <c r="F247" s="1">
        <v>45668</v>
      </c>
      <c r="G247" s="1">
        <v>45669</v>
      </c>
      <c r="H247" t="s">
        <v>22</v>
      </c>
      <c r="I247" t="s">
        <v>34</v>
      </c>
      <c r="J247">
        <v>3</v>
      </c>
      <c r="K247" t="s">
        <v>18</v>
      </c>
      <c r="L247" t="s">
        <v>71</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323</v>
      </c>
      <c r="B248" t="s">
        <v>21</v>
      </c>
      <c r="C248">
        <v>5</v>
      </c>
      <c r="D248">
        <v>47.3</v>
      </c>
      <c r="E248">
        <v>236.5</v>
      </c>
      <c r="F248" s="1">
        <v>45668</v>
      </c>
      <c r="G248" s="1">
        <v>45671</v>
      </c>
      <c r="H248" t="s">
        <v>22</v>
      </c>
      <c r="I248" t="s">
        <v>39</v>
      </c>
      <c r="J248">
        <v>4</v>
      </c>
      <c r="K248" t="s">
        <v>18</v>
      </c>
      <c r="L248" t="s">
        <v>73</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324</v>
      </c>
      <c r="B249" t="s">
        <v>38</v>
      </c>
      <c r="C249">
        <v>3</v>
      </c>
      <c r="D249">
        <v>82.5</v>
      </c>
      <c r="E249">
        <v>247.5</v>
      </c>
      <c r="F249" s="1">
        <v>45668</v>
      </c>
      <c r="G249" s="1">
        <v>45669</v>
      </c>
      <c r="H249" t="s">
        <v>22</v>
      </c>
      <c r="I249" t="s">
        <v>17</v>
      </c>
      <c r="J249">
        <v>4</v>
      </c>
      <c r="K249" t="s">
        <v>18</v>
      </c>
      <c r="L249" t="s">
        <v>76</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325</v>
      </c>
      <c r="B250" t="s">
        <v>16</v>
      </c>
      <c r="C250">
        <v>1</v>
      </c>
      <c r="D250">
        <v>14.3</v>
      </c>
      <c r="E250">
        <v>14.3</v>
      </c>
      <c r="F250" s="1">
        <v>45668</v>
      </c>
      <c r="G250" s="1">
        <v>45669</v>
      </c>
      <c r="H250" t="s">
        <v>26</v>
      </c>
      <c r="I250" t="s">
        <v>17</v>
      </c>
      <c r="J250">
        <v>4</v>
      </c>
      <c r="K250" t="s">
        <v>18</v>
      </c>
      <c r="L250" t="s">
        <v>114</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326</v>
      </c>
      <c r="B251" t="s">
        <v>25</v>
      </c>
      <c r="C251">
        <v>6</v>
      </c>
      <c r="D251">
        <v>57.6</v>
      </c>
      <c r="E251">
        <v>345.6</v>
      </c>
      <c r="F251" s="1">
        <v>45668</v>
      </c>
      <c r="G251" s="1">
        <v>45682</v>
      </c>
      <c r="H251" t="s">
        <v>26</v>
      </c>
      <c r="I251" t="s">
        <v>17</v>
      </c>
      <c r="J251">
        <v>4</v>
      </c>
      <c r="K251" t="s">
        <v>18</v>
      </c>
      <c r="L251" t="s">
        <v>114</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327</v>
      </c>
      <c r="B252" t="s">
        <v>25</v>
      </c>
      <c r="C252">
        <v>3</v>
      </c>
      <c r="D252">
        <v>142.4</v>
      </c>
      <c r="E252">
        <v>427.20000000000005</v>
      </c>
      <c r="F252" s="1">
        <v>45668</v>
      </c>
      <c r="G252" s="1">
        <v>45670</v>
      </c>
      <c r="H252" t="s">
        <v>22</v>
      </c>
      <c r="I252" t="s">
        <v>69</v>
      </c>
      <c r="J252">
        <v>3</v>
      </c>
      <c r="K252" t="s">
        <v>18</v>
      </c>
      <c r="L252" t="s">
        <v>114</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328</v>
      </c>
      <c r="B253" t="s">
        <v>68</v>
      </c>
      <c r="C253">
        <v>1</v>
      </c>
      <c r="D253">
        <v>30.2</v>
      </c>
      <c r="E253">
        <v>30.2</v>
      </c>
      <c r="F253" s="1">
        <v>45668</v>
      </c>
      <c r="G253" s="1">
        <v>45672</v>
      </c>
      <c r="H253" t="s">
        <v>22</v>
      </c>
      <c r="I253" t="s">
        <v>34</v>
      </c>
      <c r="J253">
        <v>5</v>
      </c>
      <c r="K253" t="s">
        <v>18</v>
      </c>
      <c r="L253" t="s">
        <v>27</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329</v>
      </c>
      <c r="B254" t="s">
        <v>145</v>
      </c>
      <c r="C254">
        <v>3</v>
      </c>
      <c r="D254">
        <v>65.3</v>
      </c>
      <c r="E254">
        <v>195.89999999999998</v>
      </c>
      <c r="F254" s="1">
        <v>45668</v>
      </c>
      <c r="G254" s="1">
        <v>45669</v>
      </c>
      <c r="H254" t="s">
        <v>88</v>
      </c>
      <c r="I254" t="s">
        <v>34</v>
      </c>
      <c r="J254">
        <v>4</v>
      </c>
      <c r="K254" t="s">
        <v>18</v>
      </c>
      <c r="L254" t="s">
        <v>330</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331</v>
      </c>
      <c r="B255" t="s">
        <v>16</v>
      </c>
      <c r="C255">
        <v>2</v>
      </c>
      <c r="D255">
        <v>33.4</v>
      </c>
      <c r="E255">
        <v>66.8</v>
      </c>
      <c r="F255" s="1">
        <v>45668</v>
      </c>
      <c r="G255" s="1">
        <v>45669</v>
      </c>
      <c r="H255" t="s">
        <v>22</v>
      </c>
      <c r="I255" t="s">
        <v>34</v>
      </c>
      <c r="J255">
        <v>3</v>
      </c>
      <c r="K255" t="s">
        <v>18</v>
      </c>
      <c r="L255" t="s">
        <v>146</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332</v>
      </c>
      <c r="B256" t="s">
        <v>41</v>
      </c>
      <c r="C256">
        <v>2</v>
      </c>
      <c r="D256">
        <v>45.1</v>
      </c>
      <c r="E256">
        <v>90.2</v>
      </c>
      <c r="F256" s="1">
        <v>45668</v>
      </c>
      <c r="G256" s="1">
        <v>45676</v>
      </c>
      <c r="H256" t="s">
        <v>22</v>
      </c>
      <c r="I256" t="s">
        <v>17</v>
      </c>
      <c r="J256">
        <v>4</v>
      </c>
      <c r="K256" t="s">
        <v>18</v>
      </c>
      <c r="L256" t="s">
        <v>333</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334</v>
      </c>
      <c r="B257" t="s">
        <v>25</v>
      </c>
      <c r="C257">
        <v>7</v>
      </c>
      <c r="D257">
        <v>61.7</v>
      </c>
      <c r="E257">
        <v>431.90000000000003</v>
      </c>
      <c r="F257" s="1">
        <v>45668</v>
      </c>
      <c r="G257" s="1">
        <v>45670</v>
      </c>
      <c r="H257" t="s">
        <v>26</v>
      </c>
      <c r="I257" t="s">
        <v>69</v>
      </c>
      <c r="J257">
        <v>4</v>
      </c>
      <c r="K257" t="s">
        <v>18</v>
      </c>
      <c r="L257" t="s">
        <v>32</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335</v>
      </c>
      <c r="B258" t="s">
        <v>45</v>
      </c>
      <c r="C258">
        <v>3</v>
      </c>
      <c r="D258">
        <v>45.1</v>
      </c>
      <c r="E258">
        <v>135.30000000000001</v>
      </c>
      <c r="F258" s="1">
        <v>45669</v>
      </c>
      <c r="G258" s="1">
        <v>45670</v>
      </c>
      <c r="H258" t="s">
        <v>22</v>
      </c>
      <c r="I258" t="s">
        <v>69</v>
      </c>
      <c r="J258">
        <v>3</v>
      </c>
      <c r="K258" t="s">
        <v>18</v>
      </c>
      <c r="L258" t="s">
        <v>32</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336</v>
      </c>
      <c r="B259" t="s">
        <v>122</v>
      </c>
      <c r="C259">
        <v>5</v>
      </c>
      <c r="D259">
        <v>22.7</v>
      </c>
      <c r="E259">
        <v>113.5</v>
      </c>
      <c r="F259" s="1">
        <v>45669</v>
      </c>
      <c r="G259" s="1">
        <v>45674</v>
      </c>
      <c r="H259" t="s">
        <v>22</v>
      </c>
      <c r="I259" t="s">
        <v>17</v>
      </c>
      <c r="J259">
        <v>5</v>
      </c>
      <c r="K259" t="s">
        <v>18</v>
      </c>
      <c r="L259" t="s">
        <v>337</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338</v>
      </c>
      <c r="B260" t="s">
        <v>43</v>
      </c>
      <c r="C260">
        <v>1</v>
      </c>
      <c r="D260">
        <v>17.600000000000001</v>
      </c>
      <c r="E260">
        <v>17.600000000000001</v>
      </c>
      <c r="F260" s="1">
        <v>45669</v>
      </c>
      <c r="G260" s="1">
        <v>45670</v>
      </c>
      <c r="H260" t="s">
        <v>26</v>
      </c>
      <c r="I260" t="s">
        <v>17</v>
      </c>
      <c r="J260">
        <v>5</v>
      </c>
      <c r="K260" t="s">
        <v>18</v>
      </c>
      <c r="L260" t="s">
        <v>157</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339</v>
      </c>
      <c r="B261" t="s">
        <v>80</v>
      </c>
      <c r="C261">
        <v>2</v>
      </c>
      <c r="D261">
        <v>11.3</v>
      </c>
      <c r="E261">
        <v>22.6</v>
      </c>
      <c r="F261" s="1">
        <v>45669</v>
      </c>
      <c r="G261" s="1">
        <v>45672</v>
      </c>
      <c r="H261" t="s">
        <v>26</v>
      </c>
      <c r="I261" t="s">
        <v>50</v>
      </c>
      <c r="J261">
        <v>5</v>
      </c>
      <c r="K261" t="s">
        <v>18</v>
      </c>
      <c r="L261" t="s">
        <v>157</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340</v>
      </c>
      <c r="B262" t="s">
        <v>38</v>
      </c>
      <c r="C262">
        <v>3</v>
      </c>
      <c r="D262">
        <v>53.4</v>
      </c>
      <c r="E262">
        <v>160.19999999999999</v>
      </c>
      <c r="F262" s="1">
        <v>45669</v>
      </c>
      <c r="G262" s="1">
        <v>45672</v>
      </c>
      <c r="H262" t="s">
        <v>22</v>
      </c>
      <c r="I262" t="s">
        <v>50</v>
      </c>
      <c r="J262">
        <v>5</v>
      </c>
      <c r="K262" t="s">
        <v>18</v>
      </c>
      <c r="L262" t="s">
        <v>341</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342</v>
      </c>
      <c r="B263" t="s">
        <v>38</v>
      </c>
      <c r="C263">
        <v>11</v>
      </c>
      <c r="D263">
        <v>51.1</v>
      </c>
      <c r="E263">
        <v>562.1</v>
      </c>
      <c r="F263" s="1">
        <v>45669</v>
      </c>
      <c r="G263" s="1">
        <v>45671</v>
      </c>
      <c r="H263" t="s">
        <v>26</v>
      </c>
      <c r="I263" t="s">
        <v>39</v>
      </c>
      <c r="J263">
        <v>5</v>
      </c>
      <c r="K263" t="s">
        <v>18</v>
      </c>
      <c r="L263" t="s">
        <v>61</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343</v>
      </c>
      <c r="B264" t="s">
        <v>43</v>
      </c>
      <c r="C264">
        <v>2</v>
      </c>
      <c r="D264">
        <v>27.5</v>
      </c>
      <c r="E264">
        <v>55</v>
      </c>
      <c r="F264" s="1">
        <v>45669</v>
      </c>
      <c r="G264" s="1">
        <v>45670</v>
      </c>
      <c r="H264" t="s">
        <v>22</v>
      </c>
      <c r="I264" t="s">
        <v>69</v>
      </c>
      <c r="J264">
        <v>3</v>
      </c>
      <c r="K264" t="s">
        <v>18</v>
      </c>
      <c r="L264" t="s">
        <v>61</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344</v>
      </c>
      <c r="B265" t="s">
        <v>45</v>
      </c>
      <c r="C265">
        <v>1</v>
      </c>
      <c r="D265">
        <v>33.5</v>
      </c>
      <c r="E265">
        <v>33.5</v>
      </c>
      <c r="F265" s="1">
        <v>45669</v>
      </c>
      <c r="G265" s="1">
        <v>45671</v>
      </c>
      <c r="H265" t="s">
        <v>26</v>
      </c>
      <c r="I265" t="s">
        <v>17</v>
      </c>
      <c r="J265">
        <v>2</v>
      </c>
      <c r="K265" t="s">
        <v>18</v>
      </c>
      <c r="L265" t="s">
        <v>61</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345</v>
      </c>
      <c r="B266" t="s">
        <v>31</v>
      </c>
      <c r="C266">
        <v>1</v>
      </c>
      <c r="D266">
        <v>59.5</v>
      </c>
      <c r="E266">
        <v>59.5</v>
      </c>
      <c r="F266" s="1">
        <v>45669</v>
      </c>
      <c r="G266" s="1">
        <v>45669</v>
      </c>
      <c r="H266" t="s">
        <v>22</v>
      </c>
      <c r="I266" t="s">
        <v>17</v>
      </c>
      <c r="J266">
        <v>5</v>
      </c>
      <c r="K266" t="s">
        <v>18</v>
      </c>
      <c r="L266" t="s">
        <v>107</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346</v>
      </c>
      <c r="B267" t="s">
        <v>134</v>
      </c>
      <c r="C267">
        <v>4</v>
      </c>
      <c r="D267">
        <v>23.5</v>
      </c>
      <c r="E267">
        <v>94</v>
      </c>
      <c r="F267" s="1">
        <v>45669</v>
      </c>
      <c r="G267" s="1">
        <v>45670</v>
      </c>
      <c r="H267" t="s">
        <v>26</v>
      </c>
      <c r="I267" t="s">
        <v>50</v>
      </c>
      <c r="J267">
        <v>1</v>
      </c>
      <c r="K267" t="s">
        <v>18</v>
      </c>
      <c r="L267" t="s">
        <v>109</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347</v>
      </c>
      <c r="B268" t="s">
        <v>38</v>
      </c>
      <c r="C268">
        <v>1</v>
      </c>
      <c r="D268">
        <v>49.7</v>
      </c>
      <c r="E268">
        <v>49.7</v>
      </c>
      <c r="F268" s="1">
        <v>45669</v>
      </c>
      <c r="G268" s="1">
        <v>45670</v>
      </c>
      <c r="I268" t="s">
        <v>34</v>
      </c>
      <c r="J268">
        <v>5</v>
      </c>
      <c r="K268" t="s">
        <v>18</v>
      </c>
      <c r="L268" t="s">
        <v>112</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348</v>
      </c>
      <c r="B269" t="s">
        <v>38</v>
      </c>
      <c r="C269">
        <v>4</v>
      </c>
      <c r="D269">
        <v>44.2</v>
      </c>
      <c r="E269">
        <v>176.8</v>
      </c>
      <c r="F269" s="1">
        <v>45669</v>
      </c>
      <c r="G269" s="1">
        <v>45672</v>
      </c>
      <c r="H269" t="s">
        <v>26</v>
      </c>
      <c r="I269" t="s">
        <v>17</v>
      </c>
      <c r="J269">
        <v>5</v>
      </c>
      <c r="K269" t="s">
        <v>18</v>
      </c>
      <c r="L269" t="s">
        <v>114</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349</v>
      </c>
      <c r="B270" t="s">
        <v>43</v>
      </c>
      <c r="C270">
        <v>1</v>
      </c>
      <c r="D270">
        <v>22.1</v>
      </c>
      <c r="E270">
        <v>22.1</v>
      </c>
      <c r="F270" s="1">
        <v>45669</v>
      </c>
      <c r="G270" s="1">
        <v>45673</v>
      </c>
      <c r="H270" t="s">
        <v>26</v>
      </c>
      <c r="I270" t="s">
        <v>34</v>
      </c>
      <c r="J270">
        <v>3</v>
      </c>
      <c r="K270" t="s">
        <v>18</v>
      </c>
      <c r="L270" t="s">
        <v>330</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350</v>
      </c>
      <c r="B271" t="s">
        <v>38</v>
      </c>
      <c r="C271">
        <v>3</v>
      </c>
      <c r="D271">
        <v>90.9</v>
      </c>
      <c r="E271">
        <v>272.70000000000005</v>
      </c>
      <c r="F271" s="1">
        <v>45669</v>
      </c>
      <c r="G271" s="1">
        <v>45670</v>
      </c>
      <c r="H271" t="s">
        <v>26</v>
      </c>
      <c r="I271" t="s">
        <v>39</v>
      </c>
      <c r="J271">
        <v>2</v>
      </c>
      <c r="K271" t="s">
        <v>18</v>
      </c>
      <c r="L271" t="s">
        <v>32</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351</v>
      </c>
      <c r="B272" t="s">
        <v>43</v>
      </c>
      <c r="C272">
        <v>3</v>
      </c>
      <c r="D272">
        <v>44.5</v>
      </c>
      <c r="E272">
        <v>133.5</v>
      </c>
      <c r="F272" s="1">
        <v>45669</v>
      </c>
      <c r="G272" s="1">
        <v>45670</v>
      </c>
      <c r="H272" t="s">
        <v>26</v>
      </c>
      <c r="I272" t="s">
        <v>34</v>
      </c>
      <c r="J272">
        <v>4</v>
      </c>
      <c r="K272" t="s">
        <v>18</v>
      </c>
      <c r="L272" t="s">
        <v>32</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352</v>
      </c>
      <c r="B273" t="s">
        <v>45</v>
      </c>
      <c r="C273">
        <v>6</v>
      </c>
      <c r="D273">
        <v>32.299999999999997</v>
      </c>
      <c r="E273">
        <v>193.79999999999998</v>
      </c>
      <c r="F273" s="1">
        <v>45669</v>
      </c>
      <c r="G273" s="1">
        <v>45673</v>
      </c>
      <c r="H273" t="s">
        <v>26</v>
      </c>
      <c r="I273" t="s">
        <v>17</v>
      </c>
      <c r="J273">
        <v>4</v>
      </c>
      <c r="K273" t="s">
        <v>18</v>
      </c>
      <c r="L273" t="s">
        <v>32</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353</v>
      </c>
      <c r="B274" t="s">
        <v>134</v>
      </c>
      <c r="C274">
        <v>3</v>
      </c>
      <c r="D274">
        <v>87.5</v>
      </c>
      <c r="E274">
        <v>262.5</v>
      </c>
      <c r="F274" s="1">
        <v>45669</v>
      </c>
      <c r="G274" s="1">
        <v>45670</v>
      </c>
      <c r="H274" t="s">
        <v>26</v>
      </c>
      <c r="I274" t="s">
        <v>34</v>
      </c>
      <c r="J274">
        <v>3</v>
      </c>
      <c r="K274" t="s">
        <v>18</v>
      </c>
      <c r="L274" t="s">
        <v>32</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354</v>
      </c>
      <c r="B275" t="s">
        <v>127</v>
      </c>
      <c r="C275">
        <v>5</v>
      </c>
      <c r="D275">
        <v>48.7</v>
      </c>
      <c r="E275">
        <v>243.5</v>
      </c>
      <c r="F275" s="1">
        <v>45669</v>
      </c>
      <c r="G275" s="1">
        <v>45670</v>
      </c>
      <c r="H275" t="s">
        <v>22</v>
      </c>
      <c r="I275" t="s">
        <v>39</v>
      </c>
      <c r="J275">
        <v>4</v>
      </c>
      <c r="K275" t="s">
        <v>18</v>
      </c>
      <c r="L275" t="s">
        <v>32</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355</v>
      </c>
      <c r="B276" t="s">
        <v>16</v>
      </c>
      <c r="C276">
        <v>5</v>
      </c>
      <c r="D276">
        <v>22.5</v>
      </c>
      <c r="E276">
        <v>112.5</v>
      </c>
      <c r="F276" s="1">
        <v>45669</v>
      </c>
      <c r="G276" s="1">
        <v>45670</v>
      </c>
      <c r="H276" t="s">
        <v>22</v>
      </c>
      <c r="I276" t="s">
        <v>17</v>
      </c>
      <c r="J276">
        <v>4</v>
      </c>
      <c r="K276" t="s">
        <v>18</v>
      </c>
      <c r="L276" t="s">
        <v>32</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356</v>
      </c>
      <c r="B277" t="s">
        <v>21</v>
      </c>
      <c r="C277">
        <v>8</v>
      </c>
      <c r="D277">
        <v>65.900000000000006</v>
      </c>
      <c r="E277">
        <v>527.20000000000005</v>
      </c>
      <c r="F277" s="1">
        <v>45669</v>
      </c>
      <c r="G277" s="1">
        <v>45672</v>
      </c>
      <c r="H277" t="s">
        <v>26</v>
      </c>
      <c r="I277" t="s">
        <v>34</v>
      </c>
      <c r="J277">
        <v>5</v>
      </c>
      <c r="K277" t="s">
        <v>18</v>
      </c>
      <c r="L277" t="s">
        <v>32</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357</v>
      </c>
      <c r="B278" t="s">
        <v>38</v>
      </c>
      <c r="C278">
        <v>5</v>
      </c>
      <c r="D278">
        <v>41.9</v>
      </c>
      <c r="E278">
        <v>209.5</v>
      </c>
      <c r="F278" s="1">
        <v>45669</v>
      </c>
      <c r="G278" s="1">
        <v>45676</v>
      </c>
      <c r="I278" t="s">
        <v>17</v>
      </c>
      <c r="J278">
        <v>4</v>
      </c>
      <c r="K278" t="s">
        <v>18</v>
      </c>
      <c r="L278" t="s">
        <v>32</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358</v>
      </c>
      <c r="B279" t="s">
        <v>21</v>
      </c>
      <c r="C279">
        <v>5</v>
      </c>
      <c r="D279">
        <v>67.5</v>
      </c>
      <c r="E279">
        <v>337.5</v>
      </c>
      <c r="F279" s="1">
        <v>45669</v>
      </c>
      <c r="G279" s="1">
        <v>45670</v>
      </c>
      <c r="H279" t="s">
        <v>26</v>
      </c>
      <c r="I279" t="s">
        <v>17</v>
      </c>
      <c r="J279">
        <v>5</v>
      </c>
      <c r="K279" t="s">
        <v>18</v>
      </c>
      <c r="L279" t="s">
        <v>32</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359</v>
      </c>
      <c r="B280" t="s">
        <v>45</v>
      </c>
      <c r="C280">
        <v>1</v>
      </c>
      <c r="D280">
        <v>60.4</v>
      </c>
      <c r="E280">
        <v>60.4</v>
      </c>
      <c r="F280" s="1">
        <v>45670</v>
      </c>
      <c r="G280" s="1">
        <v>45672</v>
      </c>
      <c r="H280" t="s">
        <v>26</v>
      </c>
      <c r="I280" t="s">
        <v>34</v>
      </c>
      <c r="J280">
        <v>3</v>
      </c>
      <c r="K280" t="s">
        <v>18</v>
      </c>
      <c r="L280" t="s">
        <v>32</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360</v>
      </c>
      <c r="B281" t="s">
        <v>21</v>
      </c>
      <c r="C281">
        <v>7</v>
      </c>
      <c r="D281">
        <v>30.4</v>
      </c>
      <c r="E281">
        <v>212.79999999999998</v>
      </c>
      <c r="F281" s="1">
        <v>45670</v>
      </c>
      <c r="G281" s="1">
        <v>45673</v>
      </c>
      <c r="H281" t="s">
        <v>26</v>
      </c>
      <c r="I281" t="s">
        <v>69</v>
      </c>
      <c r="J281">
        <v>4</v>
      </c>
      <c r="K281" t="s">
        <v>18</v>
      </c>
      <c r="L281" t="s">
        <v>32</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361</v>
      </c>
      <c r="B282" t="s">
        <v>80</v>
      </c>
      <c r="C282">
        <v>2</v>
      </c>
      <c r="D282">
        <v>24.5</v>
      </c>
      <c r="E282">
        <v>49</v>
      </c>
      <c r="F282" s="1">
        <v>45670</v>
      </c>
      <c r="G282" s="1">
        <v>45671</v>
      </c>
      <c r="H282" t="s">
        <v>22</v>
      </c>
      <c r="I282" t="s">
        <v>50</v>
      </c>
      <c r="J282">
        <v>5</v>
      </c>
      <c r="K282" t="s">
        <v>18</v>
      </c>
      <c r="L282" t="s">
        <v>32</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362</v>
      </c>
      <c r="B283" t="s">
        <v>25</v>
      </c>
      <c r="C283">
        <v>3</v>
      </c>
      <c r="D283">
        <v>105.9</v>
      </c>
      <c r="E283">
        <v>317.70000000000005</v>
      </c>
      <c r="F283" s="1">
        <v>45670</v>
      </c>
      <c r="G283" s="1">
        <v>45675</v>
      </c>
      <c r="H283" t="s">
        <v>22</v>
      </c>
      <c r="I283" t="s">
        <v>17</v>
      </c>
      <c r="J283">
        <v>4</v>
      </c>
      <c r="K283" t="s">
        <v>18</v>
      </c>
      <c r="L283" t="s">
        <v>363</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364</v>
      </c>
      <c r="B284" t="s">
        <v>53</v>
      </c>
      <c r="C284">
        <v>24</v>
      </c>
      <c r="D284">
        <v>25.9</v>
      </c>
      <c r="E284">
        <v>621.59999999999991</v>
      </c>
      <c r="F284" s="1">
        <v>45670</v>
      </c>
      <c r="G284" s="1">
        <v>45671</v>
      </c>
      <c r="H284" t="s">
        <v>26</v>
      </c>
      <c r="I284" t="s">
        <v>69</v>
      </c>
      <c r="J284">
        <v>4</v>
      </c>
      <c r="K284" t="s">
        <v>18</v>
      </c>
      <c r="L284" t="s">
        <v>157</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365</v>
      </c>
      <c r="B285" t="s">
        <v>38</v>
      </c>
      <c r="C285">
        <v>3</v>
      </c>
      <c r="D285">
        <v>66.8</v>
      </c>
      <c r="E285">
        <v>200.39999999999998</v>
      </c>
      <c r="F285" s="1">
        <v>45670</v>
      </c>
      <c r="G285" s="1">
        <v>45670</v>
      </c>
      <c r="H285" t="s">
        <v>22</v>
      </c>
      <c r="I285" t="s">
        <v>17</v>
      </c>
      <c r="J285">
        <v>4</v>
      </c>
      <c r="K285" t="s">
        <v>18</v>
      </c>
      <c r="L285" t="s">
        <v>157</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366</v>
      </c>
      <c r="B286" t="s">
        <v>38</v>
      </c>
      <c r="C286">
        <v>3</v>
      </c>
      <c r="D286">
        <v>112.3</v>
      </c>
      <c r="E286">
        <v>336.9</v>
      </c>
      <c r="F286" s="1">
        <v>45670</v>
      </c>
      <c r="G286" s="1">
        <v>45671</v>
      </c>
      <c r="H286" t="s">
        <v>22</v>
      </c>
      <c r="I286" t="s">
        <v>39</v>
      </c>
      <c r="J286">
        <v>2</v>
      </c>
      <c r="K286" t="s">
        <v>18</v>
      </c>
      <c r="L286" t="s">
        <v>54</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367</v>
      </c>
      <c r="B287" t="s">
        <v>21</v>
      </c>
      <c r="C287">
        <v>6</v>
      </c>
      <c r="D287">
        <v>94.1</v>
      </c>
      <c r="E287">
        <v>564.59999999999991</v>
      </c>
      <c r="F287" s="1">
        <v>45670</v>
      </c>
      <c r="G287" s="1">
        <v>45671</v>
      </c>
      <c r="H287" t="s">
        <v>26</v>
      </c>
      <c r="I287" t="s">
        <v>17</v>
      </c>
      <c r="J287">
        <v>2</v>
      </c>
      <c r="K287" t="s">
        <v>18</v>
      </c>
      <c r="L287" t="s">
        <v>54</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368</v>
      </c>
      <c r="B288" t="s">
        <v>36</v>
      </c>
      <c r="C288">
        <v>1</v>
      </c>
      <c r="D288">
        <v>40.700000000000003</v>
      </c>
      <c r="E288">
        <v>40.700000000000003</v>
      </c>
      <c r="F288" s="1">
        <v>45670</v>
      </c>
      <c r="G288" s="1">
        <v>45673</v>
      </c>
      <c r="H288" t="s">
        <v>26</v>
      </c>
      <c r="I288" t="s">
        <v>39</v>
      </c>
      <c r="J288">
        <v>4</v>
      </c>
      <c r="K288" t="s">
        <v>18</v>
      </c>
      <c r="L288" t="s">
        <v>54</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369</v>
      </c>
      <c r="B289" t="s">
        <v>29</v>
      </c>
      <c r="C289">
        <v>2</v>
      </c>
      <c r="D289">
        <v>71.400000000000006</v>
      </c>
      <c r="E289">
        <v>142.80000000000001</v>
      </c>
      <c r="F289" s="1">
        <v>45670</v>
      </c>
      <c r="G289" s="1">
        <v>45671</v>
      </c>
      <c r="H289" t="s">
        <v>22</v>
      </c>
      <c r="I289" t="s">
        <v>17</v>
      </c>
      <c r="J289">
        <v>4</v>
      </c>
      <c r="K289" t="s">
        <v>18</v>
      </c>
      <c r="L289" t="s">
        <v>58</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370</v>
      </c>
      <c r="B290" t="s">
        <v>16</v>
      </c>
      <c r="C290">
        <v>18</v>
      </c>
      <c r="D290">
        <v>15.6</v>
      </c>
      <c r="E290">
        <v>280.8</v>
      </c>
      <c r="F290" s="1">
        <v>45670</v>
      </c>
      <c r="G290" s="1">
        <v>45671</v>
      </c>
      <c r="H290" t="s">
        <v>22</v>
      </c>
      <c r="I290" t="s">
        <v>34</v>
      </c>
      <c r="J290">
        <v>1</v>
      </c>
      <c r="K290" t="s">
        <v>18</v>
      </c>
      <c r="L290" t="s">
        <v>61</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371</v>
      </c>
      <c r="B291" t="s">
        <v>53</v>
      </c>
      <c r="C291">
        <v>4</v>
      </c>
      <c r="D291">
        <v>37.799999999999997</v>
      </c>
      <c r="E291">
        <v>151.19999999999999</v>
      </c>
      <c r="F291" s="1">
        <v>45670</v>
      </c>
      <c r="G291" s="1">
        <v>45671</v>
      </c>
      <c r="H291" t="s">
        <v>22</v>
      </c>
      <c r="I291" t="s">
        <v>39</v>
      </c>
      <c r="J291">
        <v>5</v>
      </c>
      <c r="K291" t="s">
        <v>18</v>
      </c>
      <c r="L291" t="s">
        <v>61</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372</v>
      </c>
      <c r="B292" t="s">
        <v>31</v>
      </c>
      <c r="C292">
        <v>3</v>
      </c>
      <c r="D292">
        <v>28.1</v>
      </c>
      <c r="E292">
        <v>84.300000000000011</v>
      </c>
      <c r="F292" s="1">
        <v>45670</v>
      </c>
      <c r="G292" s="1">
        <v>45674</v>
      </c>
      <c r="H292" t="s">
        <v>22</v>
      </c>
      <c r="I292" t="s">
        <v>17</v>
      </c>
      <c r="J292">
        <v>4</v>
      </c>
      <c r="K292" t="s">
        <v>18</v>
      </c>
      <c r="L292" t="s">
        <v>61</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373</v>
      </c>
      <c r="B293" t="s">
        <v>41</v>
      </c>
      <c r="C293">
        <v>6</v>
      </c>
      <c r="D293">
        <v>51.4</v>
      </c>
      <c r="E293">
        <v>308.39999999999998</v>
      </c>
      <c r="F293" s="1">
        <v>45670</v>
      </c>
      <c r="G293" s="1">
        <v>45674</v>
      </c>
      <c r="H293" t="s">
        <v>22</v>
      </c>
      <c r="I293" t="s">
        <v>17</v>
      </c>
      <c r="J293">
        <v>4</v>
      </c>
      <c r="K293" t="s">
        <v>18</v>
      </c>
      <c r="L293" t="s">
        <v>61</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374</v>
      </c>
      <c r="B294" t="s">
        <v>41</v>
      </c>
      <c r="C294">
        <v>2</v>
      </c>
      <c r="D294">
        <v>97.7</v>
      </c>
      <c r="E294">
        <v>195.4</v>
      </c>
      <c r="F294" s="1">
        <v>45670</v>
      </c>
      <c r="G294" s="1">
        <v>45672</v>
      </c>
      <c r="H294" t="s">
        <v>26</v>
      </c>
      <c r="I294" t="s">
        <v>69</v>
      </c>
      <c r="J294">
        <v>5</v>
      </c>
      <c r="K294" t="s">
        <v>18</v>
      </c>
      <c r="L294" t="s">
        <v>102</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375</v>
      </c>
      <c r="B295" t="s">
        <v>21</v>
      </c>
      <c r="C295">
        <v>4</v>
      </c>
      <c r="D295">
        <v>63.8</v>
      </c>
      <c r="E295">
        <v>255.2</v>
      </c>
      <c r="F295" s="1">
        <v>45670</v>
      </c>
      <c r="G295" s="1">
        <v>45671</v>
      </c>
      <c r="H295" t="s">
        <v>22</v>
      </c>
      <c r="I295" t="s">
        <v>39</v>
      </c>
      <c r="J295">
        <v>4</v>
      </c>
      <c r="K295" t="s">
        <v>18</v>
      </c>
      <c r="L295" t="s">
        <v>376</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377</v>
      </c>
      <c r="B296" t="s">
        <v>75</v>
      </c>
      <c r="C296">
        <v>2</v>
      </c>
      <c r="D296">
        <v>20.100000000000001</v>
      </c>
      <c r="E296">
        <v>40.200000000000003</v>
      </c>
      <c r="F296" s="1">
        <v>45670</v>
      </c>
      <c r="G296" s="1">
        <v>45672</v>
      </c>
      <c r="H296" t="s">
        <v>22</v>
      </c>
      <c r="I296" t="s">
        <v>17</v>
      </c>
      <c r="J296">
        <v>5</v>
      </c>
      <c r="K296" t="s">
        <v>18</v>
      </c>
      <c r="L296" t="s">
        <v>112</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378</v>
      </c>
      <c r="B297" t="s">
        <v>66</v>
      </c>
      <c r="C297">
        <v>3</v>
      </c>
      <c r="D297">
        <v>50.4</v>
      </c>
      <c r="E297">
        <v>151.19999999999999</v>
      </c>
      <c r="F297" s="1">
        <v>45670</v>
      </c>
      <c r="G297" s="1">
        <v>45673</v>
      </c>
      <c r="H297" t="s">
        <v>26</v>
      </c>
      <c r="I297" t="s">
        <v>50</v>
      </c>
      <c r="J297">
        <v>4</v>
      </c>
      <c r="K297" t="s">
        <v>18</v>
      </c>
      <c r="L297" t="s">
        <v>81</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379</v>
      </c>
      <c r="B298" t="s">
        <v>16</v>
      </c>
      <c r="C298">
        <v>1</v>
      </c>
      <c r="D298">
        <v>16.2</v>
      </c>
      <c r="E298">
        <v>16.2</v>
      </c>
      <c r="F298" s="1">
        <v>45670</v>
      </c>
      <c r="G298" s="1">
        <v>45683</v>
      </c>
      <c r="H298" t="s">
        <v>26</v>
      </c>
      <c r="I298" t="s">
        <v>34</v>
      </c>
      <c r="J298">
        <v>4</v>
      </c>
      <c r="K298" t="s">
        <v>18</v>
      </c>
      <c r="L298" t="s">
        <v>23</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380</v>
      </c>
      <c r="B299" t="s">
        <v>38</v>
      </c>
      <c r="C299">
        <v>7</v>
      </c>
      <c r="D299">
        <v>80.900000000000006</v>
      </c>
      <c r="E299">
        <v>566.30000000000007</v>
      </c>
      <c r="F299" s="1">
        <v>45670</v>
      </c>
      <c r="G299" s="1">
        <v>45672</v>
      </c>
      <c r="H299" t="s">
        <v>22</v>
      </c>
      <c r="I299" t="s">
        <v>69</v>
      </c>
      <c r="J299">
        <v>2</v>
      </c>
      <c r="K299" t="s">
        <v>18</v>
      </c>
      <c r="L299" t="s">
        <v>27</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381</v>
      </c>
      <c r="B300" t="s">
        <v>45</v>
      </c>
      <c r="C300">
        <v>6</v>
      </c>
      <c r="D300">
        <v>95.2</v>
      </c>
      <c r="E300">
        <v>571.20000000000005</v>
      </c>
      <c r="F300" s="1">
        <v>45670</v>
      </c>
      <c r="G300" s="1">
        <v>45672</v>
      </c>
      <c r="H300" t="s">
        <v>26</v>
      </c>
      <c r="I300" t="s">
        <v>17</v>
      </c>
      <c r="J300">
        <v>5</v>
      </c>
      <c r="K300" t="s">
        <v>18</v>
      </c>
      <c r="L300" t="s">
        <v>27</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382</v>
      </c>
      <c r="B301" t="s">
        <v>36</v>
      </c>
      <c r="C301">
        <v>8</v>
      </c>
      <c r="D301">
        <v>70.400000000000006</v>
      </c>
      <c r="E301">
        <v>563.20000000000005</v>
      </c>
      <c r="F301" s="1">
        <v>45670</v>
      </c>
      <c r="G301" s="1">
        <v>45671</v>
      </c>
      <c r="H301" t="s">
        <v>22</v>
      </c>
      <c r="I301" t="s">
        <v>34</v>
      </c>
      <c r="J301">
        <v>3</v>
      </c>
      <c r="K301" t="s">
        <v>18</v>
      </c>
      <c r="L301" t="s">
        <v>32</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383</v>
      </c>
      <c r="B302" t="s">
        <v>16</v>
      </c>
      <c r="C302">
        <v>5</v>
      </c>
      <c r="D302">
        <v>10.7</v>
      </c>
      <c r="E302">
        <v>53.5</v>
      </c>
      <c r="F302" s="1">
        <v>45670</v>
      </c>
      <c r="G302" s="1">
        <v>45674</v>
      </c>
      <c r="H302" t="s">
        <v>26</v>
      </c>
      <c r="I302" t="s">
        <v>39</v>
      </c>
      <c r="J302">
        <v>4</v>
      </c>
      <c r="K302" t="s">
        <v>18</v>
      </c>
      <c r="L302" t="s">
        <v>32</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384</v>
      </c>
      <c r="B303" t="s">
        <v>43</v>
      </c>
      <c r="C303">
        <v>5</v>
      </c>
      <c r="D303">
        <v>19.600000000000001</v>
      </c>
      <c r="E303">
        <v>98</v>
      </c>
      <c r="F303" s="1">
        <v>45670</v>
      </c>
      <c r="G303" s="1">
        <v>45672</v>
      </c>
      <c r="H303" t="s">
        <v>26</v>
      </c>
      <c r="I303" t="s">
        <v>17</v>
      </c>
      <c r="J303">
        <v>1</v>
      </c>
      <c r="K303" t="s">
        <v>18</v>
      </c>
      <c r="L303" t="s">
        <v>32</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385</v>
      </c>
      <c r="B304" t="s">
        <v>43</v>
      </c>
      <c r="C304">
        <v>11</v>
      </c>
      <c r="D304">
        <v>34.700000000000003</v>
      </c>
      <c r="E304">
        <v>381.70000000000005</v>
      </c>
      <c r="F304" s="1">
        <v>45670</v>
      </c>
      <c r="G304" s="1">
        <v>45672</v>
      </c>
      <c r="H304" t="s">
        <v>26</v>
      </c>
      <c r="I304" t="s">
        <v>17</v>
      </c>
      <c r="J304">
        <v>5</v>
      </c>
      <c r="K304" t="s">
        <v>18</v>
      </c>
      <c r="L304" t="s">
        <v>32</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386</v>
      </c>
      <c r="B305" t="s">
        <v>53</v>
      </c>
      <c r="C305">
        <v>9</v>
      </c>
      <c r="D305">
        <v>34.1</v>
      </c>
      <c r="E305">
        <v>306.90000000000003</v>
      </c>
      <c r="F305" s="1">
        <v>45670</v>
      </c>
      <c r="G305" s="1">
        <v>45671</v>
      </c>
      <c r="H305" t="s">
        <v>26</v>
      </c>
      <c r="I305" t="s">
        <v>69</v>
      </c>
      <c r="J305">
        <v>3</v>
      </c>
      <c r="K305" t="s">
        <v>18</v>
      </c>
      <c r="L305" t="s">
        <v>32</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387</v>
      </c>
      <c r="B306" t="s">
        <v>16</v>
      </c>
      <c r="C306">
        <v>49</v>
      </c>
      <c r="D306">
        <v>29.3</v>
      </c>
      <c r="E306">
        <v>1435.7</v>
      </c>
      <c r="F306" s="1">
        <v>45670</v>
      </c>
      <c r="G306" s="1">
        <v>45670</v>
      </c>
      <c r="H306" t="s">
        <v>22</v>
      </c>
      <c r="I306" t="s">
        <v>17</v>
      </c>
      <c r="J306">
        <v>3</v>
      </c>
      <c r="K306" t="s">
        <v>18</v>
      </c>
      <c r="L306" t="s">
        <v>32</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388</v>
      </c>
      <c r="B307" t="s">
        <v>21</v>
      </c>
      <c r="C307">
        <v>1</v>
      </c>
      <c r="D307">
        <v>55.2</v>
      </c>
      <c r="E307">
        <v>55.2</v>
      </c>
      <c r="F307" s="1">
        <v>45670</v>
      </c>
      <c r="G307" s="1">
        <v>45671</v>
      </c>
      <c r="H307" t="s">
        <v>26</v>
      </c>
      <c r="I307" t="s">
        <v>17</v>
      </c>
      <c r="J307">
        <v>3</v>
      </c>
      <c r="K307" t="s">
        <v>18</v>
      </c>
      <c r="L307" t="s">
        <v>32</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389</v>
      </c>
      <c r="B308" t="s">
        <v>145</v>
      </c>
      <c r="C308">
        <v>3</v>
      </c>
      <c r="D308">
        <v>26</v>
      </c>
      <c r="E308">
        <v>78</v>
      </c>
      <c r="F308" s="1">
        <v>45670</v>
      </c>
      <c r="G308" s="1">
        <v>45673</v>
      </c>
      <c r="H308" t="s">
        <v>26</v>
      </c>
      <c r="I308" t="s">
        <v>17</v>
      </c>
      <c r="J308">
        <v>5</v>
      </c>
      <c r="K308" t="s">
        <v>18</v>
      </c>
      <c r="L308" t="s">
        <v>32</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390</v>
      </c>
      <c r="B309" t="s">
        <v>80</v>
      </c>
      <c r="C309">
        <v>2</v>
      </c>
      <c r="D309">
        <v>14.2</v>
      </c>
      <c r="E309">
        <v>28.4</v>
      </c>
      <c r="F309" s="1">
        <v>45670</v>
      </c>
      <c r="G309" s="1">
        <v>45675</v>
      </c>
      <c r="H309" t="s">
        <v>26</v>
      </c>
      <c r="I309" t="s">
        <v>50</v>
      </c>
      <c r="J309">
        <v>4</v>
      </c>
      <c r="K309" t="s">
        <v>18</v>
      </c>
      <c r="L309" t="s">
        <v>391</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392</v>
      </c>
      <c r="B310" t="s">
        <v>43</v>
      </c>
      <c r="C310">
        <v>9</v>
      </c>
      <c r="D310">
        <v>22.7</v>
      </c>
      <c r="E310">
        <v>204.29999999999998</v>
      </c>
      <c r="F310" s="1">
        <v>45671</v>
      </c>
      <c r="G310" s="1">
        <v>45672</v>
      </c>
      <c r="H310" t="s">
        <v>22</v>
      </c>
      <c r="I310" t="s">
        <v>34</v>
      </c>
      <c r="J310">
        <v>4</v>
      </c>
      <c r="K310" t="s">
        <v>18</v>
      </c>
      <c r="L310" t="s">
        <v>54</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393</v>
      </c>
      <c r="B311" t="s">
        <v>16</v>
      </c>
      <c r="C311">
        <v>15</v>
      </c>
      <c r="D311">
        <v>19.8</v>
      </c>
      <c r="E311">
        <v>297</v>
      </c>
      <c r="F311" s="1">
        <v>45671</v>
      </c>
      <c r="G311" s="1">
        <v>45671</v>
      </c>
      <c r="H311" t="s">
        <v>26</v>
      </c>
      <c r="I311" t="s">
        <v>17</v>
      </c>
      <c r="J311">
        <v>5</v>
      </c>
      <c r="K311" t="s">
        <v>18</v>
      </c>
      <c r="L311" t="s">
        <v>54</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394</v>
      </c>
      <c r="B312" t="s">
        <v>16</v>
      </c>
      <c r="C312">
        <v>3</v>
      </c>
      <c r="D312">
        <v>31.7</v>
      </c>
      <c r="E312">
        <v>95.1</v>
      </c>
      <c r="F312" s="1">
        <v>45671</v>
      </c>
      <c r="G312" s="1">
        <v>45672</v>
      </c>
      <c r="H312" t="s">
        <v>22</v>
      </c>
      <c r="I312" t="s">
        <v>39</v>
      </c>
      <c r="J312">
        <v>4</v>
      </c>
      <c r="K312" t="s">
        <v>18</v>
      </c>
      <c r="L312" t="s">
        <v>54</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395</v>
      </c>
      <c r="B313" t="s">
        <v>43</v>
      </c>
      <c r="C313">
        <v>4</v>
      </c>
      <c r="D313">
        <v>30.4</v>
      </c>
      <c r="E313">
        <v>121.6</v>
      </c>
      <c r="F313" s="1">
        <v>45671</v>
      </c>
      <c r="G313" s="1">
        <v>45675</v>
      </c>
      <c r="H313" t="s">
        <v>22</v>
      </c>
      <c r="I313" t="s">
        <v>17</v>
      </c>
      <c r="J313">
        <v>4</v>
      </c>
      <c r="K313" t="s">
        <v>18</v>
      </c>
      <c r="L313" t="s">
        <v>54</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396</v>
      </c>
      <c r="B314" t="s">
        <v>16</v>
      </c>
      <c r="C314">
        <v>4</v>
      </c>
      <c r="D314">
        <v>25.6</v>
      </c>
      <c r="E314">
        <v>102.4</v>
      </c>
      <c r="F314" s="1">
        <v>45671</v>
      </c>
      <c r="G314" s="1">
        <v>45672</v>
      </c>
      <c r="H314" t="s">
        <v>22</v>
      </c>
      <c r="I314" t="s">
        <v>50</v>
      </c>
      <c r="J314">
        <v>4</v>
      </c>
      <c r="K314" t="s">
        <v>18</v>
      </c>
      <c r="L314" t="s">
        <v>61</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397</v>
      </c>
      <c r="B315" t="s">
        <v>36</v>
      </c>
      <c r="C315">
        <v>2</v>
      </c>
      <c r="D315">
        <v>34.9</v>
      </c>
      <c r="E315">
        <v>69.8</v>
      </c>
      <c r="F315" s="1">
        <v>45671</v>
      </c>
      <c r="G315" s="1">
        <v>45672</v>
      </c>
      <c r="H315" t="s">
        <v>26</v>
      </c>
      <c r="I315" t="s">
        <v>39</v>
      </c>
      <c r="J315">
        <v>4</v>
      </c>
      <c r="K315" t="s">
        <v>18</v>
      </c>
      <c r="L315" t="s">
        <v>71</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398</v>
      </c>
      <c r="B316" t="s">
        <v>41</v>
      </c>
      <c r="C316">
        <v>6</v>
      </c>
      <c r="D316">
        <v>42.7</v>
      </c>
      <c r="E316">
        <v>256.20000000000005</v>
      </c>
      <c r="F316" s="1">
        <v>45671</v>
      </c>
      <c r="G316" s="1">
        <v>45674</v>
      </c>
      <c r="H316" t="s">
        <v>22</v>
      </c>
      <c r="I316" t="s">
        <v>39</v>
      </c>
      <c r="J316">
        <v>3</v>
      </c>
      <c r="K316" t="s">
        <v>18</v>
      </c>
      <c r="L316" t="s">
        <v>76</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399</v>
      </c>
      <c r="B317" t="s">
        <v>43</v>
      </c>
      <c r="C317">
        <v>1</v>
      </c>
      <c r="D317">
        <v>23.9</v>
      </c>
      <c r="E317">
        <v>23.9</v>
      </c>
      <c r="F317" s="1">
        <v>45671</v>
      </c>
      <c r="G317" s="1">
        <v>45673</v>
      </c>
      <c r="H317" t="s">
        <v>26</v>
      </c>
      <c r="I317" t="s">
        <v>50</v>
      </c>
      <c r="J317">
        <v>4</v>
      </c>
      <c r="K317" t="s">
        <v>18</v>
      </c>
      <c r="L317" t="s">
        <v>76</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400</v>
      </c>
      <c r="B318" t="s">
        <v>38</v>
      </c>
      <c r="C318">
        <v>1</v>
      </c>
      <c r="D318">
        <v>124.3</v>
      </c>
      <c r="E318">
        <v>124.3</v>
      </c>
      <c r="F318" s="1">
        <v>45671</v>
      </c>
      <c r="G318" s="1">
        <v>45672</v>
      </c>
      <c r="I318" t="s">
        <v>39</v>
      </c>
      <c r="J318">
        <v>3</v>
      </c>
      <c r="K318" t="s">
        <v>18</v>
      </c>
      <c r="L318" t="s">
        <v>114</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401</v>
      </c>
      <c r="B319" t="s">
        <v>43</v>
      </c>
      <c r="C319">
        <v>6</v>
      </c>
      <c r="D319">
        <v>35.9</v>
      </c>
      <c r="E319">
        <v>215.39999999999998</v>
      </c>
      <c r="F319" s="1">
        <v>45671</v>
      </c>
      <c r="G319" s="1">
        <v>45672</v>
      </c>
      <c r="H319" t="s">
        <v>26</v>
      </c>
      <c r="I319" t="s">
        <v>17</v>
      </c>
      <c r="J319">
        <v>3</v>
      </c>
      <c r="K319" t="s">
        <v>18</v>
      </c>
      <c r="L319" t="s">
        <v>23</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402</v>
      </c>
      <c r="B320" t="s">
        <v>25</v>
      </c>
      <c r="C320">
        <v>2</v>
      </c>
      <c r="D320">
        <v>69.099999999999994</v>
      </c>
      <c r="E320">
        <v>138.19999999999999</v>
      </c>
      <c r="F320" s="1">
        <v>45671</v>
      </c>
      <c r="G320" s="1">
        <v>45674</v>
      </c>
      <c r="H320" t="s">
        <v>26</v>
      </c>
      <c r="I320" t="s">
        <v>17</v>
      </c>
      <c r="J320">
        <v>5</v>
      </c>
      <c r="K320" t="s">
        <v>18</v>
      </c>
      <c r="L320" t="s">
        <v>146</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403</v>
      </c>
      <c r="B321" t="s">
        <v>41</v>
      </c>
      <c r="C321">
        <v>1</v>
      </c>
      <c r="D321">
        <v>58.4</v>
      </c>
      <c r="E321">
        <v>58.4</v>
      </c>
      <c r="F321" s="1">
        <v>45671</v>
      </c>
      <c r="G321" s="1">
        <v>45675</v>
      </c>
      <c r="H321" t="s">
        <v>22</v>
      </c>
      <c r="I321" t="s">
        <v>17</v>
      </c>
      <c r="J321">
        <v>4</v>
      </c>
      <c r="K321" t="s">
        <v>18</v>
      </c>
      <c r="L321" t="s">
        <v>146</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404</v>
      </c>
      <c r="B322" t="s">
        <v>36</v>
      </c>
      <c r="C322">
        <v>1</v>
      </c>
      <c r="D322">
        <v>65.2</v>
      </c>
      <c r="E322">
        <v>65.2</v>
      </c>
      <c r="F322" s="1">
        <v>45671</v>
      </c>
      <c r="G322" s="1">
        <v>45673</v>
      </c>
      <c r="H322" t="s">
        <v>88</v>
      </c>
      <c r="I322" t="s">
        <v>69</v>
      </c>
      <c r="J322">
        <v>2</v>
      </c>
      <c r="K322" t="s">
        <v>18</v>
      </c>
      <c r="L322" t="s">
        <v>32</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405</v>
      </c>
      <c r="B323" t="s">
        <v>43</v>
      </c>
      <c r="C323">
        <v>17</v>
      </c>
      <c r="D323">
        <v>32.700000000000003</v>
      </c>
      <c r="E323">
        <v>555.90000000000009</v>
      </c>
      <c r="F323" s="1">
        <v>45671</v>
      </c>
      <c r="G323" s="1">
        <v>45678</v>
      </c>
      <c r="I323" t="s">
        <v>69</v>
      </c>
      <c r="J323">
        <v>4</v>
      </c>
      <c r="K323" t="s">
        <v>18</v>
      </c>
      <c r="L323" t="s">
        <v>32</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406</v>
      </c>
      <c r="B324" t="s">
        <v>53</v>
      </c>
      <c r="C324">
        <v>7</v>
      </c>
      <c r="D324">
        <v>24.4</v>
      </c>
      <c r="E324">
        <v>170.79999999999998</v>
      </c>
      <c r="F324" s="1">
        <v>45671</v>
      </c>
      <c r="G324" s="1">
        <v>45672</v>
      </c>
      <c r="H324" t="s">
        <v>26</v>
      </c>
      <c r="I324" t="s">
        <v>17</v>
      </c>
      <c r="J324">
        <v>4</v>
      </c>
      <c r="K324" t="s">
        <v>18</v>
      </c>
      <c r="L324" t="s">
        <v>32</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407</v>
      </c>
      <c r="B325" t="s">
        <v>80</v>
      </c>
      <c r="C325">
        <v>2</v>
      </c>
      <c r="D325">
        <v>50.4</v>
      </c>
      <c r="E325">
        <v>100.8</v>
      </c>
      <c r="F325" s="1">
        <v>45671</v>
      </c>
      <c r="G325" s="1">
        <v>45677</v>
      </c>
      <c r="H325" t="s">
        <v>22</v>
      </c>
      <c r="I325" t="s">
        <v>17</v>
      </c>
      <c r="J325">
        <v>3</v>
      </c>
      <c r="K325" t="s">
        <v>18</v>
      </c>
      <c r="L325" t="s">
        <v>32</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408</v>
      </c>
      <c r="B326" t="s">
        <v>21</v>
      </c>
      <c r="C326">
        <v>2</v>
      </c>
      <c r="D326">
        <v>100</v>
      </c>
      <c r="E326">
        <v>200</v>
      </c>
      <c r="F326" s="1">
        <v>45671</v>
      </c>
      <c r="G326" s="1">
        <v>45672</v>
      </c>
      <c r="H326" t="s">
        <v>26</v>
      </c>
      <c r="I326" t="s">
        <v>17</v>
      </c>
      <c r="J326">
        <v>4</v>
      </c>
      <c r="K326" t="s">
        <v>18</v>
      </c>
      <c r="L326" t="s">
        <v>32</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409</v>
      </c>
      <c r="B327" t="s">
        <v>53</v>
      </c>
      <c r="C327">
        <v>3</v>
      </c>
      <c r="D327">
        <v>43</v>
      </c>
      <c r="E327">
        <v>129</v>
      </c>
      <c r="F327" s="1">
        <v>45672</v>
      </c>
      <c r="G327" s="1">
        <v>45672</v>
      </c>
      <c r="H327" t="s">
        <v>26</v>
      </c>
      <c r="I327" t="s">
        <v>39</v>
      </c>
      <c r="J327">
        <v>3</v>
      </c>
      <c r="K327" t="s">
        <v>18</v>
      </c>
      <c r="L327" t="s">
        <v>32</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410</v>
      </c>
      <c r="B328" t="s">
        <v>21</v>
      </c>
      <c r="C328">
        <v>5</v>
      </c>
      <c r="D328">
        <v>64.400000000000006</v>
      </c>
      <c r="E328">
        <v>322</v>
      </c>
      <c r="F328" s="1">
        <v>45672</v>
      </c>
      <c r="G328" s="1">
        <v>45674</v>
      </c>
      <c r="H328" t="s">
        <v>22</v>
      </c>
      <c r="I328" t="s">
        <v>39</v>
      </c>
      <c r="J328">
        <v>3</v>
      </c>
      <c r="K328" t="s">
        <v>18</v>
      </c>
      <c r="L328" t="s">
        <v>32</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411</v>
      </c>
      <c r="B329" t="s">
        <v>145</v>
      </c>
      <c r="C329">
        <v>2</v>
      </c>
      <c r="D329">
        <v>57.4</v>
      </c>
      <c r="E329">
        <v>114.8</v>
      </c>
      <c r="F329" s="1">
        <v>45672</v>
      </c>
      <c r="G329" s="1">
        <v>45673</v>
      </c>
      <c r="H329" t="s">
        <v>22</v>
      </c>
      <c r="I329" t="s">
        <v>39</v>
      </c>
      <c r="J329">
        <v>3</v>
      </c>
      <c r="K329" t="s">
        <v>18</v>
      </c>
      <c r="L329" t="s">
        <v>32</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412</v>
      </c>
      <c r="B330" t="s">
        <v>25</v>
      </c>
      <c r="C330">
        <v>3</v>
      </c>
      <c r="D330">
        <v>55.1</v>
      </c>
      <c r="E330">
        <v>165.3</v>
      </c>
      <c r="F330" s="1">
        <v>45672</v>
      </c>
      <c r="G330" s="1">
        <v>45675</v>
      </c>
      <c r="H330" t="s">
        <v>26</v>
      </c>
      <c r="I330" t="s">
        <v>34</v>
      </c>
      <c r="J330">
        <v>4</v>
      </c>
      <c r="K330" t="s">
        <v>18</v>
      </c>
      <c r="L330" t="s">
        <v>32</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413</v>
      </c>
      <c r="B331" t="s">
        <v>41</v>
      </c>
      <c r="C331">
        <v>4</v>
      </c>
      <c r="D331">
        <v>45.4</v>
      </c>
      <c r="E331">
        <v>181.6</v>
      </c>
      <c r="F331" s="1">
        <v>45672</v>
      </c>
      <c r="G331" s="1">
        <v>45673</v>
      </c>
      <c r="H331" t="s">
        <v>26</v>
      </c>
      <c r="I331" t="s">
        <v>34</v>
      </c>
      <c r="J331">
        <v>4</v>
      </c>
      <c r="K331" t="s">
        <v>18</v>
      </c>
      <c r="L331" t="s">
        <v>32</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414</v>
      </c>
      <c r="B332" t="s">
        <v>29</v>
      </c>
      <c r="C332">
        <v>3</v>
      </c>
      <c r="D332">
        <v>93.3</v>
      </c>
      <c r="E332">
        <v>279.89999999999998</v>
      </c>
      <c r="F332" s="1">
        <v>45672</v>
      </c>
      <c r="G332" s="1">
        <v>45673</v>
      </c>
      <c r="H332" t="s">
        <v>26</v>
      </c>
      <c r="I332" t="s">
        <v>17</v>
      </c>
      <c r="J332">
        <v>4</v>
      </c>
      <c r="K332" t="s">
        <v>18</v>
      </c>
      <c r="L332" t="s">
        <v>415</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416</v>
      </c>
      <c r="B333" t="s">
        <v>25</v>
      </c>
      <c r="C333">
        <v>19</v>
      </c>
      <c r="D333">
        <v>158.19999999999999</v>
      </c>
      <c r="E333">
        <v>3005.7999999999997</v>
      </c>
      <c r="F333" s="1">
        <v>45672</v>
      </c>
      <c r="G333" s="1">
        <v>45673</v>
      </c>
      <c r="H333" t="s">
        <v>26</v>
      </c>
      <c r="I333" t="s">
        <v>34</v>
      </c>
      <c r="J333">
        <v>5</v>
      </c>
      <c r="K333" t="s">
        <v>18</v>
      </c>
      <c r="L333" t="s">
        <v>97</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417</v>
      </c>
      <c r="B334" t="s">
        <v>25</v>
      </c>
      <c r="C334">
        <v>2</v>
      </c>
      <c r="D334">
        <v>74.900000000000006</v>
      </c>
      <c r="E334">
        <v>149.80000000000001</v>
      </c>
      <c r="F334" s="1">
        <v>45672</v>
      </c>
      <c r="G334" s="1">
        <v>45674</v>
      </c>
      <c r="H334" t="s">
        <v>22</v>
      </c>
      <c r="I334" t="s">
        <v>50</v>
      </c>
      <c r="J334">
        <v>4</v>
      </c>
      <c r="K334" t="s">
        <v>18</v>
      </c>
      <c r="L334" t="s">
        <v>54</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418</v>
      </c>
      <c r="B335" t="s">
        <v>43</v>
      </c>
      <c r="C335">
        <v>7</v>
      </c>
      <c r="D335">
        <v>26</v>
      </c>
      <c r="E335">
        <v>182</v>
      </c>
      <c r="F335" s="1">
        <v>45672</v>
      </c>
      <c r="G335" s="1">
        <v>45675</v>
      </c>
      <c r="H335" t="s">
        <v>26</v>
      </c>
      <c r="I335" t="s">
        <v>34</v>
      </c>
      <c r="J335">
        <v>4</v>
      </c>
      <c r="K335" t="s">
        <v>18</v>
      </c>
      <c r="L335" t="s">
        <v>61</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419</v>
      </c>
      <c r="B336" t="s">
        <v>45</v>
      </c>
      <c r="C336">
        <v>6</v>
      </c>
      <c r="D336">
        <v>37.5</v>
      </c>
      <c r="E336">
        <v>225</v>
      </c>
      <c r="F336" s="1">
        <v>45672</v>
      </c>
      <c r="G336" s="1">
        <v>45673</v>
      </c>
      <c r="H336" t="s">
        <v>26</v>
      </c>
      <c r="I336" t="s">
        <v>17</v>
      </c>
      <c r="J336">
        <v>3</v>
      </c>
      <c r="K336" t="s">
        <v>18</v>
      </c>
      <c r="L336" t="s">
        <v>61</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420</v>
      </c>
      <c r="B337" t="s">
        <v>38</v>
      </c>
      <c r="C337">
        <v>2</v>
      </c>
      <c r="D337">
        <v>75.8</v>
      </c>
      <c r="E337">
        <v>151.6</v>
      </c>
      <c r="F337" s="1">
        <v>45672</v>
      </c>
      <c r="G337" s="1">
        <v>45678</v>
      </c>
      <c r="H337" t="s">
        <v>22</v>
      </c>
      <c r="I337" t="s">
        <v>17</v>
      </c>
      <c r="J337">
        <v>4</v>
      </c>
      <c r="K337" t="s">
        <v>18</v>
      </c>
      <c r="L337" t="s">
        <v>61</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421</v>
      </c>
      <c r="B338" t="s">
        <v>41</v>
      </c>
      <c r="C338">
        <v>1</v>
      </c>
      <c r="D338">
        <v>48.5</v>
      </c>
      <c r="E338">
        <v>48.5</v>
      </c>
      <c r="F338" s="1">
        <v>45672</v>
      </c>
      <c r="G338" s="1">
        <v>45684</v>
      </c>
      <c r="I338" t="s">
        <v>69</v>
      </c>
      <c r="J338">
        <v>5</v>
      </c>
      <c r="K338" t="s">
        <v>18</v>
      </c>
      <c r="L338" t="s">
        <v>61</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422</v>
      </c>
      <c r="B339" t="s">
        <v>38</v>
      </c>
      <c r="C339">
        <v>3</v>
      </c>
      <c r="D339">
        <v>98.9</v>
      </c>
      <c r="E339">
        <v>296.70000000000005</v>
      </c>
      <c r="F339" s="1">
        <v>45672</v>
      </c>
      <c r="G339" s="1">
        <v>45674</v>
      </c>
      <c r="H339" t="s">
        <v>26</v>
      </c>
      <c r="I339" t="s">
        <v>69</v>
      </c>
      <c r="J339">
        <v>3</v>
      </c>
      <c r="K339" t="s">
        <v>18</v>
      </c>
      <c r="L339" t="s">
        <v>61</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423</v>
      </c>
      <c r="B340" t="s">
        <v>21</v>
      </c>
      <c r="C340">
        <v>12</v>
      </c>
      <c r="D340">
        <v>50.9</v>
      </c>
      <c r="E340">
        <v>610.79999999999995</v>
      </c>
      <c r="F340" s="1">
        <v>45672</v>
      </c>
      <c r="G340" s="1">
        <v>45672</v>
      </c>
      <c r="H340" t="s">
        <v>22</v>
      </c>
      <c r="I340" t="s">
        <v>69</v>
      </c>
      <c r="J340">
        <v>4</v>
      </c>
      <c r="K340" t="s">
        <v>18</v>
      </c>
      <c r="L340" t="s">
        <v>61</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424</v>
      </c>
      <c r="B341" t="s">
        <v>68</v>
      </c>
      <c r="C341">
        <v>6</v>
      </c>
      <c r="D341">
        <v>84.7</v>
      </c>
      <c r="E341">
        <v>508.20000000000005</v>
      </c>
      <c r="F341" s="1">
        <v>45672</v>
      </c>
      <c r="G341" s="1">
        <v>45672</v>
      </c>
      <c r="H341" t="s">
        <v>26</v>
      </c>
      <c r="I341" t="s">
        <v>39</v>
      </c>
      <c r="J341">
        <v>4</v>
      </c>
      <c r="K341" t="s">
        <v>18</v>
      </c>
      <c r="L341" t="s">
        <v>61</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425</v>
      </c>
      <c r="B342" t="s">
        <v>43</v>
      </c>
      <c r="C342">
        <v>1</v>
      </c>
      <c r="D342">
        <v>20.7</v>
      </c>
      <c r="E342">
        <v>20.7</v>
      </c>
      <c r="F342" s="1">
        <v>45672</v>
      </c>
      <c r="G342" s="1">
        <v>45674</v>
      </c>
      <c r="H342" t="s">
        <v>26</v>
      </c>
      <c r="I342" t="s">
        <v>50</v>
      </c>
      <c r="J342">
        <v>5</v>
      </c>
      <c r="K342" t="s">
        <v>18</v>
      </c>
      <c r="L342" t="s">
        <v>61</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426</v>
      </c>
      <c r="B343" t="s">
        <v>68</v>
      </c>
      <c r="C343">
        <v>9</v>
      </c>
      <c r="D343">
        <v>57.8</v>
      </c>
      <c r="E343">
        <v>520.19999999999993</v>
      </c>
      <c r="F343" s="1">
        <v>45672</v>
      </c>
      <c r="G343" s="1">
        <v>45683</v>
      </c>
      <c r="H343" t="s">
        <v>22</v>
      </c>
      <c r="I343" t="s">
        <v>17</v>
      </c>
      <c r="J343">
        <v>2</v>
      </c>
      <c r="K343" t="s">
        <v>18</v>
      </c>
      <c r="L343" t="s">
        <v>102</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427</v>
      </c>
      <c r="B344" t="s">
        <v>25</v>
      </c>
      <c r="C344">
        <v>2</v>
      </c>
      <c r="D344">
        <v>106.9</v>
      </c>
      <c r="E344">
        <v>213.8</v>
      </c>
      <c r="F344" s="1">
        <v>45672</v>
      </c>
      <c r="G344" s="1">
        <v>45674</v>
      </c>
      <c r="H344" t="s">
        <v>26</v>
      </c>
      <c r="I344" t="s">
        <v>17</v>
      </c>
      <c r="J344">
        <v>5</v>
      </c>
      <c r="K344" t="s">
        <v>18</v>
      </c>
      <c r="L344" t="s">
        <v>428</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429</v>
      </c>
      <c r="B345" t="s">
        <v>29</v>
      </c>
      <c r="C345">
        <v>5</v>
      </c>
      <c r="D345">
        <v>45.2</v>
      </c>
      <c r="E345">
        <v>226</v>
      </c>
      <c r="F345" s="1">
        <v>45672</v>
      </c>
      <c r="G345" s="1">
        <v>45676</v>
      </c>
      <c r="H345" t="s">
        <v>26</v>
      </c>
      <c r="I345" t="s">
        <v>34</v>
      </c>
      <c r="J345">
        <v>4</v>
      </c>
      <c r="K345" t="s">
        <v>18</v>
      </c>
      <c r="L345" t="s">
        <v>114</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430</v>
      </c>
      <c r="B346" t="s">
        <v>43</v>
      </c>
      <c r="C346">
        <v>13</v>
      </c>
      <c r="D346">
        <v>34.6</v>
      </c>
      <c r="E346">
        <v>449.8</v>
      </c>
      <c r="F346" s="1">
        <v>45672</v>
      </c>
      <c r="G346" s="1">
        <v>45672</v>
      </c>
      <c r="H346" t="s">
        <v>26</v>
      </c>
      <c r="I346" t="s">
        <v>34</v>
      </c>
      <c r="J346">
        <v>3</v>
      </c>
      <c r="K346" t="s">
        <v>18</v>
      </c>
      <c r="L346" t="s">
        <v>114</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431</v>
      </c>
      <c r="B347" t="s">
        <v>122</v>
      </c>
      <c r="C347">
        <v>1</v>
      </c>
      <c r="D347">
        <v>43.8</v>
      </c>
      <c r="E347">
        <v>43.8</v>
      </c>
      <c r="F347" s="1">
        <v>45672</v>
      </c>
      <c r="G347" s="1">
        <v>45674</v>
      </c>
      <c r="I347" t="s">
        <v>17</v>
      </c>
      <c r="J347">
        <v>5</v>
      </c>
      <c r="K347" t="s">
        <v>18</v>
      </c>
      <c r="L347" t="s">
        <v>114</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432</v>
      </c>
      <c r="B348" t="s">
        <v>122</v>
      </c>
      <c r="C348">
        <v>1</v>
      </c>
      <c r="D348">
        <v>20.399999999999999</v>
      </c>
      <c r="E348">
        <v>20.399999999999999</v>
      </c>
      <c r="F348" s="1">
        <v>45672</v>
      </c>
      <c r="G348" s="1">
        <v>45674</v>
      </c>
      <c r="H348" t="s">
        <v>22</v>
      </c>
      <c r="I348" t="s">
        <v>69</v>
      </c>
      <c r="J348">
        <v>3</v>
      </c>
      <c r="K348" t="s">
        <v>18</v>
      </c>
      <c r="L348" t="s">
        <v>114</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433</v>
      </c>
      <c r="B349" t="s">
        <v>21</v>
      </c>
      <c r="C349">
        <v>1</v>
      </c>
      <c r="D349">
        <v>36.700000000000003</v>
      </c>
      <c r="E349">
        <v>36.700000000000003</v>
      </c>
      <c r="F349" s="1">
        <v>45672</v>
      </c>
      <c r="G349" s="1">
        <v>45673</v>
      </c>
      <c r="H349" t="s">
        <v>22</v>
      </c>
      <c r="I349" t="s">
        <v>17</v>
      </c>
      <c r="J349">
        <v>3</v>
      </c>
      <c r="K349" t="s">
        <v>18</v>
      </c>
      <c r="L349" t="s">
        <v>23</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434</v>
      </c>
      <c r="B350" t="s">
        <v>43</v>
      </c>
      <c r="C350">
        <v>3</v>
      </c>
      <c r="D350">
        <v>27.2</v>
      </c>
      <c r="E350">
        <v>81.599999999999994</v>
      </c>
      <c r="F350" s="1">
        <v>45672</v>
      </c>
      <c r="G350" s="1">
        <v>45676</v>
      </c>
      <c r="H350" t="s">
        <v>22</v>
      </c>
      <c r="I350" t="s">
        <v>17</v>
      </c>
      <c r="J350">
        <v>5</v>
      </c>
      <c r="K350" t="s">
        <v>18</v>
      </c>
      <c r="L350" t="s">
        <v>23</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435</v>
      </c>
      <c r="B351" t="s">
        <v>38</v>
      </c>
      <c r="C351">
        <v>1</v>
      </c>
      <c r="D351">
        <v>58.2</v>
      </c>
      <c r="E351">
        <v>58.2</v>
      </c>
      <c r="F351" s="1">
        <v>45672</v>
      </c>
      <c r="G351" s="1">
        <v>45673</v>
      </c>
      <c r="H351" t="s">
        <v>26</v>
      </c>
      <c r="I351" t="s">
        <v>17</v>
      </c>
      <c r="J351">
        <v>5</v>
      </c>
      <c r="K351" t="s">
        <v>18</v>
      </c>
      <c r="L351" t="s">
        <v>436</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437</v>
      </c>
      <c r="B352" t="s">
        <v>43</v>
      </c>
      <c r="C352">
        <v>3</v>
      </c>
      <c r="D352">
        <v>25.6</v>
      </c>
      <c r="E352">
        <v>76.800000000000011</v>
      </c>
      <c r="F352" s="1">
        <v>45672</v>
      </c>
      <c r="G352" s="1">
        <v>45673</v>
      </c>
      <c r="H352" t="s">
        <v>22</v>
      </c>
      <c r="I352" t="s">
        <v>69</v>
      </c>
      <c r="J352">
        <v>2</v>
      </c>
      <c r="K352" t="s">
        <v>18</v>
      </c>
      <c r="L352" t="s">
        <v>27</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438</v>
      </c>
      <c r="B353" t="s">
        <v>53</v>
      </c>
      <c r="C353">
        <v>1</v>
      </c>
      <c r="D353">
        <v>21.2</v>
      </c>
      <c r="E353">
        <v>21.2</v>
      </c>
      <c r="F353" s="1">
        <v>45672</v>
      </c>
      <c r="G353" s="1">
        <v>45672</v>
      </c>
      <c r="H353" t="s">
        <v>26</v>
      </c>
      <c r="I353" t="s">
        <v>34</v>
      </c>
      <c r="J353">
        <v>5</v>
      </c>
      <c r="K353" t="s">
        <v>18</v>
      </c>
      <c r="L353" t="s">
        <v>32</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439</v>
      </c>
      <c r="B354" t="s">
        <v>38</v>
      </c>
      <c r="C354">
        <v>2</v>
      </c>
      <c r="D354">
        <v>48.2</v>
      </c>
      <c r="E354">
        <v>96.4</v>
      </c>
      <c r="F354" s="1">
        <v>45672</v>
      </c>
      <c r="G354" s="1">
        <v>45680</v>
      </c>
      <c r="H354" t="s">
        <v>26</v>
      </c>
      <c r="I354" t="s">
        <v>17</v>
      </c>
      <c r="J354">
        <v>5</v>
      </c>
      <c r="K354" t="s">
        <v>18</v>
      </c>
      <c r="L354" t="s">
        <v>32</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440</v>
      </c>
      <c r="B355" t="s">
        <v>21</v>
      </c>
      <c r="C355">
        <v>4</v>
      </c>
      <c r="D355">
        <v>83.4</v>
      </c>
      <c r="E355">
        <v>333.6</v>
      </c>
      <c r="F355" s="1">
        <v>45673</v>
      </c>
      <c r="G355" s="1">
        <v>45674</v>
      </c>
      <c r="H355" t="s">
        <v>22</v>
      </c>
      <c r="I355" t="s">
        <v>17</v>
      </c>
      <c r="J355">
        <v>4</v>
      </c>
      <c r="K355" t="s">
        <v>18</v>
      </c>
      <c r="L355" t="s">
        <v>32</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441</v>
      </c>
      <c r="B356" t="s">
        <v>45</v>
      </c>
      <c r="C356">
        <v>3</v>
      </c>
      <c r="D356">
        <v>45.3</v>
      </c>
      <c r="E356">
        <v>135.89999999999998</v>
      </c>
      <c r="F356" s="1">
        <v>45673</v>
      </c>
      <c r="G356" s="1">
        <v>45679</v>
      </c>
      <c r="H356" t="s">
        <v>22</v>
      </c>
      <c r="I356" t="s">
        <v>39</v>
      </c>
      <c r="J356">
        <v>3</v>
      </c>
      <c r="K356" t="s">
        <v>18</v>
      </c>
      <c r="L356" t="s">
        <v>32</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442</v>
      </c>
      <c r="B357" t="s">
        <v>134</v>
      </c>
      <c r="C357">
        <v>1</v>
      </c>
      <c r="D357">
        <v>42</v>
      </c>
      <c r="E357">
        <v>42</v>
      </c>
      <c r="F357" s="1">
        <v>45673</v>
      </c>
      <c r="G357" s="1">
        <v>45674</v>
      </c>
      <c r="I357" t="s">
        <v>17</v>
      </c>
      <c r="J357">
        <v>4</v>
      </c>
      <c r="K357" t="s">
        <v>18</v>
      </c>
      <c r="L357" t="s">
        <v>32</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443</v>
      </c>
      <c r="B358" t="s">
        <v>16</v>
      </c>
      <c r="C358">
        <v>9</v>
      </c>
      <c r="D358">
        <v>21.8</v>
      </c>
      <c r="E358">
        <v>196.20000000000002</v>
      </c>
      <c r="F358" s="1">
        <v>45673</v>
      </c>
      <c r="G358" s="1">
        <v>45675</v>
      </c>
      <c r="H358" t="s">
        <v>26</v>
      </c>
      <c r="I358" t="s">
        <v>34</v>
      </c>
      <c r="J358">
        <v>4</v>
      </c>
      <c r="K358" t="s">
        <v>18</v>
      </c>
      <c r="L358" t="s">
        <v>32</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444</v>
      </c>
      <c r="B359" t="s">
        <v>43</v>
      </c>
      <c r="C359">
        <v>18</v>
      </c>
      <c r="D359">
        <v>21.4</v>
      </c>
      <c r="E359">
        <v>385.2</v>
      </c>
      <c r="F359" s="1">
        <v>45673</v>
      </c>
      <c r="G359" s="1">
        <v>45676</v>
      </c>
      <c r="H359" t="s">
        <v>26</v>
      </c>
      <c r="I359" t="s">
        <v>34</v>
      </c>
      <c r="J359">
        <v>5</v>
      </c>
      <c r="K359" t="s">
        <v>18</v>
      </c>
      <c r="L359" t="s">
        <v>32</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445</v>
      </c>
      <c r="B360" t="s">
        <v>53</v>
      </c>
      <c r="C360">
        <v>3</v>
      </c>
      <c r="D360">
        <v>45</v>
      </c>
      <c r="E360">
        <v>135</v>
      </c>
      <c r="F360" s="1">
        <v>45673</v>
      </c>
      <c r="G360" s="1">
        <v>45673</v>
      </c>
      <c r="H360" t="s">
        <v>26</v>
      </c>
      <c r="I360" t="s">
        <v>34</v>
      </c>
      <c r="J360">
        <v>5</v>
      </c>
      <c r="K360" t="s">
        <v>18</v>
      </c>
      <c r="L360" t="s">
        <v>32</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446</v>
      </c>
      <c r="B361" t="s">
        <v>80</v>
      </c>
      <c r="C361">
        <v>1</v>
      </c>
      <c r="D361">
        <v>39.6</v>
      </c>
      <c r="E361">
        <v>39.6</v>
      </c>
      <c r="F361" s="1">
        <v>45673</v>
      </c>
      <c r="G361" s="1">
        <v>45674</v>
      </c>
      <c r="H361" t="s">
        <v>22</v>
      </c>
      <c r="I361" t="s">
        <v>17</v>
      </c>
      <c r="J361">
        <v>5</v>
      </c>
      <c r="K361" t="s">
        <v>18</v>
      </c>
      <c r="L361" t="s">
        <v>32</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447</v>
      </c>
      <c r="B362" t="s">
        <v>68</v>
      </c>
      <c r="C362">
        <v>3</v>
      </c>
      <c r="D362">
        <v>79.8</v>
      </c>
      <c r="E362">
        <v>239.39999999999998</v>
      </c>
      <c r="F362" s="1">
        <v>45673</v>
      </c>
      <c r="G362" s="1">
        <v>45679</v>
      </c>
      <c r="H362" t="s">
        <v>26</v>
      </c>
      <c r="I362" t="s">
        <v>34</v>
      </c>
      <c r="J362">
        <v>2</v>
      </c>
      <c r="K362" t="s">
        <v>18</v>
      </c>
      <c r="L362" t="s">
        <v>32</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448</v>
      </c>
      <c r="B363" t="s">
        <v>21</v>
      </c>
      <c r="C363">
        <v>4</v>
      </c>
      <c r="D363">
        <v>63.6</v>
      </c>
      <c r="E363">
        <v>254.4</v>
      </c>
      <c r="F363" s="1">
        <v>45673</v>
      </c>
      <c r="G363" s="1">
        <v>45674</v>
      </c>
      <c r="H363" t="s">
        <v>88</v>
      </c>
      <c r="I363" t="s">
        <v>17</v>
      </c>
      <c r="J363">
        <v>5</v>
      </c>
      <c r="K363" t="s">
        <v>18</v>
      </c>
      <c r="L363" t="s">
        <v>185</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449</v>
      </c>
      <c r="B364" t="s">
        <v>41</v>
      </c>
      <c r="C364">
        <v>10</v>
      </c>
      <c r="D364">
        <v>92.7</v>
      </c>
      <c r="E364">
        <v>927</v>
      </c>
      <c r="F364" s="1">
        <v>45673</v>
      </c>
      <c r="G364" s="1">
        <v>45677</v>
      </c>
      <c r="H364" t="s">
        <v>22</v>
      </c>
      <c r="I364" t="s">
        <v>34</v>
      </c>
      <c r="J364">
        <v>5</v>
      </c>
      <c r="K364" t="s">
        <v>18</v>
      </c>
      <c r="L364" t="s">
        <v>54</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450</v>
      </c>
      <c r="B365" t="s">
        <v>21</v>
      </c>
      <c r="C365">
        <v>4</v>
      </c>
      <c r="D365">
        <v>48.4</v>
      </c>
      <c r="E365">
        <v>193.6</v>
      </c>
      <c r="F365" s="1">
        <v>45673</v>
      </c>
      <c r="G365" s="1">
        <v>45675</v>
      </c>
      <c r="H365" t="s">
        <v>26</v>
      </c>
      <c r="I365" t="s">
        <v>34</v>
      </c>
      <c r="J365">
        <v>5</v>
      </c>
      <c r="K365" t="s">
        <v>18</v>
      </c>
      <c r="L365" t="s">
        <v>54</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451</v>
      </c>
      <c r="B366" t="s">
        <v>45</v>
      </c>
      <c r="C366">
        <v>8</v>
      </c>
      <c r="D366">
        <v>36</v>
      </c>
      <c r="E366">
        <v>288</v>
      </c>
      <c r="F366" s="1">
        <v>45673</v>
      </c>
      <c r="G366" s="1">
        <v>45676</v>
      </c>
      <c r="H366" t="s">
        <v>22</v>
      </c>
      <c r="I366" t="s">
        <v>39</v>
      </c>
      <c r="J366">
        <v>5</v>
      </c>
      <c r="K366" t="s">
        <v>18</v>
      </c>
      <c r="L366" t="s">
        <v>61</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452</v>
      </c>
      <c r="B367" t="s">
        <v>43</v>
      </c>
      <c r="C367">
        <v>12</v>
      </c>
      <c r="D367">
        <v>27</v>
      </c>
      <c r="E367">
        <v>324</v>
      </c>
      <c r="F367" s="1">
        <v>45673</v>
      </c>
      <c r="G367" s="1">
        <v>45675</v>
      </c>
      <c r="H367" t="s">
        <v>26</v>
      </c>
      <c r="I367" t="s">
        <v>39</v>
      </c>
      <c r="J367">
        <v>3</v>
      </c>
      <c r="K367" t="s">
        <v>18</v>
      </c>
      <c r="L367" t="s">
        <v>61</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453</v>
      </c>
      <c r="B368" t="s">
        <v>25</v>
      </c>
      <c r="C368">
        <v>8</v>
      </c>
      <c r="D368">
        <v>53.9</v>
      </c>
      <c r="E368">
        <v>431.2</v>
      </c>
      <c r="F368" s="1">
        <v>45673</v>
      </c>
      <c r="G368" s="1">
        <v>45674</v>
      </c>
      <c r="I368" t="s">
        <v>17</v>
      </c>
      <c r="J368">
        <v>4</v>
      </c>
      <c r="K368" t="s">
        <v>18</v>
      </c>
      <c r="L368" t="s">
        <v>61</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454</v>
      </c>
      <c r="B369" t="s">
        <v>29</v>
      </c>
      <c r="C369">
        <v>9</v>
      </c>
      <c r="D369">
        <v>48.4</v>
      </c>
      <c r="E369">
        <v>435.59999999999997</v>
      </c>
      <c r="F369" s="1">
        <v>45673</v>
      </c>
      <c r="G369" s="1">
        <v>45674</v>
      </c>
      <c r="H369" t="s">
        <v>26</v>
      </c>
      <c r="I369" t="s">
        <v>34</v>
      </c>
      <c r="J369">
        <v>4</v>
      </c>
      <c r="K369" t="s">
        <v>18</v>
      </c>
      <c r="L369" t="s">
        <v>71</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455</v>
      </c>
      <c r="B370" t="s">
        <v>134</v>
      </c>
      <c r="C370">
        <v>2</v>
      </c>
      <c r="D370">
        <v>49.9</v>
      </c>
      <c r="E370">
        <v>99.8</v>
      </c>
      <c r="F370" s="1">
        <v>45673</v>
      </c>
      <c r="G370" s="1">
        <v>45678</v>
      </c>
      <c r="H370" t="s">
        <v>22</v>
      </c>
      <c r="I370" t="s">
        <v>69</v>
      </c>
      <c r="J370">
        <v>2</v>
      </c>
      <c r="K370" t="s">
        <v>18</v>
      </c>
      <c r="L370" t="s">
        <v>73</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456</v>
      </c>
      <c r="B371" t="s">
        <v>21</v>
      </c>
      <c r="C371">
        <v>3</v>
      </c>
      <c r="D371">
        <v>51.7</v>
      </c>
      <c r="E371">
        <v>155.10000000000002</v>
      </c>
      <c r="F371" s="1">
        <v>45673</v>
      </c>
      <c r="G371" s="1">
        <v>45674</v>
      </c>
      <c r="H371" t="s">
        <v>26</v>
      </c>
      <c r="I371" t="s">
        <v>17</v>
      </c>
      <c r="J371">
        <v>5</v>
      </c>
      <c r="K371" t="s">
        <v>18</v>
      </c>
      <c r="L371" t="s">
        <v>76</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457</v>
      </c>
      <c r="B372" t="s">
        <v>43</v>
      </c>
      <c r="C372">
        <v>3</v>
      </c>
      <c r="D372">
        <v>41.8</v>
      </c>
      <c r="E372">
        <v>125.39999999999999</v>
      </c>
      <c r="F372" s="1">
        <v>45673</v>
      </c>
      <c r="G372" s="1">
        <v>45675</v>
      </c>
      <c r="H372" t="s">
        <v>26</v>
      </c>
      <c r="I372" t="s">
        <v>39</v>
      </c>
      <c r="J372">
        <v>4</v>
      </c>
      <c r="K372" t="s">
        <v>18</v>
      </c>
      <c r="L372" t="s">
        <v>107</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458</v>
      </c>
      <c r="B373" t="s">
        <v>31</v>
      </c>
      <c r="C373">
        <v>4</v>
      </c>
      <c r="D373">
        <v>36.200000000000003</v>
      </c>
      <c r="E373">
        <v>144.80000000000001</v>
      </c>
      <c r="F373" s="1">
        <v>45674</v>
      </c>
      <c r="G373" s="1">
        <v>45675</v>
      </c>
      <c r="H373" t="s">
        <v>22</v>
      </c>
      <c r="I373" t="s">
        <v>39</v>
      </c>
      <c r="J373">
        <v>5</v>
      </c>
      <c r="K373" t="s">
        <v>18</v>
      </c>
      <c r="L373" t="s">
        <v>114</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459</v>
      </c>
      <c r="B374" t="s">
        <v>25</v>
      </c>
      <c r="C374">
        <v>1</v>
      </c>
      <c r="D374">
        <v>150.9</v>
      </c>
      <c r="E374">
        <v>150.9</v>
      </c>
      <c r="F374" s="1">
        <v>45674</v>
      </c>
      <c r="G374" s="1">
        <v>45684</v>
      </c>
      <c r="H374" t="s">
        <v>22</v>
      </c>
      <c r="I374" t="s">
        <v>17</v>
      </c>
      <c r="J374">
        <v>4</v>
      </c>
      <c r="K374" t="s">
        <v>18</v>
      </c>
      <c r="L374" t="s">
        <v>23</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460</v>
      </c>
      <c r="B375" t="s">
        <v>145</v>
      </c>
      <c r="C375">
        <v>4</v>
      </c>
      <c r="D375">
        <v>77.599999999999994</v>
      </c>
      <c r="E375">
        <v>310.39999999999998</v>
      </c>
      <c r="F375" s="1">
        <v>45674</v>
      </c>
      <c r="G375" s="1">
        <v>45675</v>
      </c>
      <c r="I375" t="s">
        <v>39</v>
      </c>
      <c r="J375">
        <v>4</v>
      </c>
      <c r="K375" t="s">
        <v>18</v>
      </c>
      <c r="L375" t="s">
        <v>32</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461</v>
      </c>
      <c r="B376" t="s">
        <v>75</v>
      </c>
      <c r="C376">
        <v>5</v>
      </c>
      <c r="D376">
        <v>65.5</v>
      </c>
      <c r="E376">
        <v>327.5</v>
      </c>
      <c r="F376" s="1">
        <v>45674</v>
      </c>
      <c r="G376" s="1">
        <v>45674</v>
      </c>
      <c r="H376" t="s">
        <v>22</v>
      </c>
      <c r="I376" t="s">
        <v>34</v>
      </c>
      <c r="J376">
        <v>4</v>
      </c>
      <c r="K376" t="s">
        <v>18</v>
      </c>
      <c r="L376" t="s">
        <v>32</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462</v>
      </c>
      <c r="B377" t="s">
        <v>38</v>
      </c>
      <c r="C377">
        <v>3</v>
      </c>
      <c r="D377">
        <v>90.1</v>
      </c>
      <c r="E377">
        <v>270.29999999999995</v>
      </c>
      <c r="F377" s="1">
        <v>45674</v>
      </c>
      <c r="G377" s="1">
        <v>45676</v>
      </c>
      <c r="H377" t="s">
        <v>26</v>
      </c>
      <c r="I377" t="s">
        <v>17</v>
      </c>
      <c r="J377">
        <v>4</v>
      </c>
      <c r="K377" t="s">
        <v>18</v>
      </c>
      <c r="L377" t="s">
        <v>32</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463</v>
      </c>
      <c r="B378" t="s">
        <v>21</v>
      </c>
      <c r="C378">
        <v>2</v>
      </c>
      <c r="D378">
        <v>108.3</v>
      </c>
      <c r="E378">
        <v>216.6</v>
      </c>
      <c r="F378" s="1">
        <v>45674</v>
      </c>
      <c r="G378" s="1">
        <v>45677</v>
      </c>
      <c r="H378" t="s">
        <v>88</v>
      </c>
      <c r="I378" t="s">
        <v>69</v>
      </c>
      <c r="J378">
        <v>4</v>
      </c>
      <c r="K378" t="s">
        <v>18</v>
      </c>
      <c r="L378" t="s">
        <v>32</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464</v>
      </c>
      <c r="B379" t="s">
        <v>36</v>
      </c>
      <c r="C379">
        <v>3</v>
      </c>
      <c r="D379">
        <v>59.9</v>
      </c>
      <c r="E379">
        <v>179.7</v>
      </c>
      <c r="F379" s="1">
        <v>45674</v>
      </c>
      <c r="G379" s="1">
        <v>45678</v>
      </c>
      <c r="H379" t="s">
        <v>26</v>
      </c>
      <c r="I379" t="s">
        <v>17</v>
      </c>
      <c r="J379">
        <v>4</v>
      </c>
      <c r="K379" t="s">
        <v>18</v>
      </c>
      <c r="L379" t="s">
        <v>32</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465</v>
      </c>
      <c r="B380" t="s">
        <v>25</v>
      </c>
      <c r="C380">
        <v>17</v>
      </c>
      <c r="D380">
        <v>139</v>
      </c>
      <c r="E380">
        <v>2363</v>
      </c>
      <c r="F380" s="1">
        <v>45674</v>
      </c>
      <c r="G380" s="1">
        <v>45676</v>
      </c>
      <c r="H380" t="s">
        <v>26</v>
      </c>
      <c r="I380" t="s">
        <v>34</v>
      </c>
      <c r="J380">
        <v>2</v>
      </c>
      <c r="K380" t="s">
        <v>18</v>
      </c>
      <c r="L380" t="s">
        <v>32</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466</v>
      </c>
      <c r="B381" t="s">
        <v>38</v>
      </c>
      <c r="C381">
        <v>3</v>
      </c>
      <c r="D381">
        <v>87.3</v>
      </c>
      <c r="E381">
        <v>261.89999999999998</v>
      </c>
      <c r="F381" s="1">
        <v>45674</v>
      </c>
      <c r="G381" s="1">
        <v>45675</v>
      </c>
      <c r="H381" t="s">
        <v>26</v>
      </c>
      <c r="I381" t="s">
        <v>17</v>
      </c>
      <c r="J381">
        <v>4</v>
      </c>
      <c r="K381" t="s">
        <v>18</v>
      </c>
      <c r="L381" t="s">
        <v>32</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467</v>
      </c>
      <c r="B382" t="s">
        <v>66</v>
      </c>
      <c r="C382">
        <v>4</v>
      </c>
      <c r="D382">
        <v>42.3</v>
      </c>
      <c r="E382">
        <v>169.2</v>
      </c>
      <c r="F382" s="1">
        <v>45674</v>
      </c>
      <c r="G382" s="1">
        <v>45674</v>
      </c>
      <c r="H382" t="s">
        <v>22</v>
      </c>
      <c r="I382" t="s">
        <v>17</v>
      </c>
      <c r="J382">
        <v>4</v>
      </c>
      <c r="K382" t="s">
        <v>18</v>
      </c>
      <c r="L382" t="s">
        <v>32</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468</v>
      </c>
      <c r="B383" t="s">
        <v>80</v>
      </c>
      <c r="C383">
        <v>8</v>
      </c>
      <c r="D383">
        <v>103.6</v>
      </c>
      <c r="E383">
        <v>828.8</v>
      </c>
      <c r="F383" s="1">
        <v>45674</v>
      </c>
      <c r="G383" s="1">
        <v>45675</v>
      </c>
      <c r="H383" t="s">
        <v>88</v>
      </c>
      <c r="I383" t="s">
        <v>17</v>
      </c>
      <c r="J383">
        <v>3</v>
      </c>
      <c r="K383" t="s">
        <v>18</v>
      </c>
      <c r="L383" t="s">
        <v>32</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469</v>
      </c>
      <c r="B384" t="s">
        <v>38</v>
      </c>
      <c r="C384">
        <v>2</v>
      </c>
      <c r="D384">
        <v>90.9</v>
      </c>
      <c r="E384">
        <v>181.8</v>
      </c>
      <c r="F384" s="1">
        <v>45674</v>
      </c>
      <c r="G384" s="1">
        <v>45675</v>
      </c>
      <c r="H384" t="s">
        <v>22</v>
      </c>
      <c r="I384" t="s">
        <v>34</v>
      </c>
      <c r="J384">
        <v>4</v>
      </c>
      <c r="K384" t="s">
        <v>18</v>
      </c>
      <c r="L384" t="s">
        <v>54</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470</v>
      </c>
      <c r="B385" t="s">
        <v>45</v>
      </c>
      <c r="C385">
        <v>16</v>
      </c>
      <c r="D385">
        <v>100.9</v>
      </c>
      <c r="E385">
        <v>1614.4</v>
      </c>
      <c r="F385" s="1">
        <v>45674</v>
      </c>
      <c r="G385" s="1">
        <v>45675</v>
      </c>
      <c r="H385" t="s">
        <v>26</v>
      </c>
      <c r="I385" t="s">
        <v>34</v>
      </c>
      <c r="J385">
        <v>4</v>
      </c>
      <c r="K385" t="s">
        <v>18</v>
      </c>
      <c r="L385" t="s">
        <v>54</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471</v>
      </c>
      <c r="B386" t="s">
        <v>31</v>
      </c>
      <c r="C386">
        <v>5</v>
      </c>
      <c r="D386">
        <v>36</v>
      </c>
      <c r="E386">
        <v>180</v>
      </c>
      <c r="F386" s="1">
        <v>45674</v>
      </c>
      <c r="G386" s="1">
        <v>45676</v>
      </c>
      <c r="H386" t="s">
        <v>26</v>
      </c>
      <c r="I386" t="s">
        <v>34</v>
      </c>
      <c r="J386">
        <v>4</v>
      </c>
      <c r="K386" t="s">
        <v>18</v>
      </c>
      <c r="L386" t="s">
        <v>58</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472</v>
      </c>
      <c r="B387" t="s">
        <v>38</v>
      </c>
      <c r="C387">
        <v>6</v>
      </c>
      <c r="D387">
        <v>83.3</v>
      </c>
      <c r="E387">
        <v>499.79999999999995</v>
      </c>
      <c r="F387" s="1">
        <v>45674</v>
      </c>
      <c r="G387" s="1">
        <v>45677</v>
      </c>
      <c r="I387" t="s">
        <v>39</v>
      </c>
      <c r="J387">
        <v>4</v>
      </c>
      <c r="K387" t="s">
        <v>18</v>
      </c>
      <c r="L387" t="s">
        <v>58</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473</v>
      </c>
      <c r="B388" t="s">
        <v>25</v>
      </c>
      <c r="C388">
        <v>17</v>
      </c>
      <c r="D388">
        <v>60.3</v>
      </c>
      <c r="E388">
        <v>1025.0999999999999</v>
      </c>
      <c r="F388" s="1">
        <v>45674</v>
      </c>
      <c r="G388" s="1">
        <v>45675</v>
      </c>
      <c r="H388" t="s">
        <v>22</v>
      </c>
      <c r="I388" t="s">
        <v>39</v>
      </c>
      <c r="J388">
        <v>3</v>
      </c>
      <c r="K388" t="s">
        <v>18</v>
      </c>
      <c r="L388" t="s">
        <v>58</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474</v>
      </c>
      <c r="B389" t="s">
        <v>25</v>
      </c>
      <c r="C389">
        <v>6</v>
      </c>
      <c r="D389">
        <v>120.3</v>
      </c>
      <c r="E389">
        <v>721.8</v>
      </c>
      <c r="F389" s="1">
        <v>45674</v>
      </c>
      <c r="G389" s="1">
        <v>45675</v>
      </c>
      <c r="H389" t="s">
        <v>22</v>
      </c>
      <c r="I389" t="s">
        <v>39</v>
      </c>
      <c r="J389">
        <v>4</v>
      </c>
      <c r="K389" t="s">
        <v>18</v>
      </c>
      <c r="L389" t="s">
        <v>61</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475</v>
      </c>
      <c r="B390" t="s">
        <v>31</v>
      </c>
      <c r="C390">
        <v>10</v>
      </c>
      <c r="D390">
        <v>34</v>
      </c>
      <c r="E390">
        <v>340</v>
      </c>
      <c r="F390" s="1">
        <v>45674</v>
      </c>
      <c r="G390" s="1">
        <v>45678</v>
      </c>
      <c r="H390" t="s">
        <v>26</v>
      </c>
      <c r="I390" t="s">
        <v>39</v>
      </c>
      <c r="J390">
        <v>4</v>
      </c>
      <c r="K390" t="s">
        <v>18</v>
      </c>
      <c r="L390" t="s">
        <v>61</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476</v>
      </c>
      <c r="B391" t="s">
        <v>53</v>
      </c>
      <c r="C391">
        <v>5</v>
      </c>
      <c r="D391">
        <v>42.6</v>
      </c>
      <c r="E391">
        <v>213</v>
      </c>
      <c r="F391" s="1">
        <v>45674</v>
      </c>
      <c r="G391" s="1">
        <v>45677</v>
      </c>
      <c r="H391" t="s">
        <v>22</v>
      </c>
      <c r="I391" t="s">
        <v>34</v>
      </c>
      <c r="J391">
        <v>4</v>
      </c>
      <c r="K391" t="s">
        <v>18</v>
      </c>
      <c r="L391" t="s">
        <v>61</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477</v>
      </c>
      <c r="B392" t="s">
        <v>36</v>
      </c>
      <c r="C392">
        <v>20</v>
      </c>
      <c r="D392">
        <v>47.4</v>
      </c>
      <c r="E392">
        <v>948</v>
      </c>
      <c r="F392" s="1">
        <v>45674</v>
      </c>
      <c r="G392" s="1">
        <v>45674</v>
      </c>
      <c r="H392" t="s">
        <v>26</v>
      </c>
      <c r="I392" t="s">
        <v>39</v>
      </c>
      <c r="J392">
        <v>3</v>
      </c>
      <c r="K392" t="s">
        <v>18</v>
      </c>
      <c r="L392" t="s">
        <v>102</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478</v>
      </c>
      <c r="B393" t="s">
        <v>25</v>
      </c>
      <c r="C393">
        <v>1</v>
      </c>
      <c r="D393">
        <v>74</v>
      </c>
      <c r="E393">
        <v>74</v>
      </c>
      <c r="F393" s="1">
        <v>45675</v>
      </c>
      <c r="G393" s="1">
        <v>45676</v>
      </c>
      <c r="H393" t="s">
        <v>22</v>
      </c>
      <c r="I393" t="s">
        <v>34</v>
      </c>
      <c r="J393">
        <v>4</v>
      </c>
      <c r="K393" t="s">
        <v>18</v>
      </c>
      <c r="L393" t="s">
        <v>76</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479</v>
      </c>
      <c r="B394" t="s">
        <v>25</v>
      </c>
      <c r="C394">
        <v>5</v>
      </c>
      <c r="D394">
        <v>60.4</v>
      </c>
      <c r="E394">
        <v>302</v>
      </c>
      <c r="F394" s="1">
        <v>45675</v>
      </c>
      <c r="G394" s="1">
        <v>45678</v>
      </c>
      <c r="H394" t="s">
        <v>26</v>
      </c>
      <c r="I394" t="s">
        <v>34</v>
      </c>
      <c r="J394">
        <v>2</v>
      </c>
      <c r="K394" t="s">
        <v>18</v>
      </c>
      <c r="L394" t="s">
        <v>107</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480</v>
      </c>
      <c r="B395" t="s">
        <v>68</v>
      </c>
      <c r="C395">
        <v>2</v>
      </c>
      <c r="D395">
        <v>69.3</v>
      </c>
      <c r="E395">
        <v>138.6</v>
      </c>
      <c r="F395" s="1">
        <v>45675</v>
      </c>
      <c r="G395" s="1">
        <v>45678</v>
      </c>
      <c r="H395" t="s">
        <v>22</v>
      </c>
      <c r="I395" t="s">
        <v>34</v>
      </c>
      <c r="J395">
        <v>3</v>
      </c>
      <c r="K395" t="s">
        <v>18</v>
      </c>
      <c r="L395" t="s">
        <v>81</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481</v>
      </c>
      <c r="B396" t="s">
        <v>36</v>
      </c>
      <c r="C396">
        <v>5</v>
      </c>
      <c r="D396">
        <v>81</v>
      </c>
      <c r="E396">
        <v>405</v>
      </c>
      <c r="F396" s="1">
        <v>45675</v>
      </c>
      <c r="G396" s="1">
        <v>45681</v>
      </c>
      <c r="H396" t="s">
        <v>22</v>
      </c>
      <c r="I396" t="s">
        <v>50</v>
      </c>
      <c r="J396">
        <v>4</v>
      </c>
      <c r="K396" t="s">
        <v>18</v>
      </c>
      <c r="L396" t="s">
        <v>114</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482</v>
      </c>
      <c r="B397" t="s">
        <v>122</v>
      </c>
      <c r="C397">
        <v>3</v>
      </c>
      <c r="D397">
        <v>41.5</v>
      </c>
      <c r="E397">
        <v>124.5</v>
      </c>
      <c r="F397" s="1">
        <v>45675</v>
      </c>
      <c r="G397" s="1">
        <v>45677</v>
      </c>
      <c r="H397" t="s">
        <v>88</v>
      </c>
      <c r="I397" t="s">
        <v>34</v>
      </c>
      <c r="J397">
        <v>4</v>
      </c>
      <c r="K397" t="s">
        <v>18</v>
      </c>
      <c r="L397" t="s">
        <v>114</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483</v>
      </c>
      <c r="B398" t="s">
        <v>145</v>
      </c>
      <c r="C398">
        <v>2</v>
      </c>
      <c r="D398">
        <v>69.7</v>
      </c>
      <c r="E398">
        <v>139.4</v>
      </c>
      <c r="F398" s="1">
        <v>45675</v>
      </c>
      <c r="G398" s="1">
        <v>45680</v>
      </c>
      <c r="H398" t="s">
        <v>22</v>
      </c>
      <c r="I398" t="s">
        <v>34</v>
      </c>
      <c r="J398">
        <v>4</v>
      </c>
      <c r="K398" t="s">
        <v>18</v>
      </c>
      <c r="L398" t="s">
        <v>114</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484</v>
      </c>
      <c r="B399" t="s">
        <v>25</v>
      </c>
      <c r="C399">
        <v>5</v>
      </c>
      <c r="D399">
        <v>83.6</v>
      </c>
      <c r="E399">
        <v>418</v>
      </c>
      <c r="F399" s="1">
        <v>45675</v>
      </c>
      <c r="G399" s="1">
        <v>45675</v>
      </c>
      <c r="H399" t="s">
        <v>26</v>
      </c>
      <c r="I399" t="s">
        <v>69</v>
      </c>
      <c r="J399">
        <v>4</v>
      </c>
      <c r="K399" t="s">
        <v>18</v>
      </c>
      <c r="L399" t="s">
        <v>23</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485</v>
      </c>
      <c r="B400" t="s">
        <v>43</v>
      </c>
      <c r="C400">
        <v>7</v>
      </c>
      <c r="D400">
        <v>21.5</v>
      </c>
      <c r="E400">
        <v>150.5</v>
      </c>
      <c r="F400" s="1">
        <v>45675</v>
      </c>
      <c r="G400" s="1">
        <v>45677</v>
      </c>
      <c r="H400" t="s">
        <v>22</v>
      </c>
      <c r="I400" t="s">
        <v>34</v>
      </c>
      <c r="J400">
        <v>2</v>
      </c>
      <c r="K400" t="s">
        <v>18</v>
      </c>
      <c r="L400" t="s">
        <v>333</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486</v>
      </c>
      <c r="B401" t="s">
        <v>43</v>
      </c>
      <c r="C401">
        <v>8</v>
      </c>
      <c r="D401">
        <v>28.6</v>
      </c>
      <c r="E401">
        <v>228.8</v>
      </c>
      <c r="F401" s="1">
        <v>45675</v>
      </c>
      <c r="G401" s="1">
        <v>45676</v>
      </c>
      <c r="H401" t="s">
        <v>22</v>
      </c>
      <c r="I401" t="s">
        <v>17</v>
      </c>
      <c r="J401">
        <v>4</v>
      </c>
      <c r="K401" t="s">
        <v>18</v>
      </c>
      <c r="L401" t="s">
        <v>32</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487</v>
      </c>
      <c r="B402" t="s">
        <v>43</v>
      </c>
      <c r="C402">
        <v>6</v>
      </c>
      <c r="D402">
        <v>18.8</v>
      </c>
      <c r="E402">
        <v>112.80000000000001</v>
      </c>
      <c r="F402" s="1">
        <v>45675</v>
      </c>
      <c r="G402" s="1">
        <v>45678</v>
      </c>
      <c r="H402" t="s">
        <v>22</v>
      </c>
      <c r="I402" t="s">
        <v>50</v>
      </c>
      <c r="J402">
        <v>5</v>
      </c>
      <c r="K402" t="s">
        <v>18</v>
      </c>
      <c r="L402" t="s">
        <v>32</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488</v>
      </c>
      <c r="B403" t="s">
        <v>53</v>
      </c>
      <c r="C403">
        <v>4</v>
      </c>
      <c r="D403">
        <v>35.1</v>
      </c>
      <c r="E403">
        <v>140.4</v>
      </c>
      <c r="F403" s="1">
        <v>45675</v>
      </c>
      <c r="G403" s="1">
        <v>45675</v>
      </c>
      <c r="H403" t="s">
        <v>26</v>
      </c>
      <c r="I403" t="s">
        <v>34</v>
      </c>
      <c r="J403">
        <v>3</v>
      </c>
      <c r="K403" t="s">
        <v>18</v>
      </c>
      <c r="L403" t="s">
        <v>32</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489</v>
      </c>
      <c r="B404" t="s">
        <v>16</v>
      </c>
      <c r="C404">
        <v>2</v>
      </c>
      <c r="D404">
        <v>12.7</v>
      </c>
      <c r="E404">
        <v>25.4</v>
      </c>
      <c r="F404" s="1">
        <v>45675</v>
      </c>
      <c r="G404" s="1">
        <v>45677</v>
      </c>
      <c r="H404" t="s">
        <v>26</v>
      </c>
      <c r="I404" t="s">
        <v>34</v>
      </c>
      <c r="J404">
        <v>5</v>
      </c>
      <c r="K404" t="s">
        <v>18</v>
      </c>
      <c r="L404" t="s">
        <v>32</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490</v>
      </c>
      <c r="B405" t="s">
        <v>43</v>
      </c>
      <c r="C405">
        <v>5</v>
      </c>
      <c r="D405">
        <v>27.4</v>
      </c>
      <c r="E405">
        <v>137</v>
      </c>
      <c r="F405" s="1">
        <v>45675</v>
      </c>
      <c r="G405" s="1">
        <v>45677</v>
      </c>
      <c r="H405" t="s">
        <v>88</v>
      </c>
      <c r="I405" t="s">
        <v>17</v>
      </c>
      <c r="J405">
        <v>4</v>
      </c>
      <c r="K405" t="s">
        <v>18</v>
      </c>
      <c r="L405" t="s">
        <v>32</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491</v>
      </c>
      <c r="B406" t="s">
        <v>53</v>
      </c>
      <c r="C406">
        <v>2</v>
      </c>
      <c r="D406">
        <v>61.3</v>
      </c>
      <c r="E406">
        <v>122.6</v>
      </c>
      <c r="F406" s="1">
        <v>45675</v>
      </c>
      <c r="G406" s="1">
        <v>45676</v>
      </c>
      <c r="H406" t="s">
        <v>26</v>
      </c>
      <c r="I406" t="s">
        <v>34</v>
      </c>
      <c r="J406">
        <v>4</v>
      </c>
      <c r="K406" t="s">
        <v>18</v>
      </c>
      <c r="L406" t="s">
        <v>54</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492</v>
      </c>
      <c r="B407" t="s">
        <v>43</v>
      </c>
      <c r="C407">
        <v>2</v>
      </c>
      <c r="D407">
        <v>64.7</v>
      </c>
      <c r="E407">
        <v>129.4</v>
      </c>
      <c r="F407" s="1">
        <v>45675</v>
      </c>
      <c r="G407" s="1">
        <v>45677</v>
      </c>
      <c r="H407" t="s">
        <v>26</v>
      </c>
      <c r="I407" t="s">
        <v>50</v>
      </c>
      <c r="J407">
        <v>5</v>
      </c>
      <c r="K407" t="s">
        <v>18</v>
      </c>
      <c r="L407" t="s">
        <v>54</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493</v>
      </c>
      <c r="B408" t="s">
        <v>41</v>
      </c>
      <c r="C408">
        <v>4</v>
      </c>
      <c r="D408">
        <v>91.4</v>
      </c>
      <c r="E408">
        <v>365.6</v>
      </c>
      <c r="F408" s="1">
        <v>45675</v>
      </c>
      <c r="G408" s="1">
        <v>45677</v>
      </c>
      <c r="H408" t="s">
        <v>26</v>
      </c>
      <c r="I408" t="s">
        <v>17</v>
      </c>
      <c r="J408">
        <v>4</v>
      </c>
      <c r="K408" t="s">
        <v>18</v>
      </c>
      <c r="L408" t="s">
        <v>61</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494</v>
      </c>
      <c r="B409" t="s">
        <v>16</v>
      </c>
      <c r="C409">
        <v>2</v>
      </c>
      <c r="D409">
        <v>33.1</v>
      </c>
      <c r="E409">
        <v>66.2</v>
      </c>
      <c r="F409" s="1">
        <v>45676</v>
      </c>
      <c r="G409" s="1">
        <v>45677</v>
      </c>
      <c r="H409" t="s">
        <v>22</v>
      </c>
      <c r="I409" t="s">
        <v>17</v>
      </c>
      <c r="J409">
        <v>5</v>
      </c>
      <c r="K409" t="s">
        <v>18</v>
      </c>
      <c r="L409" t="s">
        <v>61</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495</v>
      </c>
      <c r="B410" t="s">
        <v>29</v>
      </c>
      <c r="C410">
        <v>2</v>
      </c>
      <c r="D410">
        <v>105.6</v>
      </c>
      <c r="E410">
        <v>211.2</v>
      </c>
      <c r="F410" s="1">
        <v>45676</v>
      </c>
      <c r="G410" s="1">
        <v>45677</v>
      </c>
      <c r="H410" t="s">
        <v>22</v>
      </c>
      <c r="I410" t="s">
        <v>39</v>
      </c>
      <c r="J410">
        <v>3</v>
      </c>
      <c r="K410" t="s">
        <v>18</v>
      </c>
      <c r="L410" t="s">
        <v>61</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496</v>
      </c>
      <c r="B411" t="s">
        <v>53</v>
      </c>
      <c r="C411">
        <v>3</v>
      </c>
      <c r="D411">
        <v>46.4</v>
      </c>
      <c r="E411">
        <v>139.19999999999999</v>
      </c>
      <c r="F411" s="1">
        <v>45676</v>
      </c>
      <c r="G411" s="1">
        <v>45677</v>
      </c>
      <c r="H411" t="s">
        <v>22</v>
      </c>
      <c r="I411" t="s">
        <v>39</v>
      </c>
      <c r="J411">
        <v>4</v>
      </c>
      <c r="K411" t="s">
        <v>18</v>
      </c>
      <c r="L411" t="s">
        <v>71</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497</v>
      </c>
      <c r="B412" t="s">
        <v>45</v>
      </c>
      <c r="C412">
        <v>14</v>
      </c>
      <c r="D412">
        <v>35.299999999999997</v>
      </c>
      <c r="E412">
        <v>494.19999999999993</v>
      </c>
      <c r="F412" s="1">
        <v>45676</v>
      </c>
      <c r="G412" s="1">
        <v>45679</v>
      </c>
      <c r="H412" t="s">
        <v>26</v>
      </c>
      <c r="I412" t="s">
        <v>69</v>
      </c>
      <c r="J412">
        <v>3</v>
      </c>
      <c r="K412" t="s">
        <v>18</v>
      </c>
      <c r="L412" t="s">
        <v>76</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498</v>
      </c>
      <c r="B413" t="s">
        <v>16</v>
      </c>
      <c r="C413">
        <v>2</v>
      </c>
      <c r="D413">
        <v>16.100000000000001</v>
      </c>
      <c r="E413">
        <v>32.200000000000003</v>
      </c>
      <c r="F413" s="1">
        <v>45676</v>
      </c>
      <c r="G413" s="1">
        <v>45678</v>
      </c>
      <c r="H413" t="s">
        <v>22</v>
      </c>
      <c r="I413" t="s">
        <v>50</v>
      </c>
      <c r="J413">
        <v>5</v>
      </c>
      <c r="K413" t="s">
        <v>18</v>
      </c>
      <c r="L413" t="s">
        <v>308</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499</v>
      </c>
      <c r="B414" t="s">
        <v>31</v>
      </c>
      <c r="C414">
        <v>2</v>
      </c>
      <c r="D414">
        <v>27.9</v>
      </c>
      <c r="E414">
        <v>55.8</v>
      </c>
      <c r="F414" s="1">
        <v>45676</v>
      </c>
      <c r="G414" s="1">
        <v>45679</v>
      </c>
      <c r="H414" t="s">
        <v>22</v>
      </c>
      <c r="I414" t="s">
        <v>17</v>
      </c>
      <c r="J414">
        <v>4</v>
      </c>
      <c r="K414" t="s">
        <v>18</v>
      </c>
      <c r="L414" t="s">
        <v>81</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500</v>
      </c>
      <c r="B415" t="s">
        <v>43</v>
      </c>
      <c r="C415">
        <v>1</v>
      </c>
      <c r="D415">
        <v>47.1</v>
      </c>
      <c r="E415">
        <v>47.1</v>
      </c>
      <c r="F415" s="1">
        <v>45676</v>
      </c>
      <c r="G415" s="1">
        <v>45684</v>
      </c>
      <c r="H415" t="s">
        <v>26</v>
      </c>
      <c r="I415" t="s">
        <v>34</v>
      </c>
      <c r="J415">
        <v>4</v>
      </c>
      <c r="K415" t="s">
        <v>18</v>
      </c>
      <c r="L415" t="s">
        <v>27</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501</v>
      </c>
      <c r="B416" t="s">
        <v>38</v>
      </c>
      <c r="C416">
        <v>2</v>
      </c>
      <c r="D416">
        <v>85</v>
      </c>
      <c r="E416">
        <v>170</v>
      </c>
      <c r="F416" s="1">
        <v>45676</v>
      </c>
      <c r="G416" s="1">
        <v>45679</v>
      </c>
      <c r="I416" t="s">
        <v>39</v>
      </c>
      <c r="J416">
        <v>5</v>
      </c>
      <c r="K416" t="s">
        <v>18</v>
      </c>
      <c r="L416" t="s">
        <v>146</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502</v>
      </c>
      <c r="B417" t="s">
        <v>145</v>
      </c>
      <c r="C417">
        <v>2</v>
      </c>
      <c r="D417">
        <v>89</v>
      </c>
      <c r="E417">
        <v>178</v>
      </c>
      <c r="F417" s="1">
        <v>45676</v>
      </c>
      <c r="G417" s="1">
        <v>45678</v>
      </c>
      <c r="H417" t="s">
        <v>26</v>
      </c>
      <c r="I417" t="s">
        <v>17</v>
      </c>
      <c r="J417">
        <v>4</v>
      </c>
      <c r="K417" t="s">
        <v>18</v>
      </c>
      <c r="L417" t="s">
        <v>32</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503</v>
      </c>
      <c r="B418" t="s">
        <v>127</v>
      </c>
      <c r="C418">
        <v>3</v>
      </c>
      <c r="D418">
        <v>36.6</v>
      </c>
      <c r="E418">
        <v>109.80000000000001</v>
      </c>
      <c r="F418" s="1">
        <v>45676</v>
      </c>
      <c r="G418" s="1">
        <v>45677</v>
      </c>
      <c r="H418" t="s">
        <v>88</v>
      </c>
      <c r="I418" t="s">
        <v>50</v>
      </c>
      <c r="J418">
        <v>5</v>
      </c>
      <c r="K418" t="s">
        <v>18</v>
      </c>
      <c r="L418" t="s">
        <v>32</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504</v>
      </c>
      <c r="B419" t="s">
        <v>38</v>
      </c>
      <c r="C419">
        <v>7</v>
      </c>
      <c r="D419">
        <v>43.5</v>
      </c>
      <c r="E419">
        <v>304.5</v>
      </c>
      <c r="F419" s="1">
        <v>45676</v>
      </c>
      <c r="G419" s="1">
        <v>45677</v>
      </c>
      <c r="H419" t="s">
        <v>22</v>
      </c>
      <c r="I419" t="s">
        <v>34</v>
      </c>
      <c r="J419">
        <v>5</v>
      </c>
      <c r="K419" t="s">
        <v>18</v>
      </c>
      <c r="L419" t="s">
        <v>32</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505</v>
      </c>
      <c r="B420" t="s">
        <v>45</v>
      </c>
      <c r="C420">
        <v>19</v>
      </c>
      <c r="D420">
        <v>30.5</v>
      </c>
      <c r="E420">
        <v>579.5</v>
      </c>
      <c r="F420" s="1">
        <v>45676</v>
      </c>
      <c r="G420" s="1">
        <v>45676</v>
      </c>
      <c r="H420" t="s">
        <v>26</v>
      </c>
      <c r="I420" t="s">
        <v>50</v>
      </c>
      <c r="J420">
        <v>4</v>
      </c>
      <c r="K420" t="s">
        <v>18</v>
      </c>
      <c r="L420" t="s">
        <v>32</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506</v>
      </c>
      <c r="B421" t="s">
        <v>21</v>
      </c>
      <c r="C421">
        <v>2</v>
      </c>
      <c r="D421">
        <v>107.7</v>
      </c>
      <c r="E421">
        <v>215.4</v>
      </c>
      <c r="F421" s="1">
        <v>45676</v>
      </c>
      <c r="G421" s="1">
        <v>45680</v>
      </c>
      <c r="H421" t="s">
        <v>22</v>
      </c>
      <c r="I421" t="s">
        <v>50</v>
      </c>
      <c r="J421">
        <v>2</v>
      </c>
      <c r="K421" t="s">
        <v>18</v>
      </c>
      <c r="L421" t="s">
        <v>32</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507</v>
      </c>
      <c r="B422" t="s">
        <v>134</v>
      </c>
      <c r="C422">
        <v>26</v>
      </c>
      <c r="D422">
        <v>57.1</v>
      </c>
      <c r="E422">
        <v>1484.6000000000001</v>
      </c>
      <c r="F422" s="1">
        <v>45676</v>
      </c>
      <c r="G422" s="1">
        <v>45677</v>
      </c>
      <c r="H422" t="s">
        <v>22</v>
      </c>
      <c r="I422" t="s">
        <v>34</v>
      </c>
      <c r="J422">
        <v>4</v>
      </c>
      <c r="K422" t="s">
        <v>18</v>
      </c>
      <c r="L422" t="s">
        <v>32</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508</v>
      </c>
      <c r="B423" t="s">
        <v>25</v>
      </c>
      <c r="C423">
        <v>10</v>
      </c>
      <c r="D423">
        <v>111.7</v>
      </c>
      <c r="E423">
        <v>1117</v>
      </c>
      <c r="F423" s="1">
        <v>45676</v>
      </c>
      <c r="G423" s="1">
        <v>45677</v>
      </c>
      <c r="H423" t="s">
        <v>26</v>
      </c>
      <c r="I423" t="s">
        <v>69</v>
      </c>
      <c r="J423">
        <v>5</v>
      </c>
      <c r="K423" t="s">
        <v>18</v>
      </c>
      <c r="L423" t="s">
        <v>32</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509</v>
      </c>
      <c r="B424" t="s">
        <v>145</v>
      </c>
      <c r="C424">
        <v>7</v>
      </c>
      <c r="D424">
        <v>44.3</v>
      </c>
      <c r="E424">
        <v>310.09999999999997</v>
      </c>
      <c r="F424" s="1">
        <v>45676</v>
      </c>
      <c r="G424" s="1">
        <v>45679</v>
      </c>
      <c r="H424" t="s">
        <v>22</v>
      </c>
      <c r="I424" t="s">
        <v>50</v>
      </c>
      <c r="J424">
        <v>5</v>
      </c>
      <c r="K424" t="s">
        <v>18</v>
      </c>
      <c r="L424" t="s">
        <v>32</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510</v>
      </c>
      <c r="B425" t="s">
        <v>25</v>
      </c>
      <c r="C425">
        <v>8</v>
      </c>
      <c r="D425">
        <v>95.8</v>
      </c>
      <c r="E425">
        <v>766.4</v>
      </c>
      <c r="F425" s="1">
        <v>45676</v>
      </c>
      <c r="G425" s="1">
        <v>45682</v>
      </c>
      <c r="H425" t="s">
        <v>88</v>
      </c>
      <c r="I425" t="s">
        <v>17</v>
      </c>
      <c r="J425">
        <v>4</v>
      </c>
      <c r="K425" t="s">
        <v>18</v>
      </c>
      <c r="L425" t="s">
        <v>32</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511</v>
      </c>
      <c r="B426" t="s">
        <v>53</v>
      </c>
      <c r="C426">
        <v>7</v>
      </c>
      <c r="D426">
        <v>22.6</v>
      </c>
      <c r="E426">
        <v>158.20000000000002</v>
      </c>
      <c r="F426" s="1">
        <v>45676</v>
      </c>
      <c r="G426" s="1">
        <v>45679</v>
      </c>
      <c r="H426" t="s">
        <v>26</v>
      </c>
      <c r="I426" t="s">
        <v>50</v>
      </c>
      <c r="J426">
        <v>3</v>
      </c>
      <c r="K426" t="s">
        <v>18</v>
      </c>
      <c r="L426" t="s">
        <v>32</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512</v>
      </c>
      <c r="B427" t="s">
        <v>43</v>
      </c>
      <c r="C427">
        <v>8</v>
      </c>
      <c r="D427">
        <v>25.6</v>
      </c>
      <c r="E427">
        <v>204.8</v>
      </c>
      <c r="F427" s="1">
        <v>45676</v>
      </c>
      <c r="G427" s="1">
        <v>45678</v>
      </c>
      <c r="H427" t="s">
        <v>26</v>
      </c>
      <c r="I427" t="s">
        <v>69</v>
      </c>
      <c r="J427">
        <v>4</v>
      </c>
      <c r="K427" t="s">
        <v>18</v>
      </c>
      <c r="L427" t="s">
        <v>32</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513</v>
      </c>
      <c r="B428" t="s">
        <v>38</v>
      </c>
      <c r="C428">
        <v>16</v>
      </c>
      <c r="D428">
        <v>54.3</v>
      </c>
      <c r="E428">
        <v>868.8</v>
      </c>
      <c r="F428" s="1">
        <v>45676</v>
      </c>
      <c r="G428" s="1">
        <v>45679</v>
      </c>
      <c r="H428" t="s">
        <v>26</v>
      </c>
      <c r="I428" t="s">
        <v>69</v>
      </c>
      <c r="J428">
        <v>4</v>
      </c>
      <c r="K428" t="s">
        <v>18</v>
      </c>
      <c r="L428" t="s">
        <v>32</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514</v>
      </c>
      <c r="B429" t="s">
        <v>145</v>
      </c>
      <c r="C429">
        <v>13</v>
      </c>
      <c r="D429">
        <v>51.3</v>
      </c>
      <c r="E429">
        <v>666.9</v>
      </c>
      <c r="F429" s="1">
        <v>45676</v>
      </c>
      <c r="G429" s="1">
        <v>45678</v>
      </c>
      <c r="H429" t="s">
        <v>22</v>
      </c>
      <c r="I429" t="s">
        <v>17</v>
      </c>
      <c r="J429">
        <v>5</v>
      </c>
      <c r="K429" t="s">
        <v>18</v>
      </c>
      <c r="L429" t="s">
        <v>32</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515</v>
      </c>
      <c r="B430" t="s">
        <v>16</v>
      </c>
      <c r="C430">
        <v>8</v>
      </c>
      <c r="D430">
        <v>25.6</v>
      </c>
      <c r="E430">
        <v>204.8</v>
      </c>
      <c r="F430" s="1">
        <v>45676</v>
      </c>
      <c r="G430" s="1">
        <v>45677</v>
      </c>
      <c r="H430" t="s">
        <v>26</v>
      </c>
      <c r="I430" t="s">
        <v>34</v>
      </c>
      <c r="J430">
        <v>3</v>
      </c>
      <c r="K430" t="s">
        <v>18</v>
      </c>
      <c r="L430" t="s">
        <v>32</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516</v>
      </c>
      <c r="B431" t="s">
        <v>16</v>
      </c>
      <c r="C431">
        <v>2</v>
      </c>
      <c r="D431">
        <v>15.6</v>
      </c>
      <c r="E431">
        <v>31.2</v>
      </c>
      <c r="F431" s="1">
        <v>45676</v>
      </c>
      <c r="G431" s="1">
        <v>45677</v>
      </c>
      <c r="H431" t="s">
        <v>26</v>
      </c>
      <c r="I431" t="s">
        <v>39</v>
      </c>
      <c r="J431">
        <v>5</v>
      </c>
      <c r="K431" t="s">
        <v>18</v>
      </c>
      <c r="L431" t="s">
        <v>32</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517</v>
      </c>
      <c r="B432" t="s">
        <v>43</v>
      </c>
      <c r="C432">
        <v>3</v>
      </c>
      <c r="D432">
        <v>30.3</v>
      </c>
      <c r="E432">
        <v>90.9</v>
      </c>
      <c r="F432" s="1">
        <v>45676</v>
      </c>
      <c r="G432" s="1">
        <v>45680</v>
      </c>
      <c r="H432" t="s">
        <v>26</v>
      </c>
      <c r="I432" t="s">
        <v>17</v>
      </c>
      <c r="J432">
        <v>3</v>
      </c>
      <c r="K432" t="s">
        <v>18</v>
      </c>
      <c r="L432" t="s">
        <v>32</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518</v>
      </c>
      <c r="B433" t="s">
        <v>68</v>
      </c>
      <c r="C433">
        <v>2</v>
      </c>
      <c r="D433">
        <v>30.3</v>
      </c>
      <c r="E433">
        <v>60.6</v>
      </c>
      <c r="F433" s="1">
        <v>45676</v>
      </c>
      <c r="G433" s="1">
        <v>45681</v>
      </c>
      <c r="H433" t="s">
        <v>26</v>
      </c>
      <c r="I433" t="s">
        <v>17</v>
      </c>
      <c r="J433">
        <v>5</v>
      </c>
      <c r="K433" t="s">
        <v>18</v>
      </c>
      <c r="L433" t="s">
        <v>363</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519</v>
      </c>
      <c r="B434" t="s">
        <v>53</v>
      </c>
      <c r="C434">
        <v>3</v>
      </c>
      <c r="D434">
        <v>53</v>
      </c>
      <c r="E434">
        <v>159</v>
      </c>
      <c r="F434" s="1">
        <v>45676</v>
      </c>
      <c r="G434" s="1">
        <v>45683</v>
      </c>
      <c r="H434" t="s">
        <v>26</v>
      </c>
      <c r="I434" t="s">
        <v>39</v>
      </c>
      <c r="J434">
        <v>4</v>
      </c>
      <c r="K434" t="s">
        <v>18</v>
      </c>
      <c r="L434" t="s">
        <v>185</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520</v>
      </c>
      <c r="B435" t="s">
        <v>36</v>
      </c>
      <c r="C435">
        <v>18</v>
      </c>
      <c r="D435">
        <v>59.9</v>
      </c>
      <c r="E435">
        <v>1078.2</v>
      </c>
      <c r="F435" s="1">
        <v>45676</v>
      </c>
      <c r="G435" s="1">
        <v>45679</v>
      </c>
      <c r="H435" t="s">
        <v>22</v>
      </c>
      <c r="I435" t="s">
        <v>39</v>
      </c>
      <c r="J435">
        <v>2</v>
      </c>
      <c r="K435" t="s">
        <v>18</v>
      </c>
      <c r="L435" t="s">
        <v>187</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521</v>
      </c>
      <c r="B436" t="s">
        <v>45</v>
      </c>
      <c r="C436">
        <v>2</v>
      </c>
      <c r="D436">
        <v>45.7</v>
      </c>
      <c r="E436">
        <v>91.4</v>
      </c>
      <c r="F436" s="1">
        <v>45676</v>
      </c>
      <c r="G436" s="1">
        <v>45677</v>
      </c>
      <c r="H436" t="s">
        <v>26</v>
      </c>
      <c r="I436" t="s">
        <v>34</v>
      </c>
      <c r="J436">
        <v>5</v>
      </c>
      <c r="K436" t="s">
        <v>18</v>
      </c>
      <c r="L436" t="s">
        <v>54</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522</v>
      </c>
      <c r="B437" t="s">
        <v>43</v>
      </c>
      <c r="C437">
        <v>4</v>
      </c>
      <c r="D437">
        <v>46.1</v>
      </c>
      <c r="E437">
        <v>184.4</v>
      </c>
      <c r="F437" s="1">
        <v>45676</v>
      </c>
      <c r="G437" s="1">
        <v>45677</v>
      </c>
      <c r="H437" t="s">
        <v>22</v>
      </c>
      <c r="I437" t="s">
        <v>17</v>
      </c>
      <c r="J437">
        <v>4</v>
      </c>
      <c r="K437" t="s">
        <v>18</v>
      </c>
      <c r="L437" t="s">
        <v>54</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523</v>
      </c>
      <c r="B438" t="s">
        <v>43</v>
      </c>
      <c r="C438">
        <v>3</v>
      </c>
      <c r="D438">
        <v>17.5</v>
      </c>
      <c r="E438">
        <v>52.5</v>
      </c>
      <c r="F438" s="1">
        <v>45676</v>
      </c>
      <c r="G438" s="1">
        <v>45677</v>
      </c>
      <c r="H438" t="s">
        <v>26</v>
      </c>
      <c r="I438" t="s">
        <v>17</v>
      </c>
      <c r="J438">
        <v>5</v>
      </c>
      <c r="K438" t="s">
        <v>18</v>
      </c>
      <c r="L438" t="s">
        <v>61</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524</v>
      </c>
      <c r="B439" t="s">
        <v>53</v>
      </c>
      <c r="C439">
        <v>3</v>
      </c>
      <c r="D439">
        <v>36.5</v>
      </c>
      <c r="E439">
        <v>109.5</v>
      </c>
      <c r="F439" s="1">
        <v>45676</v>
      </c>
      <c r="G439" s="1">
        <v>45687</v>
      </c>
      <c r="H439" t="s">
        <v>22</v>
      </c>
      <c r="I439" t="s">
        <v>39</v>
      </c>
      <c r="J439">
        <v>4</v>
      </c>
      <c r="K439" t="s">
        <v>18</v>
      </c>
      <c r="L439" t="s">
        <v>61</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525</v>
      </c>
      <c r="B440" t="s">
        <v>43</v>
      </c>
      <c r="C440">
        <v>2</v>
      </c>
      <c r="D440">
        <v>47.5</v>
      </c>
      <c r="E440">
        <v>95</v>
      </c>
      <c r="F440" s="1">
        <v>45677</v>
      </c>
      <c r="G440" s="1">
        <v>45679</v>
      </c>
      <c r="H440" t="s">
        <v>26</v>
      </c>
      <c r="I440" t="s">
        <v>34</v>
      </c>
      <c r="J440">
        <v>4</v>
      </c>
      <c r="K440" t="s">
        <v>18</v>
      </c>
      <c r="L440" t="s">
        <v>61</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526</v>
      </c>
      <c r="B441" t="s">
        <v>38</v>
      </c>
      <c r="C441">
        <v>5</v>
      </c>
      <c r="D441">
        <v>45.6</v>
      </c>
      <c r="E441">
        <v>228</v>
      </c>
      <c r="F441" s="1">
        <v>45677</v>
      </c>
      <c r="G441" s="1">
        <v>45679</v>
      </c>
      <c r="H441" t="s">
        <v>26</v>
      </c>
      <c r="I441" t="s">
        <v>17</v>
      </c>
      <c r="J441">
        <v>5</v>
      </c>
      <c r="K441" t="s">
        <v>18</v>
      </c>
      <c r="L441" t="s">
        <v>61</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527</v>
      </c>
      <c r="B442" t="s">
        <v>45</v>
      </c>
      <c r="C442">
        <v>2</v>
      </c>
      <c r="D442">
        <v>50.5</v>
      </c>
      <c r="E442">
        <v>101</v>
      </c>
      <c r="F442" s="1">
        <v>45677</v>
      </c>
      <c r="G442" s="1">
        <v>45679</v>
      </c>
      <c r="H442" t="s">
        <v>22</v>
      </c>
      <c r="I442" t="s">
        <v>17</v>
      </c>
      <c r="J442">
        <v>3</v>
      </c>
      <c r="K442" t="s">
        <v>18</v>
      </c>
      <c r="L442" t="s">
        <v>102</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528</v>
      </c>
      <c r="B443" t="s">
        <v>25</v>
      </c>
      <c r="C443">
        <v>10</v>
      </c>
      <c r="D443">
        <v>99.8</v>
      </c>
      <c r="E443">
        <v>998</v>
      </c>
      <c r="F443" s="1">
        <v>45677</v>
      </c>
      <c r="G443" s="1">
        <v>45680</v>
      </c>
      <c r="H443" t="s">
        <v>26</v>
      </c>
      <c r="I443" t="s">
        <v>39</v>
      </c>
      <c r="J443">
        <v>3</v>
      </c>
      <c r="K443" t="s">
        <v>18</v>
      </c>
      <c r="L443" t="s">
        <v>102</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529</v>
      </c>
      <c r="B444" t="s">
        <v>43</v>
      </c>
      <c r="C444">
        <v>15</v>
      </c>
      <c r="D444">
        <v>19.2</v>
      </c>
      <c r="E444">
        <v>288</v>
      </c>
      <c r="F444" s="1">
        <v>45677</v>
      </c>
      <c r="G444" s="1">
        <v>45679</v>
      </c>
      <c r="H444" t="s">
        <v>88</v>
      </c>
      <c r="I444" t="s">
        <v>69</v>
      </c>
      <c r="J444">
        <v>3</v>
      </c>
      <c r="K444" t="s">
        <v>18</v>
      </c>
      <c r="L444" t="s">
        <v>200</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530</v>
      </c>
      <c r="B445" t="s">
        <v>134</v>
      </c>
      <c r="C445">
        <v>3</v>
      </c>
      <c r="D445">
        <v>22.6</v>
      </c>
      <c r="E445">
        <v>67.800000000000011</v>
      </c>
      <c r="F445" s="1">
        <v>45677</v>
      </c>
      <c r="G445" s="1">
        <v>45678</v>
      </c>
      <c r="H445" t="s">
        <v>22</v>
      </c>
      <c r="I445" t="s">
        <v>34</v>
      </c>
      <c r="J445">
        <v>4</v>
      </c>
      <c r="K445" t="s">
        <v>18</v>
      </c>
      <c r="L445" t="s">
        <v>76</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531</v>
      </c>
      <c r="B446" t="s">
        <v>21</v>
      </c>
      <c r="C446">
        <v>15</v>
      </c>
      <c r="D446">
        <v>126.9</v>
      </c>
      <c r="E446">
        <v>1903.5</v>
      </c>
      <c r="F446" s="1">
        <v>45677</v>
      </c>
      <c r="G446" s="1">
        <v>45679</v>
      </c>
      <c r="H446" t="s">
        <v>26</v>
      </c>
      <c r="I446" t="s">
        <v>17</v>
      </c>
      <c r="J446">
        <v>5</v>
      </c>
      <c r="K446" t="s">
        <v>18</v>
      </c>
      <c r="L446" t="s">
        <v>76</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532</v>
      </c>
      <c r="B447" t="s">
        <v>25</v>
      </c>
      <c r="C447">
        <v>2</v>
      </c>
      <c r="D447">
        <v>100.3</v>
      </c>
      <c r="E447">
        <v>200.6</v>
      </c>
      <c r="F447" s="1">
        <v>45677</v>
      </c>
      <c r="G447" s="1">
        <v>45678</v>
      </c>
      <c r="H447" t="s">
        <v>26</v>
      </c>
      <c r="I447" t="s">
        <v>17</v>
      </c>
      <c r="J447">
        <v>3</v>
      </c>
      <c r="K447" t="s">
        <v>18</v>
      </c>
      <c r="L447" t="s">
        <v>76</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533</v>
      </c>
      <c r="B448" t="s">
        <v>31</v>
      </c>
      <c r="C448">
        <v>18</v>
      </c>
      <c r="D448">
        <v>24.6</v>
      </c>
      <c r="E448">
        <v>442.8</v>
      </c>
      <c r="F448" s="1">
        <v>45677</v>
      </c>
      <c r="G448" s="1">
        <v>45678</v>
      </c>
      <c r="H448" t="s">
        <v>26</v>
      </c>
      <c r="I448" t="s">
        <v>69</v>
      </c>
      <c r="J448">
        <v>4</v>
      </c>
      <c r="K448" t="s">
        <v>18</v>
      </c>
      <c r="L448" t="s">
        <v>81</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534</v>
      </c>
      <c r="B449" t="s">
        <v>38</v>
      </c>
      <c r="C449">
        <v>2</v>
      </c>
      <c r="D449">
        <v>47.3</v>
      </c>
      <c r="E449">
        <v>94.6</v>
      </c>
      <c r="F449" s="1">
        <v>45677</v>
      </c>
      <c r="G449" s="1">
        <v>45678</v>
      </c>
      <c r="H449" t="s">
        <v>22</v>
      </c>
      <c r="I449" t="s">
        <v>34</v>
      </c>
      <c r="J449">
        <v>5</v>
      </c>
      <c r="K449" t="s">
        <v>18</v>
      </c>
      <c r="L449" t="s">
        <v>81</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535</v>
      </c>
      <c r="B450" t="s">
        <v>38</v>
      </c>
      <c r="C450">
        <v>7</v>
      </c>
      <c r="D450">
        <v>40.799999999999997</v>
      </c>
      <c r="E450">
        <v>285.59999999999997</v>
      </c>
      <c r="F450" s="1">
        <v>45677</v>
      </c>
      <c r="G450" s="1">
        <v>45680</v>
      </c>
      <c r="H450" t="s">
        <v>26</v>
      </c>
      <c r="I450" t="s">
        <v>39</v>
      </c>
      <c r="J450">
        <v>5</v>
      </c>
      <c r="K450" t="s">
        <v>18</v>
      </c>
      <c r="L450" t="s">
        <v>114</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536</v>
      </c>
      <c r="B451" t="s">
        <v>43</v>
      </c>
      <c r="C451">
        <v>8</v>
      </c>
      <c r="D451">
        <v>49.2</v>
      </c>
      <c r="E451">
        <v>393.6</v>
      </c>
      <c r="F451" s="1">
        <v>45677</v>
      </c>
      <c r="G451" s="1">
        <v>45679</v>
      </c>
      <c r="H451" t="s">
        <v>26</v>
      </c>
      <c r="I451" t="s">
        <v>17</v>
      </c>
      <c r="J451">
        <v>4</v>
      </c>
      <c r="K451" t="s">
        <v>18</v>
      </c>
      <c r="L451" t="s">
        <v>23</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537</v>
      </c>
      <c r="B452" t="s">
        <v>43</v>
      </c>
      <c r="C452">
        <v>1</v>
      </c>
      <c r="D452">
        <v>28.5</v>
      </c>
      <c r="E452">
        <v>28.5</v>
      </c>
      <c r="F452" s="1">
        <v>45677</v>
      </c>
      <c r="G452" s="1">
        <v>45679</v>
      </c>
      <c r="I452" t="s">
        <v>39</v>
      </c>
      <c r="J452">
        <v>3</v>
      </c>
      <c r="K452" t="s">
        <v>18</v>
      </c>
      <c r="L452" t="s">
        <v>32</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538</v>
      </c>
      <c r="B453" t="s">
        <v>145</v>
      </c>
      <c r="C453">
        <v>2</v>
      </c>
      <c r="D453">
        <v>36.799999999999997</v>
      </c>
      <c r="E453">
        <v>73.599999999999994</v>
      </c>
      <c r="F453" s="1">
        <v>45677</v>
      </c>
      <c r="G453" s="1">
        <v>45683</v>
      </c>
      <c r="H453" t="s">
        <v>26</v>
      </c>
      <c r="I453" t="s">
        <v>17</v>
      </c>
      <c r="J453">
        <v>5</v>
      </c>
      <c r="K453" t="s">
        <v>18</v>
      </c>
      <c r="L453" t="s">
        <v>32</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539</v>
      </c>
      <c r="B454" t="s">
        <v>41</v>
      </c>
      <c r="C454">
        <v>3</v>
      </c>
      <c r="D454">
        <v>33.5</v>
      </c>
      <c r="E454">
        <v>100.5</v>
      </c>
      <c r="F454" s="1">
        <v>45677</v>
      </c>
      <c r="G454" s="1">
        <v>45678</v>
      </c>
      <c r="H454" t="s">
        <v>26</v>
      </c>
      <c r="I454" t="s">
        <v>17</v>
      </c>
      <c r="J454">
        <v>3</v>
      </c>
      <c r="K454" t="s">
        <v>18</v>
      </c>
      <c r="L454" t="s">
        <v>32</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540</v>
      </c>
      <c r="B455" t="s">
        <v>38</v>
      </c>
      <c r="C455">
        <v>6</v>
      </c>
      <c r="D455">
        <v>62.5</v>
      </c>
      <c r="E455">
        <v>375</v>
      </c>
      <c r="F455" s="1">
        <v>45677</v>
      </c>
      <c r="G455" s="1">
        <v>45679</v>
      </c>
      <c r="H455" t="s">
        <v>26</v>
      </c>
      <c r="I455" t="s">
        <v>17</v>
      </c>
      <c r="J455">
        <v>4</v>
      </c>
      <c r="K455" t="s">
        <v>18</v>
      </c>
      <c r="L455" t="s">
        <v>32</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541</v>
      </c>
      <c r="B456" t="s">
        <v>43</v>
      </c>
      <c r="C456">
        <v>40</v>
      </c>
      <c r="D456">
        <v>47.9</v>
      </c>
      <c r="E456">
        <v>1916</v>
      </c>
      <c r="F456" s="1">
        <v>45677</v>
      </c>
      <c r="G456" s="1">
        <v>45678</v>
      </c>
      <c r="H456" t="s">
        <v>26</v>
      </c>
      <c r="I456" t="s">
        <v>50</v>
      </c>
      <c r="J456">
        <v>4</v>
      </c>
      <c r="K456" t="s">
        <v>18</v>
      </c>
      <c r="L456" t="s">
        <v>32</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542</v>
      </c>
      <c r="B457" t="s">
        <v>38</v>
      </c>
      <c r="C457">
        <v>6</v>
      </c>
      <c r="D457">
        <v>92.9</v>
      </c>
      <c r="E457">
        <v>557.40000000000009</v>
      </c>
      <c r="F457" s="1">
        <v>45677</v>
      </c>
      <c r="G457" s="1">
        <v>45688</v>
      </c>
      <c r="H457" t="s">
        <v>26</v>
      </c>
      <c r="I457" t="s">
        <v>17</v>
      </c>
      <c r="J457">
        <v>2</v>
      </c>
      <c r="K457" t="s">
        <v>18</v>
      </c>
      <c r="L457" t="s">
        <v>32</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543</v>
      </c>
      <c r="B458" t="s">
        <v>68</v>
      </c>
      <c r="C458">
        <v>3</v>
      </c>
      <c r="D458">
        <v>44.1</v>
      </c>
      <c r="E458">
        <v>132.30000000000001</v>
      </c>
      <c r="F458" s="1">
        <v>45677</v>
      </c>
      <c r="G458" s="1">
        <v>45677</v>
      </c>
      <c r="H458" t="s">
        <v>26</v>
      </c>
      <c r="I458" t="s">
        <v>34</v>
      </c>
      <c r="J458">
        <v>3</v>
      </c>
      <c r="K458" t="s">
        <v>18</v>
      </c>
      <c r="L458" t="s">
        <v>544</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545</v>
      </c>
      <c r="B459" t="s">
        <v>16</v>
      </c>
      <c r="C459">
        <v>1</v>
      </c>
      <c r="D459">
        <v>11.4</v>
      </c>
      <c r="E459">
        <v>11.4</v>
      </c>
      <c r="F459" s="1">
        <v>45678</v>
      </c>
      <c r="G459" s="1">
        <v>45680</v>
      </c>
      <c r="H459" t="s">
        <v>26</v>
      </c>
      <c r="I459" t="s">
        <v>39</v>
      </c>
      <c r="J459">
        <v>4</v>
      </c>
      <c r="K459" t="s">
        <v>18</v>
      </c>
      <c r="L459" t="s">
        <v>51</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546</v>
      </c>
      <c r="B460" t="s">
        <v>38</v>
      </c>
      <c r="C460">
        <v>1</v>
      </c>
      <c r="D460">
        <v>83.7</v>
      </c>
      <c r="E460">
        <v>83.7</v>
      </c>
      <c r="F460" s="1">
        <v>45678</v>
      </c>
      <c r="G460" s="1">
        <v>45680</v>
      </c>
      <c r="H460" t="s">
        <v>26</v>
      </c>
      <c r="I460" t="s">
        <v>17</v>
      </c>
      <c r="J460">
        <v>5</v>
      </c>
      <c r="K460" t="s">
        <v>18</v>
      </c>
      <c r="L460" t="s">
        <v>54</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547</v>
      </c>
      <c r="B461" t="s">
        <v>53</v>
      </c>
      <c r="C461">
        <v>2</v>
      </c>
      <c r="D461">
        <v>23.2</v>
      </c>
      <c r="E461">
        <v>46.4</v>
      </c>
      <c r="F461" s="1">
        <v>45678</v>
      </c>
      <c r="G461" s="1">
        <v>45679</v>
      </c>
      <c r="H461" t="s">
        <v>22</v>
      </c>
      <c r="I461" t="s">
        <v>39</v>
      </c>
      <c r="J461">
        <v>4</v>
      </c>
      <c r="K461" t="s">
        <v>18</v>
      </c>
      <c r="L461" t="s">
        <v>61</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548</v>
      </c>
      <c r="B462" t="s">
        <v>25</v>
      </c>
      <c r="C462">
        <v>1</v>
      </c>
      <c r="D462">
        <v>162.1</v>
      </c>
      <c r="E462">
        <v>162.1</v>
      </c>
      <c r="F462" s="1">
        <v>45678</v>
      </c>
      <c r="G462" s="1">
        <v>45681</v>
      </c>
      <c r="H462" t="s">
        <v>26</v>
      </c>
      <c r="I462" t="s">
        <v>17</v>
      </c>
      <c r="J462">
        <v>5</v>
      </c>
      <c r="K462" t="s">
        <v>18</v>
      </c>
      <c r="L462" t="s">
        <v>71</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549</v>
      </c>
      <c r="B463" t="s">
        <v>38</v>
      </c>
      <c r="C463">
        <v>4</v>
      </c>
      <c r="D463">
        <v>49.2</v>
      </c>
      <c r="E463">
        <v>196.8</v>
      </c>
      <c r="F463" s="1">
        <v>45678</v>
      </c>
      <c r="G463" s="1">
        <v>45682</v>
      </c>
      <c r="H463" t="s">
        <v>22</v>
      </c>
      <c r="I463" t="s">
        <v>34</v>
      </c>
      <c r="J463">
        <v>4</v>
      </c>
      <c r="K463" t="s">
        <v>18</v>
      </c>
      <c r="L463" t="s">
        <v>71</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550</v>
      </c>
      <c r="B464" t="s">
        <v>21</v>
      </c>
      <c r="C464">
        <v>2</v>
      </c>
      <c r="D464">
        <v>61</v>
      </c>
      <c r="E464">
        <v>122</v>
      </c>
      <c r="F464" s="1">
        <v>45678</v>
      </c>
      <c r="G464" s="1">
        <v>45679</v>
      </c>
      <c r="H464" t="s">
        <v>22</v>
      </c>
      <c r="I464" t="s">
        <v>50</v>
      </c>
      <c r="J464">
        <v>4</v>
      </c>
      <c r="K464" t="s">
        <v>18</v>
      </c>
      <c r="L464" t="s">
        <v>73</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551</v>
      </c>
      <c r="B465" t="s">
        <v>25</v>
      </c>
      <c r="C465">
        <v>10</v>
      </c>
      <c r="D465">
        <v>53.1</v>
      </c>
      <c r="E465">
        <v>531</v>
      </c>
      <c r="F465" s="1">
        <v>45678</v>
      </c>
      <c r="G465" s="1">
        <v>45680</v>
      </c>
      <c r="H465" t="s">
        <v>22</v>
      </c>
      <c r="I465" t="s">
        <v>17</v>
      </c>
      <c r="J465">
        <v>4</v>
      </c>
      <c r="K465" t="s">
        <v>18</v>
      </c>
      <c r="L465" t="s">
        <v>76</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552</v>
      </c>
      <c r="B466" t="s">
        <v>31</v>
      </c>
      <c r="C466">
        <v>2</v>
      </c>
      <c r="D466">
        <v>22.4</v>
      </c>
      <c r="E466">
        <v>44.8</v>
      </c>
      <c r="F466" s="1">
        <v>45678</v>
      </c>
      <c r="G466" s="1">
        <v>45680</v>
      </c>
      <c r="I466" t="s">
        <v>34</v>
      </c>
      <c r="J466">
        <v>5</v>
      </c>
      <c r="K466" t="s">
        <v>18</v>
      </c>
      <c r="L466" t="s">
        <v>81</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553</v>
      </c>
      <c r="B467" t="s">
        <v>21</v>
      </c>
      <c r="C467">
        <v>5</v>
      </c>
      <c r="D467">
        <v>75.3</v>
      </c>
      <c r="E467">
        <v>376.5</v>
      </c>
      <c r="F467" s="1">
        <v>45678</v>
      </c>
      <c r="G467" s="1">
        <v>45679</v>
      </c>
      <c r="H467" t="s">
        <v>22</v>
      </c>
      <c r="I467" t="s">
        <v>17</v>
      </c>
      <c r="J467">
        <v>4</v>
      </c>
      <c r="K467" t="s">
        <v>18</v>
      </c>
      <c r="L467" t="s">
        <v>114</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554</v>
      </c>
      <c r="B468" t="s">
        <v>38</v>
      </c>
      <c r="C468">
        <v>1</v>
      </c>
      <c r="D468">
        <v>48.5</v>
      </c>
      <c r="E468">
        <v>48.5</v>
      </c>
      <c r="F468" s="1">
        <v>45678</v>
      </c>
      <c r="G468" s="1">
        <v>45679</v>
      </c>
      <c r="H468" t="s">
        <v>26</v>
      </c>
      <c r="I468" t="s">
        <v>17</v>
      </c>
      <c r="J468">
        <v>3</v>
      </c>
      <c r="K468" t="s">
        <v>18</v>
      </c>
      <c r="L468" t="s">
        <v>114</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555</v>
      </c>
      <c r="B469" t="s">
        <v>38</v>
      </c>
      <c r="C469">
        <v>1</v>
      </c>
      <c r="D469">
        <v>42.6</v>
      </c>
      <c r="E469">
        <v>42.6</v>
      </c>
      <c r="F469" s="1">
        <v>45678</v>
      </c>
      <c r="G469" s="1">
        <v>45682</v>
      </c>
      <c r="H469" t="s">
        <v>26</v>
      </c>
      <c r="I469" t="s">
        <v>50</v>
      </c>
      <c r="J469">
        <v>4</v>
      </c>
      <c r="K469" t="s">
        <v>18</v>
      </c>
      <c r="L469" t="s">
        <v>23</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556</v>
      </c>
      <c r="B470" t="s">
        <v>36</v>
      </c>
      <c r="C470">
        <v>5</v>
      </c>
      <c r="D470">
        <v>49</v>
      </c>
      <c r="E470">
        <v>245</v>
      </c>
      <c r="F470" s="1">
        <v>45678</v>
      </c>
      <c r="G470" s="1">
        <v>45679</v>
      </c>
      <c r="H470" t="s">
        <v>22</v>
      </c>
      <c r="I470" t="s">
        <v>17</v>
      </c>
      <c r="J470">
        <v>4</v>
      </c>
      <c r="K470" t="s">
        <v>18</v>
      </c>
      <c r="L470" t="s">
        <v>146</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557</v>
      </c>
      <c r="B471" t="s">
        <v>43</v>
      </c>
      <c r="C471">
        <v>3</v>
      </c>
      <c r="D471">
        <v>31.3</v>
      </c>
      <c r="E471">
        <v>93.9</v>
      </c>
      <c r="F471" s="1">
        <v>45678</v>
      </c>
      <c r="G471" s="1">
        <v>45679</v>
      </c>
      <c r="H471" t="s">
        <v>22</v>
      </c>
      <c r="I471" t="s">
        <v>39</v>
      </c>
      <c r="J471">
        <v>3</v>
      </c>
      <c r="K471" t="s">
        <v>18</v>
      </c>
      <c r="L471" t="s">
        <v>32</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558</v>
      </c>
      <c r="B472" t="s">
        <v>25</v>
      </c>
      <c r="C472">
        <v>2</v>
      </c>
      <c r="D472">
        <v>85.4</v>
      </c>
      <c r="E472">
        <v>170.8</v>
      </c>
      <c r="F472" s="1">
        <v>45678</v>
      </c>
      <c r="G472" s="1">
        <v>45679</v>
      </c>
      <c r="H472" t="s">
        <v>26</v>
      </c>
      <c r="I472" t="s">
        <v>39</v>
      </c>
      <c r="J472">
        <v>4</v>
      </c>
      <c r="K472" t="s">
        <v>18</v>
      </c>
      <c r="L472" t="s">
        <v>32</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559</v>
      </c>
      <c r="B473" t="s">
        <v>43</v>
      </c>
      <c r="C473">
        <v>4</v>
      </c>
      <c r="D473">
        <v>40</v>
      </c>
      <c r="E473">
        <v>160</v>
      </c>
      <c r="F473" s="1">
        <v>45678</v>
      </c>
      <c r="G473" s="1">
        <v>45679</v>
      </c>
      <c r="H473" t="s">
        <v>88</v>
      </c>
      <c r="I473" t="s">
        <v>17</v>
      </c>
      <c r="J473">
        <v>5</v>
      </c>
      <c r="K473" t="s">
        <v>18</v>
      </c>
      <c r="L473" t="s">
        <v>32</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560</v>
      </c>
      <c r="B474" t="s">
        <v>36</v>
      </c>
      <c r="C474">
        <v>2</v>
      </c>
      <c r="D474">
        <v>38.5</v>
      </c>
      <c r="E474">
        <v>77</v>
      </c>
      <c r="F474" s="1">
        <v>45678</v>
      </c>
      <c r="G474" s="1">
        <v>45681</v>
      </c>
      <c r="H474" t="s">
        <v>22</v>
      </c>
      <c r="I474" t="s">
        <v>34</v>
      </c>
      <c r="J474">
        <v>5</v>
      </c>
      <c r="K474" t="s">
        <v>18</v>
      </c>
      <c r="L474" t="s">
        <v>32</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561</v>
      </c>
      <c r="B475" t="s">
        <v>25</v>
      </c>
      <c r="C475">
        <v>2</v>
      </c>
      <c r="D475">
        <v>57.8</v>
      </c>
      <c r="E475">
        <v>115.6</v>
      </c>
      <c r="F475" s="1">
        <v>45678</v>
      </c>
      <c r="G475" s="1">
        <v>45679</v>
      </c>
      <c r="I475" t="s">
        <v>17</v>
      </c>
      <c r="J475">
        <v>4</v>
      </c>
      <c r="K475" t="s">
        <v>18</v>
      </c>
      <c r="L475" t="s">
        <v>32</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562</v>
      </c>
      <c r="B476" t="s">
        <v>43</v>
      </c>
      <c r="C476">
        <v>1</v>
      </c>
      <c r="D476">
        <v>19.2</v>
      </c>
      <c r="E476">
        <v>19.2</v>
      </c>
      <c r="F476" s="1">
        <v>45678</v>
      </c>
      <c r="G476" s="1">
        <v>45679</v>
      </c>
      <c r="H476" t="s">
        <v>26</v>
      </c>
      <c r="I476" t="s">
        <v>17</v>
      </c>
      <c r="J476">
        <v>2</v>
      </c>
      <c r="K476" t="s">
        <v>18</v>
      </c>
      <c r="L476" t="s">
        <v>32</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563</v>
      </c>
      <c r="B477" t="s">
        <v>38</v>
      </c>
      <c r="C477">
        <v>6</v>
      </c>
      <c r="D477">
        <v>114.8</v>
      </c>
      <c r="E477">
        <v>688.8</v>
      </c>
      <c r="F477" s="1">
        <v>45678</v>
      </c>
      <c r="G477" s="1">
        <v>45681</v>
      </c>
      <c r="H477" t="s">
        <v>22</v>
      </c>
      <c r="I477" t="s">
        <v>34</v>
      </c>
      <c r="J477">
        <v>3</v>
      </c>
      <c r="K477" t="s">
        <v>18</v>
      </c>
      <c r="L477" t="s">
        <v>32</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564</v>
      </c>
      <c r="B478" t="s">
        <v>53</v>
      </c>
      <c r="C478">
        <v>7</v>
      </c>
      <c r="D478">
        <v>48.4</v>
      </c>
      <c r="E478">
        <v>338.8</v>
      </c>
      <c r="F478" s="1">
        <v>45678</v>
      </c>
      <c r="G478" s="1">
        <v>45681</v>
      </c>
      <c r="H478" t="s">
        <v>26</v>
      </c>
      <c r="I478" t="s">
        <v>50</v>
      </c>
      <c r="J478">
        <v>3</v>
      </c>
      <c r="K478" t="s">
        <v>18</v>
      </c>
      <c r="L478" t="s">
        <v>32</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565</v>
      </c>
      <c r="B479" t="s">
        <v>45</v>
      </c>
      <c r="C479">
        <v>5</v>
      </c>
      <c r="D479">
        <v>73.2</v>
      </c>
      <c r="E479">
        <v>366</v>
      </c>
      <c r="F479" s="1">
        <v>45678</v>
      </c>
      <c r="G479" s="1">
        <v>45679</v>
      </c>
      <c r="H479" t="s">
        <v>26</v>
      </c>
      <c r="I479" t="s">
        <v>34</v>
      </c>
      <c r="J479">
        <v>2</v>
      </c>
      <c r="K479" t="s">
        <v>18</v>
      </c>
      <c r="L479" t="s">
        <v>32</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566</v>
      </c>
      <c r="B480" t="s">
        <v>122</v>
      </c>
      <c r="C480">
        <v>2</v>
      </c>
      <c r="D480">
        <v>48.6</v>
      </c>
      <c r="E480">
        <v>97.2</v>
      </c>
      <c r="F480" s="1">
        <v>45678</v>
      </c>
      <c r="G480" s="1">
        <v>45682</v>
      </c>
      <c r="H480" t="s">
        <v>26</v>
      </c>
      <c r="I480" t="s">
        <v>50</v>
      </c>
      <c r="J480">
        <v>4</v>
      </c>
      <c r="K480" t="s">
        <v>18</v>
      </c>
      <c r="L480" t="s">
        <v>32</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567</v>
      </c>
      <c r="B481" t="s">
        <v>16</v>
      </c>
      <c r="C481">
        <v>6</v>
      </c>
      <c r="D481">
        <v>48.7</v>
      </c>
      <c r="E481">
        <v>292.20000000000005</v>
      </c>
      <c r="F481" s="1">
        <v>45678</v>
      </c>
      <c r="G481" s="1">
        <v>45679</v>
      </c>
      <c r="H481" t="s">
        <v>22</v>
      </c>
      <c r="I481" t="s">
        <v>17</v>
      </c>
      <c r="J481">
        <v>4</v>
      </c>
      <c r="K481" t="s">
        <v>18</v>
      </c>
      <c r="L481" t="s">
        <v>32</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568</v>
      </c>
      <c r="B482" t="s">
        <v>31</v>
      </c>
      <c r="C482">
        <v>2</v>
      </c>
      <c r="D482">
        <v>32.200000000000003</v>
      </c>
      <c r="E482">
        <v>64.400000000000006</v>
      </c>
      <c r="F482" s="1">
        <v>45678</v>
      </c>
      <c r="G482" s="1">
        <v>45681</v>
      </c>
      <c r="H482" t="s">
        <v>22</v>
      </c>
      <c r="I482" t="s">
        <v>39</v>
      </c>
      <c r="J482">
        <v>5</v>
      </c>
      <c r="K482" t="s">
        <v>18</v>
      </c>
      <c r="L482" t="s">
        <v>32</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569</v>
      </c>
      <c r="B483" t="s">
        <v>122</v>
      </c>
      <c r="C483">
        <v>8</v>
      </c>
      <c r="D483">
        <v>25.8</v>
      </c>
      <c r="E483">
        <v>206.4</v>
      </c>
      <c r="F483" s="1">
        <v>45678</v>
      </c>
      <c r="G483" s="1">
        <v>45679</v>
      </c>
      <c r="H483" t="s">
        <v>22</v>
      </c>
      <c r="I483" t="s">
        <v>17</v>
      </c>
      <c r="J483">
        <v>4</v>
      </c>
      <c r="K483" t="s">
        <v>18</v>
      </c>
      <c r="L483" t="s">
        <v>363</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570</v>
      </c>
      <c r="B484" t="s">
        <v>38</v>
      </c>
      <c r="C484">
        <v>2</v>
      </c>
      <c r="D484">
        <v>94.8</v>
      </c>
      <c r="E484">
        <v>189.6</v>
      </c>
      <c r="F484" s="1">
        <v>45679</v>
      </c>
      <c r="G484" s="1">
        <v>45682</v>
      </c>
      <c r="H484" t="s">
        <v>26</v>
      </c>
      <c r="I484" t="s">
        <v>34</v>
      </c>
      <c r="J484">
        <v>3</v>
      </c>
      <c r="K484" t="s">
        <v>18</v>
      </c>
      <c r="L484" t="s">
        <v>187</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571</v>
      </c>
      <c r="B485" t="s">
        <v>122</v>
      </c>
      <c r="C485">
        <v>25</v>
      </c>
      <c r="D485">
        <v>56.8</v>
      </c>
      <c r="E485">
        <v>1420</v>
      </c>
      <c r="F485" s="1">
        <v>45679</v>
      </c>
      <c r="G485" s="1">
        <v>45682</v>
      </c>
      <c r="H485" t="s">
        <v>22</v>
      </c>
      <c r="I485" t="s">
        <v>17</v>
      </c>
      <c r="J485">
        <v>4</v>
      </c>
      <c r="K485" t="s">
        <v>18</v>
      </c>
      <c r="L485" t="s">
        <v>187</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572</v>
      </c>
      <c r="B486" t="s">
        <v>43</v>
      </c>
      <c r="C486">
        <v>16</v>
      </c>
      <c r="D486">
        <v>18.3</v>
      </c>
      <c r="E486">
        <v>292.8</v>
      </c>
      <c r="F486" s="1">
        <v>45679</v>
      </c>
      <c r="G486" s="1">
        <v>45686</v>
      </c>
      <c r="H486" t="s">
        <v>26</v>
      </c>
      <c r="I486" t="s">
        <v>39</v>
      </c>
      <c r="J486">
        <v>5</v>
      </c>
      <c r="K486" t="s">
        <v>18</v>
      </c>
      <c r="L486" t="s">
        <v>157</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573</v>
      </c>
      <c r="B487" t="s">
        <v>16</v>
      </c>
      <c r="C487">
        <v>3</v>
      </c>
      <c r="D487">
        <v>16.8</v>
      </c>
      <c r="E487">
        <v>50.400000000000006</v>
      </c>
      <c r="F487" s="1">
        <v>45679</v>
      </c>
      <c r="G487" s="1">
        <v>45684</v>
      </c>
      <c r="H487" t="s">
        <v>26</v>
      </c>
      <c r="I487" t="s">
        <v>39</v>
      </c>
      <c r="J487">
        <v>5</v>
      </c>
      <c r="K487" t="s">
        <v>18</v>
      </c>
      <c r="L487" t="s">
        <v>61</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574</v>
      </c>
      <c r="B488" t="s">
        <v>36</v>
      </c>
      <c r="C488">
        <v>11</v>
      </c>
      <c r="D488">
        <v>35.799999999999997</v>
      </c>
      <c r="E488">
        <v>393.79999999999995</v>
      </c>
      <c r="F488" s="1">
        <v>45679</v>
      </c>
      <c r="G488" s="1">
        <v>45680</v>
      </c>
      <c r="H488" t="s">
        <v>22</v>
      </c>
      <c r="I488" t="s">
        <v>34</v>
      </c>
      <c r="J488">
        <v>4</v>
      </c>
      <c r="K488" t="s">
        <v>18</v>
      </c>
      <c r="L488" t="s">
        <v>102</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575</v>
      </c>
      <c r="B489" t="s">
        <v>145</v>
      </c>
      <c r="C489">
        <v>1</v>
      </c>
      <c r="D489">
        <v>64.900000000000006</v>
      </c>
      <c r="E489">
        <v>64.900000000000006</v>
      </c>
      <c r="F489" s="1">
        <v>45679</v>
      </c>
      <c r="G489" s="1">
        <v>45680</v>
      </c>
      <c r="H489" t="s">
        <v>22</v>
      </c>
      <c r="I489" t="s">
        <v>17</v>
      </c>
      <c r="J489">
        <v>3</v>
      </c>
      <c r="K489" t="s">
        <v>18</v>
      </c>
      <c r="L489" t="s">
        <v>102</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576</v>
      </c>
      <c r="B490" t="s">
        <v>145</v>
      </c>
      <c r="C490">
        <v>1</v>
      </c>
      <c r="D490">
        <v>28.5</v>
      </c>
      <c r="E490">
        <v>28.5</v>
      </c>
      <c r="F490" s="1">
        <v>45679</v>
      </c>
      <c r="G490" s="1">
        <v>45681</v>
      </c>
      <c r="I490" t="s">
        <v>34</v>
      </c>
      <c r="J490">
        <v>4</v>
      </c>
      <c r="K490" t="s">
        <v>18</v>
      </c>
      <c r="L490" t="s">
        <v>71</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577</v>
      </c>
      <c r="B491" t="s">
        <v>145</v>
      </c>
      <c r="C491">
        <v>2</v>
      </c>
      <c r="D491">
        <v>103.5</v>
      </c>
      <c r="E491">
        <v>207</v>
      </c>
      <c r="F491" s="1">
        <v>45679</v>
      </c>
      <c r="G491" s="1">
        <v>45681</v>
      </c>
      <c r="H491" t="s">
        <v>26</v>
      </c>
      <c r="I491" t="s">
        <v>34</v>
      </c>
      <c r="J491">
        <v>4</v>
      </c>
      <c r="K491" t="s">
        <v>18</v>
      </c>
      <c r="L491" t="s">
        <v>73</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578</v>
      </c>
      <c r="B492" t="s">
        <v>31</v>
      </c>
      <c r="C492">
        <v>2</v>
      </c>
      <c r="D492">
        <v>41.2</v>
      </c>
      <c r="E492">
        <v>82.4</v>
      </c>
      <c r="F492" s="1">
        <v>45679</v>
      </c>
      <c r="G492" s="1">
        <v>45680</v>
      </c>
      <c r="H492" t="s">
        <v>26</v>
      </c>
      <c r="I492" t="s">
        <v>34</v>
      </c>
      <c r="J492">
        <v>4</v>
      </c>
      <c r="K492" t="s">
        <v>18</v>
      </c>
      <c r="L492" t="s">
        <v>73</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579</v>
      </c>
      <c r="B493" t="s">
        <v>45</v>
      </c>
      <c r="C493">
        <v>1</v>
      </c>
      <c r="D493">
        <v>37.799999999999997</v>
      </c>
      <c r="E493">
        <v>37.799999999999997</v>
      </c>
      <c r="F493" s="1">
        <v>45679</v>
      </c>
      <c r="G493" s="1">
        <v>45681</v>
      </c>
      <c r="H493" t="s">
        <v>26</v>
      </c>
      <c r="I493" t="s">
        <v>50</v>
      </c>
      <c r="J493">
        <v>1</v>
      </c>
      <c r="K493" t="s">
        <v>18</v>
      </c>
      <c r="L493" t="s">
        <v>76</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580</v>
      </c>
      <c r="B494" t="s">
        <v>43</v>
      </c>
      <c r="C494">
        <v>2</v>
      </c>
      <c r="D494">
        <v>42.6</v>
      </c>
      <c r="E494">
        <v>85.2</v>
      </c>
      <c r="F494" s="1">
        <v>45679</v>
      </c>
      <c r="G494" s="1">
        <v>45681</v>
      </c>
      <c r="H494" t="s">
        <v>26</v>
      </c>
      <c r="I494" t="s">
        <v>69</v>
      </c>
      <c r="J494">
        <v>4</v>
      </c>
      <c r="K494" t="s">
        <v>18</v>
      </c>
      <c r="L494" t="s">
        <v>76</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581</v>
      </c>
      <c r="B495" t="s">
        <v>43</v>
      </c>
      <c r="C495">
        <v>10</v>
      </c>
      <c r="D495">
        <v>15.2</v>
      </c>
      <c r="E495">
        <v>152</v>
      </c>
      <c r="F495" s="1">
        <v>45679</v>
      </c>
      <c r="G495" s="1">
        <v>45681</v>
      </c>
      <c r="H495" t="s">
        <v>26</v>
      </c>
      <c r="I495" t="s">
        <v>39</v>
      </c>
      <c r="J495">
        <v>4</v>
      </c>
      <c r="K495" t="s">
        <v>18</v>
      </c>
      <c r="L495" t="s">
        <v>76</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582</v>
      </c>
      <c r="B496" t="s">
        <v>41</v>
      </c>
      <c r="C496">
        <v>4</v>
      </c>
      <c r="D496">
        <v>83.4</v>
      </c>
      <c r="E496">
        <v>333.6</v>
      </c>
      <c r="F496" s="1">
        <v>45679</v>
      </c>
      <c r="G496" s="1">
        <v>45680</v>
      </c>
      <c r="H496" t="s">
        <v>26</v>
      </c>
      <c r="I496" t="s">
        <v>39</v>
      </c>
      <c r="J496">
        <v>3</v>
      </c>
      <c r="K496" t="s">
        <v>18</v>
      </c>
      <c r="L496" t="s">
        <v>107</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583</v>
      </c>
      <c r="B497" t="s">
        <v>170</v>
      </c>
      <c r="C497">
        <v>2</v>
      </c>
      <c r="D497">
        <v>27.7</v>
      </c>
      <c r="E497">
        <v>55.4</v>
      </c>
      <c r="F497" s="1">
        <v>45679</v>
      </c>
      <c r="G497" s="1">
        <v>45680</v>
      </c>
      <c r="H497" t="s">
        <v>26</v>
      </c>
      <c r="I497" t="s">
        <v>17</v>
      </c>
      <c r="J497">
        <v>3</v>
      </c>
      <c r="K497" t="s">
        <v>18</v>
      </c>
      <c r="L497" t="s">
        <v>81</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584</v>
      </c>
      <c r="B498" t="s">
        <v>53</v>
      </c>
      <c r="C498">
        <v>12</v>
      </c>
      <c r="D498">
        <v>20.8</v>
      </c>
      <c r="E498">
        <v>249.60000000000002</v>
      </c>
      <c r="F498" s="1">
        <v>45679</v>
      </c>
      <c r="G498" s="1">
        <v>45680</v>
      </c>
      <c r="H498" t="s">
        <v>22</v>
      </c>
      <c r="I498" t="s">
        <v>50</v>
      </c>
      <c r="J498">
        <v>4</v>
      </c>
      <c r="K498" t="s">
        <v>18</v>
      </c>
      <c r="L498" t="s">
        <v>81</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585</v>
      </c>
      <c r="B499" t="s">
        <v>66</v>
      </c>
      <c r="C499">
        <v>2</v>
      </c>
      <c r="D499">
        <v>72.7</v>
      </c>
      <c r="E499">
        <v>145.4</v>
      </c>
      <c r="F499" s="1">
        <v>45679</v>
      </c>
      <c r="G499" s="1">
        <v>45683</v>
      </c>
      <c r="H499" t="s">
        <v>26</v>
      </c>
      <c r="I499" t="s">
        <v>69</v>
      </c>
      <c r="J499">
        <v>5</v>
      </c>
      <c r="K499" t="s">
        <v>18</v>
      </c>
      <c r="L499" t="s">
        <v>586</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587</v>
      </c>
      <c r="B500" t="s">
        <v>53</v>
      </c>
      <c r="C500">
        <v>4</v>
      </c>
      <c r="D500">
        <v>38.6</v>
      </c>
      <c r="E500">
        <v>154.4</v>
      </c>
      <c r="F500" s="1">
        <v>45679</v>
      </c>
      <c r="G500" s="1">
        <v>45680</v>
      </c>
      <c r="H500" t="s">
        <v>22</v>
      </c>
      <c r="I500" t="s">
        <v>17</v>
      </c>
      <c r="J500">
        <v>5</v>
      </c>
      <c r="K500" t="s">
        <v>18</v>
      </c>
      <c r="L500" t="s">
        <v>146</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588</v>
      </c>
      <c r="B501" t="s">
        <v>43</v>
      </c>
      <c r="C501">
        <v>7</v>
      </c>
      <c r="D501">
        <v>33.1</v>
      </c>
      <c r="E501">
        <v>231.70000000000002</v>
      </c>
      <c r="F501" s="1">
        <v>45679</v>
      </c>
      <c r="G501" s="1">
        <v>45680</v>
      </c>
      <c r="H501" t="s">
        <v>88</v>
      </c>
      <c r="I501" t="s">
        <v>69</v>
      </c>
      <c r="J501">
        <v>1</v>
      </c>
      <c r="K501" t="s">
        <v>18</v>
      </c>
      <c r="L501" t="s">
        <v>32</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589</v>
      </c>
      <c r="B502" t="s">
        <v>53</v>
      </c>
      <c r="C502">
        <v>2</v>
      </c>
      <c r="D502">
        <v>30.5</v>
      </c>
      <c r="E502">
        <v>61</v>
      </c>
      <c r="F502" s="1">
        <v>45679</v>
      </c>
      <c r="G502" s="1">
        <v>45679</v>
      </c>
      <c r="I502" t="s">
        <v>34</v>
      </c>
      <c r="J502">
        <v>3</v>
      </c>
      <c r="K502" t="s">
        <v>18</v>
      </c>
      <c r="L502" t="s">
        <v>32</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590</v>
      </c>
      <c r="B503" t="s">
        <v>45</v>
      </c>
      <c r="C503">
        <v>2</v>
      </c>
      <c r="D503">
        <v>69.599999999999994</v>
      </c>
      <c r="E503">
        <v>139.19999999999999</v>
      </c>
      <c r="F503" s="1">
        <v>45679</v>
      </c>
      <c r="G503" s="1">
        <v>45680</v>
      </c>
      <c r="H503" t="s">
        <v>22</v>
      </c>
      <c r="I503" t="s">
        <v>17</v>
      </c>
      <c r="J503">
        <v>3</v>
      </c>
      <c r="K503" t="s">
        <v>18</v>
      </c>
      <c r="L503" t="s">
        <v>32</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591</v>
      </c>
      <c r="B504" t="s">
        <v>66</v>
      </c>
      <c r="C504">
        <v>1</v>
      </c>
      <c r="D504">
        <v>42.4</v>
      </c>
      <c r="E504">
        <v>42.4</v>
      </c>
      <c r="F504" s="1">
        <v>45679</v>
      </c>
      <c r="G504" s="1">
        <v>45683</v>
      </c>
      <c r="H504" t="s">
        <v>26</v>
      </c>
      <c r="I504" t="s">
        <v>34</v>
      </c>
      <c r="J504">
        <v>4</v>
      </c>
      <c r="K504" t="s">
        <v>18</v>
      </c>
      <c r="L504" t="s">
        <v>32</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592</v>
      </c>
      <c r="B505" t="s">
        <v>134</v>
      </c>
      <c r="C505">
        <v>1</v>
      </c>
      <c r="D505">
        <v>32.200000000000003</v>
      </c>
      <c r="E505">
        <v>32.200000000000003</v>
      </c>
      <c r="F505" s="1">
        <v>45679</v>
      </c>
      <c r="G505" s="1">
        <v>45682</v>
      </c>
      <c r="H505" t="s">
        <v>26</v>
      </c>
      <c r="I505" t="s">
        <v>39</v>
      </c>
      <c r="J505">
        <v>3</v>
      </c>
      <c r="K505" t="s">
        <v>18</v>
      </c>
      <c r="L505" t="s">
        <v>32</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593</v>
      </c>
      <c r="B506" t="s">
        <v>38</v>
      </c>
      <c r="C506">
        <v>2</v>
      </c>
      <c r="D506">
        <v>41.5</v>
      </c>
      <c r="E506">
        <v>83</v>
      </c>
      <c r="F506" s="1">
        <v>45679</v>
      </c>
      <c r="G506" s="1">
        <v>45682</v>
      </c>
      <c r="H506" t="s">
        <v>26</v>
      </c>
      <c r="I506" t="s">
        <v>17</v>
      </c>
      <c r="J506">
        <v>5</v>
      </c>
      <c r="K506" t="s">
        <v>18</v>
      </c>
      <c r="L506" t="s">
        <v>32</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594</v>
      </c>
      <c r="B507" t="s">
        <v>127</v>
      </c>
      <c r="C507">
        <v>9</v>
      </c>
      <c r="D507">
        <v>58.9</v>
      </c>
      <c r="E507">
        <v>530.1</v>
      </c>
      <c r="F507" s="1">
        <v>45679</v>
      </c>
      <c r="G507" s="1">
        <v>45683</v>
      </c>
      <c r="H507" t="s">
        <v>26</v>
      </c>
      <c r="I507" t="s">
        <v>50</v>
      </c>
      <c r="J507">
        <v>4</v>
      </c>
      <c r="K507" t="s">
        <v>18</v>
      </c>
      <c r="L507" t="s">
        <v>32</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595</v>
      </c>
      <c r="B508" t="s">
        <v>25</v>
      </c>
      <c r="C508">
        <v>1</v>
      </c>
      <c r="D508">
        <v>57.1</v>
      </c>
      <c r="E508">
        <v>57.1</v>
      </c>
      <c r="F508" s="1">
        <v>45679</v>
      </c>
      <c r="G508" s="1">
        <v>45682</v>
      </c>
      <c r="H508" t="s">
        <v>26</v>
      </c>
      <c r="I508" t="s">
        <v>34</v>
      </c>
      <c r="J508">
        <v>4</v>
      </c>
      <c r="K508" t="s">
        <v>18</v>
      </c>
      <c r="L508" t="s">
        <v>32</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596</v>
      </c>
      <c r="B509" t="s">
        <v>38</v>
      </c>
      <c r="C509">
        <v>1</v>
      </c>
      <c r="D509">
        <v>57.2</v>
      </c>
      <c r="E509">
        <v>57.2</v>
      </c>
      <c r="F509" s="1">
        <v>45679</v>
      </c>
      <c r="G509" s="1">
        <v>45681</v>
      </c>
      <c r="H509" t="s">
        <v>22</v>
      </c>
      <c r="I509" t="s">
        <v>34</v>
      </c>
      <c r="J509">
        <v>4</v>
      </c>
      <c r="K509" t="s">
        <v>18</v>
      </c>
      <c r="L509" t="s">
        <v>32</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597</v>
      </c>
      <c r="B510" t="s">
        <v>43</v>
      </c>
      <c r="C510">
        <v>2</v>
      </c>
      <c r="D510">
        <v>35.1</v>
      </c>
      <c r="E510">
        <v>70.2</v>
      </c>
      <c r="F510" s="1">
        <v>45679</v>
      </c>
      <c r="G510" s="1">
        <v>45680</v>
      </c>
      <c r="H510" t="s">
        <v>22</v>
      </c>
      <c r="I510" t="s">
        <v>34</v>
      </c>
      <c r="J510">
        <v>4</v>
      </c>
      <c r="K510" t="s">
        <v>18</v>
      </c>
      <c r="L510" t="s">
        <v>54</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598</v>
      </c>
      <c r="B511" t="s">
        <v>21</v>
      </c>
      <c r="C511">
        <v>1</v>
      </c>
      <c r="D511">
        <v>52.1</v>
      </c>
      <c r="E511">
        <v>52.1</v>
      </c>
      <c r="F511" s="1">
        <v>45679</v>
      </c>
      <c r="G511" s="1">
        <v>45681</v>
      </c>
      <c r="H511" t="s">
        <v>26</v>
      </c>
      <c r="I511" t="s">
        <v>69</v>
      </c>
      <c r="J511">
        <v>3</v>
      </c>
      <c r="K511" t="s">
        <v>18</v>
      </c>
      <c r="L511" t="s">
        <v>61</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599</v>
      </c>
      <c r="B512" t="s">
        <v>75</v>
      </c>
      <c r="C512">
        <v>3</v>
      </c>
      <c r="D512">
        <v>59.8</v>
      </c>
      <c r="E512">
        <v>179.39999999999998</v>
      </c>
      <c r="F512" s="1">
        <v>45679</v>
      </c>
      <c r="G512" s="1">
        <v>45681</v>
      </c>
      <c r="H512" t="s">
        <v>26</v>
      </c>
      <c r="I512" t="s">
        <v>69</v>
      </c>
      <c r="J512">
        <v>3</v>
      </c>
      <c r="K512" t="s">
        <v>18</v>
      </c>
      <c r="L512" t="s">
        <v>61</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600</v>
      </c>
      <c r="B513" t="s">
        <v>29</v>
      </c>
      <c r="C513">
        <v>4</v>
      </c>
      <c r="D513">
        <v>83.3</v>
      </c>
      <c r="E513">
        <v>333.2</v>
      </c>
      <c r="F513" s="1">
        <v>45679</v>
      </c>
      <c r="G513" s="1">
        <v>45679</v>
      </c>
      <c r="I513" t="s">
        <v>39</v>
      </c>
      <c r="J513">
        <v>4</v>
      </c>
      <c r="K513" t="s">
        <v>18</v>
      </c>
      <c r="L513" t="s">
        <v>61</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601</v>
      </c>
      <c r="B514" t="s">
        <v>122</v>
      </c>
      <c r="C514">
        <v>12</v>
      </c>
      <c r="D514">
        <v>41.3</v>
      </c>
      <c r="E514">
        <v>495.59999999999997</v>
      </c>
      <c r="F514" s="1">
        <v>45679</v>
      </c>
      <c r="G514" s="1">
        <v>45680</v>
      </c>
      <c r="H514" t="s">
        <v>26</v>
      </c>
      <c r="I514" t="s">
        <v>34</v>
      </c>
      <c r="J514">
        <v>4</v>
      </c>
      <c r="K514" t="s">
        <v>18</v>
      </c>
      <c r="L514" t="s">
        <v>61</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602</v>
      </c>
      <c r="B515" t="s">
        <v>43</v>
      </c>
      <c r="C515">
        <v>5</v>
      </c>
      <c r="D515">
        <v>16</v>
      </c>
      <c r="E515">
        <v>80</v>
      </c>
      <c r="F515" s="1">
        <v>45679</v>
      </c>
      <c r="G515" s="1">
        <v>45681</v>
      </c>
      <c r="H515" t="s">
        <v>22</v>
      </c>
      <c r="I515" t="s">
        <v>69</v>
      </c>
      <c r="J515">
        <v>3</v>
      </c>
      <c r="K515" t="s">
        <v>18</v>
      </c>
      <c r="L515" t="s">
        <v>71</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603</v>
      </c>
      <c r="B516" t="s">
        <v>53</v>
      </c>
      <c r="C516">
        <v>2</v>
      </c>
      <c r="D516">
        <v>20.8</v>
      </c>
      <c r="E516">
        <v>41.6</v>
      </c>
      <c r="F516" s="1">
        <v>45680</v>
      </c>
      <c r="G516" s="1">
        <v>45682</v>
      </c>
      <c r="H516" t="s">
        <v>22</v>
      </c>
      <c r="I516" t="s">
        <v>17</v>
      </c>
      <c r="J516">
        <v>5</v>
      </c>
      <c r="K516" t="s">
        <v>18</v>
      </c>
      <c r="L516" t="s">
        <v>76</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604</v>
      </c>
      <c r="B517" t="s">
        <v>43</v>
      </c>
      <c r="C517">
        <v>28</v>
      </c>
      <c r="D517">
        <v>27.1</v>
      </c>
      <c r="E517">
        <v>758.80000000000007</v>
      </c>
      <c r="F517" s="1">
        <v>45680</v>
      </c>
      <c r="G517" s="1">
        <v>45681</v>
      </c>
      <c r="I517" t="s">
        <v>50</v>
      </c>
      <c r="J517">
        <v>5</v>
      </c>
      <c r="K517" t="s">
        <v>18</v>
      </c>
      <c r="L517" t="s">
        <v>76</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605</v>
      </c>
      <c r="B518" t="s">
        <v>53</v>
      </c>
      <c r="C518">
        <v>2</v>
      </c>
      <c r="D518">
        <v>38.9</v>
      </c>
      <c r="E518">
        <v>77.8</v>
      </c>
      <c r="F518" s="1">
        <v>45680</v>
      </c>
      <c r="G518" s="1">
        <v>45682</v>
      </c>
      <c r="H518" t="s">
        <v>26</v>
      </c>
      <c r="I518" t="s">
        <v>17</v>
      </c>
      <c r="J518">
        <v>4</v>
      </c>
      <c r="K518" t="s">
        <v>18</v>
      </c>
      <c r="L518" t="s">
        <v>107</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606</v>
      </c>
      <c r="B519" t="s">
        <v>16</v>
      </c>
      <c r="C519">
        <v>2</v>
      </c>
      <c r="D519">
        <v>10.8</v>
      </c>
      <c r="E519">
        <v>21.6</v>
      </c>
      <c r="F519" s="1">
        <v>45680</v>
      </c>
      <c r="G519" s="1">
        <v>45683</v>
      </c>
      <c r="H519" t="s">
        <v>26</v>
      </c>
      <c r="I519" t="s">
        <v>34</v>
      </c>
      <c r="J519">
        <v>5</v>
      </c>
      <c r="K519" t="s">
        <v>18</v>
      </c>
      <c r="L519" t="s">
        <v>607</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608</v>
      </c>
      <c r="B520" t="s">
        <v>31</v>
      </c>
      <c r="C520">
        <v>13</v>
      </c>
      <c r="D520">
        <v>48.4</v>
      </c>
      <c r="E520">
        <v>629.19999999999993</v>
      </c>
      <c r="F520" s="1">
        <v>45680</v>
      </c>
      <c r="G520" s="1">
        <v>45684</v>
      </c>
      <c r="H520" t="s">
        <v>26</v>
      </c>
      <c r="I520" t="s">
        <v>17</v>
      </c>
      <c r="J520">
        <v>4</v>
      </c>
      <c r="K520" t="s">
        <v>18</v>
      </c>
      <c r="L520" t="s">
        <v>114</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609</v>
      </c>
      <c r="B521" t="s">
        <v>31</v>
      </c>
      <c r="C521">
        <v>3</v>
      </c>
      <c r="D521">
        <v>29.2</v>
      </c>
      <c r="E521">
        <v>87.6</v>
      </c>
      <c r="F521" s="1">
        <v>45680</v>
      </c>
      <c r="G521" s="1">
        <v>45683</v>
      </c>
      <c r="H521" t="s">
        <v>26</v>
      </c>
      <c r="I521" t="s">
        <v>34</v>
      </c>
      <c r="J521">
        <v>3</v>
      </c>
      <c r="K521" t="s">
        <v>18</v>
      </c>
      <c r="L521" t="s">
        <v>27</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610</v>
      </c>
      <c r="B522" t="s">
        <v>31</v>
      </c>
      <c r="C522">
        <v>2</v>
      </c>
      <c r="D522">
        <v>25.1</v>
      </c>
      <c r="E522">
        <v>50.2</v>
      </c>
      <c r="F522" s="1">
        <v>45680</v>
      </c>
      <c r="G522" s="1">
        <v>45681</v>
      </c>
      <c r="H522" t="s">
        <v>22</v>
      </c>
      <c r="I522" t="s">
        <v>17</v>
      </c>
      <c r="J522">
        <v>3</v>
      </c>
      <c r="K522" t="s">
        <v>18</v>
      </c>
      <c r="L522" t="s">
        <v>27</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611</v>
      </c>
      <c r="B523" t="s">
        <v>41</v>
      </c>
      <c r="C523">
        <v>3</v>
      </c>
      <c r="D523">
        <v>65.599999999999994</v>
      </c>
      <c r="E523">
        <v>196.79999999999998</v>
      </c>
      <c r="F523" s="1">
        <v>45680</v>
      </c>
      <c r="G523" s="1">
        <v>45680</v>
      </c>
      <c r="H523" t="s">
        <v>26</v>
      </c>
      <c r="I523" t="s">
        <v>39</v>
      </c>
      <c r="J523">
        <v>3</v>
      </c>
      <c r="K523" t="s">
        <v>18</v>
      </c>
      <c r="L523" t="s">
        <v>32</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612</v>
      </c>
      <c r="B524" t="s">
        <v>25</v>
      </c>
      <c r="C524">
        <v>2</v>
      </c>
      <c r="D524">
        <v>57.3</v>
      </c>
      <c r="E524">
        <v>114.6</v>
      </c>
      <c r="F524" s="1">
        <v>45680</v>
      </c>
      <c r="G524" s="1">
        <v>45680</v>
      </c>
      <c r="I524" t="s">
        <v>17</v>
      </c>
      <c r="J524">
        <v>4</v>
      </c>
      <c r="K524" t="s">
        <v>18</v>
      </c>
      <c r="L524" t="s">
        <v>32</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613</v>
      </c>
      <c r="B525" t="s">
        <v>45</v>
      </c>
      <c r="C525">
        <v>4</v>
      </c>
      <c r="D525">
        <v>22.4</v>
      </c>
      <c r="E525">
        <v>89.6</v>
      </c>
      <c r="F525" s="1">
        <v>45680</v>
      </c>
      <c r="G525" s="1">
        <v>45681</v>
      </c>
      <c r="H525" t="s">
        <v>26</v>
      </c>
      <c r="I525" t="s">
        <v>39</v>
      </c>
      <c r="J525">
        <v>5</v>
      </c>
      <c r="K525" t="s">
        <v>18</v>
      </c>
      <c r="L525" t="s">
        <v>32</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614</v>
      </c>
      <c r="B526" t="s">
        <v>68</v>
      </c>
      <c r="C526">
        <v>9</v>
      </c>
      <c r="D526">
        <v>45.7</v>
      </c>
      <c r="E526">
        <v>411.3</v>
      </c>
      <c r="F526" s="1">
        <v>45680</v>
      </c>
      <c r="G526" s="1">
        <v>45681</v>
      </c>
      <c r="H526" t="s">
        <v>26</v>
      </c>
      <c r="I526" t="s">
        <v>17</v>
      </c>
      <c r="J526">
        <v>4</v>
      </c>
      <c r="K526" t="s">
        <v>18</v>
      </c>
      <c r="L526" t="s">
        <v>32</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615</v>
      </c>
      <c r="B527" t="s">
        <v>43</v>
      </c>
      <c r="C527">
        <v>2</v>
      </c>
      <c r="D527">
        <v>29.3</v>
      </c>
      <c r="E527">
        <v>58.6</v>
      </c>
      <c r="F527" s="1">
        <v>45680</v>
      </c>
      <c r="G527" s="1">
        <v>45681</v>
      </c>
      <c r="H527" t="s">
        <v>22</v>
      </c>
      <c r="I527" t="s">
        <v>34</v>
      </c>
      <c r="J527">
        <v>4</v>
      </c>
      <c r="K527" t="s">
        <v>18</v>
      </c>
      <c r="L527" t="s">
        <v>32</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616</v>
      </c>
      <c r="B528" t="s">
        <v>145</v>
      </c>
      <c r="C528">
        <v>22</v>
      </c>
      <c r="D528">
        <v>74</v>
      </c>
      <c r="E528">
        <v>1628</v>
      </c>
      <c r="F528" s="1">
        <v>45680</v>
      </c>
      <c r="G528" s="1">
        <v>45681</v>
      </c>
      <c r="H528" t="s">
        <v>22</v>
      </c>
      <c r="I528" t="s">
        <v>17</v>
      </c>
      <c r="J528">
        <v>5</v>
      </c>
      <c r="K528" t="s">
        <v>18</v>
      </c>
      <c r="L528" t="s">
        <v>32</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617</v>
      </c>
      <c r="B529" t="s">
        <v>80</v>
      </c>
      <c r="C529">
        <v>2</v>
      </c>
      <c r="D529">
        <v>39.200000000000003</v>
      </c>
      <c r="E529">
        <v>78.400000000000006</v>
      </c>
      <c r="F529" s="1">
        <v>45680</v>
      </c>
      <c r="G529" s="1">
        <v>45682</v>
      </c>
      <c r="H529" t="s">
        <v>26</v>
      </c>
      <c r="I529" t="s">
        <v>34</v>
      </c>
      <c r="J529">
        <v>4</v>
      </c>
      <c r="K529" t="s">
        <v>18</v>
      </c>
      <c r="L529" t="s">
        <v>32</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618</v>
      </c>
      <c r="B530" t="s">
        <v>31</v>
      </c>
      <c r="C530">
        <v>17</v>
      </c>
      <c r="D530">
        <v>62.7</v>
      </c>
      <c r="E530">
        <v>1065.9000000000001</v>
      </c>
      <c r="F530" s="1">
        <v>45680</v>
      </c>
      <c r="G530" s="1">
        <v>45681</v>
      </c>
      <c r="H530" t="s">
        <v>26</v>
      </c>
      <c r="I530" t="s">
        <v>39</v>
      </c>
      <c r="J530">
        <v>3</v>
      </c>
      <c r="K530" t="s">
        <v>18</v>
      </c>
      <c r="L530" t="s">
        <v>32</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619</v>
      </c>
      <c r="B531" t="s">
        <v>53</v>
      </c>
      <c r="C531">
        <v>2</v>
      </c>
      <c r="D531">
        <v>60.1</v>
      </c>
      <c r="E531">
        <v>120.2</v>
      </c>
      <c r="F531" s="1">
        <v>45680</v>
      </c>
      <c r="G531" s="1">
        <v>45681</v>
      </c>
      <c r="H531" t="s">
        <v>26</v>
      </c>
      <c r="I531" t="s">
        <v>50</v>
      </c>
      <c r="J531">
        <v>4</v>
      </c>
      <c r="K531" t="s">
        <v>18</v>
      </c>
      <c r="L531" t="s">
        <v>32</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620</v>
      </c>
      <c r="B532" t="s">
        <v>16</v>
      </c>
      <c r="C532">
        <v>4</v>
      </c>
      <c r="D532">
        <v>11.2</v>
      </c>
      <c r="E532">
        <v>44.8</v>
      </c>
      <c r="F532" s="1">
        <v>45680</v>
      </c>
      <c r="G532" s="1">
        <v>45681</v>
      </c>
      <c r="H532" t="s">
        <v>26</v>
      </c>
      <c r="I532" t="s">
        <v>50</v>
      </c>
      <c r="J532">
        <v>3</v>
      </c>
      <c r="K532" t="s">
        <v>18</v>
      </c>
      <c r="L532" t="s">
        <v>32</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621</v>
      </c>
      <c r="B533" t="s">
        <v>43</v>
      </c>
      <c r="C533">
        <v>2</v>
      </c>
      <c r="D533">
        <v>22.9</v>
      </c>
      <c r="E533">
        <v>45.8</v>
      </c>
      <c r="F533" s="1">
        <v>45680</v>
      </c>
      <c r="G533" s="1">
        <v>45681</v>
      </c>
      <c r="H533" t="s">
        <v>26</v>
      </c>
      <c r="I533" t="s">
        <v>17</v>
      </c>
      <c r="J533">
        <v>4</v>
      </c>
      <c r="K533" t="s">
        <v>18</v>
      </c>
      <c r="L533" t="s">
        <v>54</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622</v>
      </c>
      <c r="B534" t="s">
        <v>21</v>
      </c>
      <c r="C534">
        <v>2</v>
      </c>
      <c r="D534">
        <v>37.6</v>
      </c>
      <c r="E534">
        <v>75.2</v>
      </c>
      <c r="F534" s="1">
        <v>45680</v>
      </c>
      <c r="G534" s="1">
        <v>45683</v>
      </c>
      <c r="H534" t="s">
        <v>26</v>
      </c>
      <c r="I534" t="s">
        <v>17</v>
      </c>
      <c r="J534">
        <v>4</v>
      </c>
      <c r="K534" t="s">
        <v>18</v>
      </c>
      <c r="L534" t="s">
        <v>54</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623</v>
      </c>
      <c r="B535" t="s">
        <v>38</v>
      </c>
      <c r="C535">
        <v>1</v>
      </c>
      <c r="D535">
        <v>42.4</v>
      </c>
      <c r="E535">
        <v>42.4</v>
      </c>
      <c r="F535" s="1">
        <v>45680</v>
      </c>
      <c r="G535" s="1">
        <v>45681</v>
      </c>
      <c r="H535" t="s">
        <v>26</v>
      </c>
      <c r="I535" t="s">
        <v>50</v>
      </c>
      <c r="J535">
        <v>5</v>
      </c>
      <c r="K535" t="s">
        <v>18</v>
      </c>
      <c r="L535" t="s">
        <v>54</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624</v>
      </c>
      <c r="B536" t="s">
        <v>43</v>
      </c>
      <c r="C536">
        <v>2</v>
      </c>
      <c r="D536">
        <v>19.600000000000001</v>
      </c>
      <c r="E536">
        <v>39.200000000000003</v>
      </c>
      <c r="F536" s="1">
        <v>45680</v>
      </c>
      <c r="G536" s="1">
        <v>45684</v>
      </c>
      <c r="H536" t="s">
        <v>26</v>
      </c>
      <c r="I536" t="s">
        <v>39</v>
      </c>
      <c r="J536">
        <v>4</v>
      </c>
      <c r="K536" t="s">
        <v>18</v>
      </c>
      <c r="L536" t="s">
        <v>58</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625</v>
      </c>
      <c r="B537" t="s">
        <v>45</v>
      </c>
      <c r="C537">
        <v>1</v>
      </c>
      <c r="D537">
        <v>90.5</v>
      </c>
      <c r="E537">
        <v>90.5</v>
      </c>
      <c r="F537" s="1">
        <v>45680</v>
      </c>
      <c r="G537" s="1">
        <v>45683</v>
      </c>
      <c r="H537" t="s">
        <v>26</v>
      </c>
      <c r="I537" t="s">
        <v>39</v>
      </c>
      <c r="J537">
        <v>4</v>
      </c>
      <c r="K537" t="s">
        <v>18</v>
      </c>
      <c r="L537" t="s">
        <v>58</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626</v>
      </c>
      <c r="B538" t="s">
        <v>127</v>
      </c>
      <c r="C538">
        <v>11</v>
      </c>
      <c r="D538">
        <v>33.9</v>
      </c>
      <c r="E538">
        <v>372.9</v>
      </c>
      <c r="F538" s="1">
        <v>45680</v>
      </c>
      <c r="G538" s="1">
        <v>45681</v>
      </c>
      <c r="H538" t="s">
        <v>22</v>
      </c>
      <c r="I538" t="s">
        <v>39</v>
      </c>
      <c r="J538">
        <v>3</v>
      </c>
      <c r="K538" t="s">
        <v>18</v>
      </c>
      <c r="L538" t="s">
        <v>58</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627</v>
      </c>
      <c r="B539" t="s">
        <v>16</v>
      </c>
      <c r="C539">
        <v>2</v>
      </c>
      <c r="D539">
        <v>32.799999999999997</v>
      </c>
      <c r="E539">
        <v>65.599999999999994</v>
      </c>
      <c r="F539" s="1">
        <v>45680</v>
      </c>
      <c r="G539" s="1">
        <v>45682</v>
      </c>
      <c r="H539" t="s">
        <v>26</v>
      </c>
      <c r="I539" t="s">
        <v>69</v>
      </c>
      <c r="J539">
        <v>2</v>
      </c>
      <c r="K539" t="s">
        <v>18</v>
      </c>
      <c r="L539" t="s">
        <v>61</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628</v>
      </c>
      <c r="B540" t="s">
        <v>122</v>
      </c>
      <c r="C540">
        <v>1</v>
      </c>
      <c r="D540">
        <v>49.9</v>
      </c>
      <c r="E540">
        <v>49.9</v>
      </c>
      <c r="F540" s="1">
        <v>45680</v>
      </c>
      <c r="G540" s="1">
        <v>45681</v>
      </c>
      <c r="H540" t="s">
        <v>22</v>
      </c>
      <c r="I540" t="s">
        <v>50</v>
      </c>
      <c r="J540">
        <v>3</v>
      </c>
      <c r="K540" t="s">
        <v>18</v>
      </c>
      <c r="L540" t="s">
        <v>61</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629</v>
      </c>
      <c r="B541" t="s">
        <v>41</v>
      </c>
      <c r="C541">
        <v>5</v>
      </c>
      <c r="D541">
        <v>79.2</v>
      </c>
      <c r="E541">
        <v>396</v>
      </c>
      <c r="F541" s="1">
        <v>45680</v>
      </c>
      <c r="G541" s="1">
        <v>45681</v>
      </c>
      <c r="H541" t="s">
        <v>26</v>
      </c>
      <c r="I541" t="s">
        <v>69</v>
      </c>
      <c r="J541">
        <v>4</v>
      </c>
      <c r="K541" t="s">
        <v>18</v>
      </c>
      <c r="L541" t="s">
        <v>61</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630</v>
      </c>
      <c r="B542" t="s">
        <v>43</v>
      </c>
      <c r="C542">
        <v>16</v>
      </c>
      <c r="D542">
        <v>19.5</v>
      </c>
      <c r="E542">
        <v>312</v>
      </c>
      <c r="F542" s="1">
        <v>45680</v>
      </c>
      <c r="G542" s="1">
        <v>45682</v>
      </c>
      <c r="H542" t="s">
        <v>22</v>
      </c>
      <c r="I542" t="s">
        <v>50</v>
      </c>
      <c r="J542">
        <v>5</v>
      </c>
      <c r="K542" t="s">
        <v>18</v>
      </c>
      <c r="L542" t="s">
        <v>61</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631</v>
      </c>
      <c r="B543" t="s">
        <v>43</v>
      </c>
      <c r="C543">
        <v>4</v>
      </c>
      <c r="D543">
        <v>18</v>
      </c>
      <c r="E543">
        <v>72</v>
      </c>
      <c r="F543" s="1">
        <v>45680</v>
      </c>
      <c r="G543" s="1">
        <v>45681</v>
      </c>
      <c r="H543" t="s">
        <v>22</v>
      </c>
      <c r="I543" t="s">
        <v>34</v>
      </c>
      <c r="J543">
        <v>4</v>
      </c>
      <c r="K543" t="s">
        <v>18</v>
      </c>
      <c r="L543" t="s">
        <v>73</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632</v>
      </c>
      <c r="B544" t="s">
        <v>45</v>
      </c>
      <c r="C544">
        <v>3</v>
      </c>
      <c r="D544">
        <v>45.9</v>
      </c>
      <c r="E544">
        <v>137.69999999999999</v>
      </c>
      <c r="F544" s="1">
        <v>45680</v>
      </c>
      <c r="G544" s="1">
        <v>45682</v>
      </c>
      <c r="H544" t="s">
        <v>26</v>
      </c>
      <c r="I544" t="s">
        <v>34</v>
      </c>
      <c r="J544">
        <v>3</v>
      </c>
      <c r="K544" t="s">
        <v>18</v>
      </c>
      <c r="L544" t="s">
        <v>73</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633</v>
      </c>
      <c r="B545" t="s">
        <v>66</v>
      </c>
      <c r="C545">
        <v>1</v>
      </c>
      <c r="D545">
        <v>41.2</v>
      </c>
      <c r="E545">
        <v>41.2</v>
      </c>
      <c r="F545" s="1">
        <v>45680</v>
      </c>
      <c r="G545" s="1">
        <v>45682</v>
      </c>
      <c r="H545" t="s">
        <v>26</v>
      </c>
      <c r="I545" t="s">
        <v>34</v>
      </c>
      <c r="J545">
        <v>5</v>
      </c>
      <c r="K545" t="s">
        <v>18</v>
      </c>
      <c r="L545" t="s">
        <v>76</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634</v>
      </c>
      <c r="B546" t="s">
        <v>25</v>
      </c>
      <c r="C546">
        <v>10</v>
      </c>
      <c r="D546">
        <v>167.2</v>
      </c>
      <c r="E546">
        <v>1672</v>
      </c>
      <c r="F546" s="1">
        <v>45680</v>
      </c>
      <c r="G546" s="1">
        <v>45682</v>
      </c>
      <c r="H546" t="s">
        <v>26</v>
      </c>
      <c r="I546" t="s">
        <v>39</v>
      </c>
      <c r="J546">
        <v>5</v>
      </c>
      <c r="K546" t="s">
        <v>18</v>
      </c>
      <c r="L546" t="s">
        <v>308</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635</v>
      </c>
      <c r="B547" t="s">
        <v>38</v>
      </c>
      <c r="C547">
        <v>30</v>
      </c>
      <c r="D547">
        <v>74.5</v>
      </c>
      <c r="E547">
        <v>2235</v>
      </c>
      <c r="F547" s="1">
        <v>45681</v>
      </c>
      <c r="G547" s="1">
        <v>45684</v>
      </c>
      <c r="H547" t="s">
        <v>26</v>
      </c>
      <c r="I547" t="s">
        <v>34</v>
      </c>
      <c r="J547">
        <v>5</v>
      </c>
      <c r="K547" t="s">
        <v>18</v>
      </c>
      <c r="L547" t="s">
        <v>376</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636</v>
      </c>
      <c r="B548" t="s">
        <v>41</v>
      </c>
      <c r="C548">
        <v>4</v>
      </c>
      <c r="D548">
        <v>39.299999999999997</v>
      </c>
      <c r="E548">
        <v>157.19999999999999</v>
      </c>
      <c r="F548" s="1">
        <v>45681</v>
      </c>
      <c r="G548" s="1">
        <v>45682</v>
      </c>
      <c r="I548" t="s">
        <v>39</v>
      </c>
      <c r="J548">
        <v>4</v>
      </c>
      <c r="K548" t="s">
        <v>18</v>
      </c>
      <c r="L548" t="s">
        <v>109</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637</v>
      </c>
      <c r="B549" t="s">
        <v>45</v>
      </c>
      <c r="C549">
        <v>1</v>
      </c>
      <c r="D549">
        <v>68.5</v>
      </c>
      <c r="E549">
        <v>68.5</v>
      </c>
      <c r="F549" s="1">
        <v>45681</v>
      </c>
      <c r="G549" s="1">
        <v>45684</v>
      </c>
      <c r="H549" t="s">
        <v>22</v>
      </c>
      <c r="I549" t="s">
        <v>34</v>
      </c>
      <c r="J549">
        <v>5</v>
      </c>
      <c r="K549" t="s">
        <v>18</v>
      </c>
      <c r="L549" t="s">
        <v>78</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638</v>
      </c>
      <c r="B550" t="s">
        <v>16</v>
      </c>
      <c r="C550">
        <v>3</v>
      </c>
      <c r="D550">
        <v>22.5</v>
      </c>
      <c r="E550">
        <v>67.5</v>
      </c>
      <c r="F550" s="1">
        <v>45681</v>
      </c>
      <c r="G550" s="1">
        <v>45681</v>
      </c>
      <c r="H550" t="s">
        <v>26</v>
      </c>
      <c r="I550" t="s">
        <v>69</v>
      </c>
      <c r="J550">
        <v>4</v>
      </c>
      <c r="K550" t="s">
        <v>18</v>
      </c>
      <c r="L550" t="s">
        <v>81</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639</v>
      </c>
      <c r="B551" t="s">
        <v>21</v>
      </c>
      <c r="C551">
        <v>1</v>
      </c>
      <c r="D551">
        <v>48</v>
      </c>
      <c r="E551">
        <v>48</v>
      </c>
      <c r="F551" s="1">
        <v>45681</v>
      </c>
      <c r="G551" s="1">
        <v>45682</v>
      </c>
      <c r="H551" t="s">
        <v>88</v>
      </c>
      <c r="I551" t="s">
        <v>69</v>
      </c>
      <c r="J551">
        <v>3</v>
      </c>
      <c r="K551" t="s">
        <v>18</v>
      </c>
      <c r="L551" t="s">
        <v>640</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641</v>
      </c>
      <c r="B552" t="s">
        <v>38</v>
      </c>
      <c r="C552">
        <v>1</v>
      </c>
      <c r="D552">
        <v>94</v>
      </c>
      <c r="E552">
        <v>94</v>
      </c>
      <c r="F552" s="1">
        <v>45681</v>
      </c>
      <c r="G552" s="1">
        <v>45682</v>
      </c>
      <c r="H552" t="s">
        <v>22</v>
      </c>
      <c r="I552" t="s">
        <v>50</v>
      </c>
      <c r="J552">
        <v>3</v>
      </c>
      <c r="K552" t="s">
        <v>18</v>
      </c>
      <c r="L552" t="s">
        <v>23</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642</v>
      </c>
      <c r="B553" t="s">
        <v>43</v>
      </c>
      <c r="C553">
        <v>3</v>
      </c>
      <c r="D553">
        <v>21.9</v>
      </c>
      <c r="E553">
        <v>65.699999999999989</v>
      </c>
      <c r="F553" s="1">
        <v>45681</v>
      </c>
      <c r="G553" s="1">
        <v>45682</v>
      </c>
      <c r="H553" t="s">
        <v>26</v>
      </c>
      <c r="I553" t="s">
        <v>17</v>
      </c>
      <c r="J553">
        <v>4</v>
      </c>
      <c r="K553" t="s">
        <v>18</v>
      </c>
      <c r="L553" t="s">
        <v>586</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643</v>
      </c>
      <c r="B554" t="s">
        <v>38</v>
      </c>
      <c r="C554">
        <v>7</v>
      </c>
      <c r="D554">
        <v>64.900000000000006</v>
      </c>
      <c r="E554">
        <v>454.30000000000007</v>
      </c>
      <c r="F554" s="1">
        <v>45681</v>
      </c>
      <c r="G554" s="1">
        <v>45682</v>
      </c>
      <c r="H554" t="s">
        <v>26</v>
      </c>
      <c r="I554" t="s">
        <v>17</v>
      </c>
      <c r="J554">
        <v>4</v>
      </c>
      <c r="K554" t="s">
        <v>18</v>
      </c>
      <c r="L554" t="s">
        <v>32</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644</v>
      </c>
      <c r="B555" t="s">
        <v>68</v>
      </c>
      <c r="C555">
        <v>1</v>
      </c>
      <c r="D555">
        <v>52.9</v>
      </c>
      <c r="E555">
        <v>52.9</v>
      </c>
      <c r="F555" s="1">
        <v>45681</v>
      </c>
      <c r="G555" s="1">
        <v>45681</v>
      </c>
      <c r="H555" t="s">
        <v>26</v>
      </c>
      <c r="I555" t="s">
        <v>34</v>
      </c>
      <c r="J555">
        <v>3</v>
      </c>
      <c r="K555" t="s">
        <v>18</v>
      </c>
      <c r="L555" t="s">
        <v>32</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645</v>
      </c>
      <c r="B556" t="s">
        <v>43</v>
      </c>
      <c r="C556">
        <v>3</v>
      </c>
      <c r="D556">
        <v>25.5</v>
      </c>
      <c r="E556">
        <v>76.5</v>
      </c>
      <c r="F556" s="1">
        <v>45681</v>
      </c>
      <c r="G556" s="1">
        <v>45682</v>
      </c>
      <c r="H556" t="s">
        <v>26</v>
      </c>
      <c r="I556" t="s">
        <v>34</v>
      </c>
      <c r="J556">
        <v>5</v>
      </c>
      <c r="K556" t="s">
        <v>18</v>
      </c>
      <c r="L556" t="s">
        <v>32</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646</v>
      </c>
      <c r="B557" t="s">
        <v>38</v>
      </c>
      <c r="C557">
        <v>3</v>
      </c>
      <c r="D557">
        <v>51.9</v>
      </c>
      <c r="E557">
        <v>155.69999999999999</v>
      </c>
      <c r="F557" s="1">
        <v>45681</v>
      </c>
      <c r="G557" s="1">
        <v>45682</v>
      </c>
      <c r="H557" t="s">
        <v>26</v>
      </c>
      <c r="I557" t="s">
        <v>50</v>
      </c>
      <c r="J557">
        <v>4</v>
      </c>
      <c r="K557" t="s">
        <v>18</v>
      </c>
      <c r="L557" t="s">
        <v>32</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647</v>
      </c>
      <c r="B558" t="s">
        <v>36</v>
      </c>
      <c r="C558">
        <v>1</v>
      </c>
      <c r="D558">
        <v>46.3</v>
      </c>
      <c r="E558">
        <v>46.3</v>
      </c>
      <c r="F558" s="1">
        <v>45681</v>
      </c>
      <c r="G558" s="1">
        <v>45684</v>
      </c>
      <c r="H558" t="s">
        <v>26</v>
      </c>
      <c r="I558" t="s">
        <v>69</v>
      </c>
      <c r="J558">
        <v>4</v>
      </c>
      <c r="K558" t="s">
        <v>18</v>
      </c>
      <c r="L558" t="s">
        <v>32</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648</v>
      </c>
      <c r="B559" t="s">
        <v>38</v>
      </c>
      <c r="C559">
        <v>2</v>
      </c>
      <c r="D559">
        <v>68.2</v>
      </c>
      <c r="E559">
        <v>136.4</v>
      </c>
      <c r="F559" s="1">
        <v>45681</v>
      </c>
      <c r="G559" s="1">
        <v>45683</v>
      </c>
      <c r="H559" t="s">
        <v>26</v>
      </c>
      <c r="I559" t="s">
        <v>50</v>
      </c>
      <c r="J559">
        <v>4</v>
      </c>
      <c r="K559" t="s">
        <v>18</v>
      </c>
      <c r="L559" t="s">
        <v>32</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649</v>
      </c>
      <c r="B560" t="s">
        <v>21</v>
      </c>
      <c r="C560">
        <v>1</v>
      </c>
      <c r="D560">
        <v>40.299999999999997</v>
      </c>
      <c r="E560">
        <v>40.299999999999997</v>
      </c>
      <c r="F560" s="1">
        <v>45681</v>
      </c>
      <c r="G560" s="1">
        <v>45682</v>
      </c>
      <c r="H560" t="s">
        <v>22</v>
      </c>
      <c r="I560" t="s">
        <v>17</v>
      </c>
      <c r="J560">
        <v>3</v>
      </c>
      <c r="K560" t="s">
        <v>18</v>
      </c>
      <c r="L560" t="s">
        <v>32</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650</v>
      </c>
      <c r="B561" t="s">
        <v>25</v>
      </c>
      <c r="C561">
        <v>3</v>
      </c>
      <c r="D561">
        <v>91.3</v>
      </c>
      <c r="E561">
        <v>273.89999999999998</v>
      </c>
      <c r="F561" s="1">
        <v>45681</v>
      </c>
      <c r="G561" s="1">
        <v>45686</v>
      </c>
      <c r="H561" t="s">
        <v>22</v>
      </c>
      <c r="I561" t="s">
        <v>17</v>
      </c>
      <c r="J561">
        <v>5</v>
      </c>
      <c r="K561" t="s">
        <v>18</v>
      </c>
      <c r="L561" t="s">
        <v>54</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651</v>
      </c>
      <c r="B562" t="s">
        <v>16</v>
      </c>
      <c r="C562">
        <v>3</v>
      </c>
      <c r="D562">
        <v>11.9</v>
      </c>
      <c r="E562">
        <v>35.700000000000003</v>
      </c>
      <c r="F562" s="1">
        <v>45681</v>
      </c>
      <c r="G562" s="1">
        <v>45682</v>
      </c>
      <c r="H562" t="s">
        <v>26</v>
      </c>
      <c r="I562" t="s">
        <v>17</v>
      </c>
      <c r="J562">
        <v>3</v>
      </c>
      <c r="K562" t="s">
        <v>18</v>
      </c>
      <c r="L562" t="s">
        <v>54</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652</v>
      </c>
      <c r="B563" t="s">
        <v>25</v>
      </c>
      <c r="C563">
        <v>2</v>
      </c>
      <c r="D563">
        <v>63.5</v>
      </c>
      <c r="E563">
        <v>127</v>
      </c>
      <c r="F563" s="1">
        <v>45681</v>
      </c>
      <c r="G563" s="1">
        <v>45683</v>
      </c>
      <c r="H563" t="s">
        <v>22</v>
      </c>
      <c r="I563" t="s">
        <v>34</v>
      </c>
      <c r="J563">
        <v>4</v>
      </c>
      <c r="K563" t="s">
        <v>18</v>
      </c>
      <c r="L563" t="s">
        <v>54</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653</v>
      </c>
      <c r="B564" t="s">
        <v>31</v>
      </c>
      <c r="C564">
        <v>2</v>
      </c>
      <c r="D564">
        <v>27.1</v>
      </c>
      <c r="E564">
        <v>54.2</v>
      </c>
      <c r="F564" s="1">
        <v>45681</v>
      </c>
      <c r="G564" s="1">
        <v>45684</v>
      </c>
      <c r="H564" t="s">
        <v>22</v>
      </c>
      <c r="I564" t="s">
        <v>39</v>
      </c>
      <c r="J564">
        <v>5</v>
      </c>
      <c r="K564" t="s">
        <v>18</v>
      </c>
      <c r="L564" t="s">
        <v>54</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654</v>
      </c>
      <c r="B565" t="s">
        <v>21</v>
      </c>
      <c r="C565">
        <v>2</v>
      </c>
      <c r="D565">
        <v>82.1</v>
      </c>
      <c r="E565">
        <v>164.2</v>
      </c>
      <c r="F565" s="1">
        <v>45682</v>
      </c>
      <c r="G565" s="1">
        <v>45685</v>
      </c>
      <c r="H565" t="s">
        <v>22</v>
      </c>
      <c r="I565" t="s">
        <v>34</v>
      </c>
      <c r="J565">
        <v>3</v>
      </c>
      <c r="K565" t="s">
        <v>18</v>
      </c>
      <c r="L565" t="s">
        <v>58</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655</v>
      </c>
      <c r="B566" t="s">
        <v>29</v>
      </c>
      <c r="C566">
        <v>5</v>
      </c>
      <c r="D566">
        <v>42.9</v>
      </c>
      <c r="E566">
        <v>214.5</v>
      </c>
      <c r="F566" s="1">
        <v>45682</v>
      </c>
      <c r="G566" s="1">
        <v>45684</v>
      </c>
      <c r="H566" t="s">
        <v>26</v>
      </c>
      <c r="I566" t="s">
        <v>34</v>
      </c>
      <c r="J566">
        <v>4</v>
      </c>
      <c r="K566" t="s">
        <v>18</v>
      </c>
      <c r="L566" t="s">
        <v>61</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656</v>
      </c>
      <c r="B567" t="s">
        <v>43</v>
      </c>
      <c r="C567">
        <v>11</v>
      </c>
      <c r="D567">
        <v>37.9</v>
      </c>
      <c r="E567">
        <v>416.9</v>
      </c>
      <c r="F567" s="1">
        <v>45682</v>
      </c>
      <c r="G567" s="1">
        <v>45689</v>
      </c>
      <c r="H567" t="s">
        <v>22</v>
      </c>
      <c r="I567" t="s">
        <v>17</v>
      </c>
      <c r="J567">
        <v>4</v>
      </c>
      <c r="K567" t="s">
        <v>18</v>
      </c>
      <c r="L567" t="s">
        <v>61</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657</v>
      </c>
      <c r="B568" t="s">
        <v>16</v>
      </c>
      <c r="C568">
        <v>1</v>
      </c>
      <c r="D568">
        <v>22.4</v>
      </c>
      <c r="E568">
        <v>22.4</v>
      </c>
      <c r="F568" s="1">
        <v>45682</v>
      </c>
      <c r="G568" s="1">
        <v>45683</v>
      </c>
      <c r="H568" t="s">
        <v>26</v>
      </c>
      <c r="I568" t="s">
        <v>17</v>
      </c>
      <c r="J568">
        <v>3</v>
      </c>
      <c r="K568" t="s">
        <v>18</v>
      </c>
      <c r="L568" t="s">
        <v>102</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658</v>
      </c>
      <c r="B569" t="s">
        <v>25</v>
      </c>
      <c r="C569">
        <v>13</v>
      </c>
      <c r="D569">
        <v>79.900000000000006</v>
      </c>
      <c r="E569">
        <v>1038.7</v>
      </c>
      <c r="F569" s="1">
        <v>45682</v>
      </c>
      <c r="G569" s="1">
        <v>45695</v>
      </c>
      <c r="H569" t="s">
        <v>26</v>
      </c>
      <c r="I569" t="s">
        <v>50</v>
      </c>
      <c r="J569">
        <v>3</v>
      </c>
      <c r="K569" t="s">
        <v>18</v>
      </c>
      <c r="L569" t="s">
        <v>76</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659</v>
      </c>
      <c r="B570" t="s">
        <v>21</v>
      </c>
      <c r="C570">
        <v>1</v>
      </c>
      <c r="D570">
        <v>70.599999999999994</v>
      </c>
      <c r="E570">
        <v>70.599999999999994</v>
      </c>
      <c r="F570" s="1">
        <v>45682</v>
      </c>
      <c r="G570" s="1">
        <v>45685</v>
      </c>
      <c r="H570" t="s">
        <v>26</v>
      </c>
      <c r="I570" t="s">
        <v>17</v>
      </c>
      <c r="J570">
        <v>3</v>
      </c>
      <c r="K570" t="s">
        <v>18</v>
      </c>
      <c r="L570" t="s">
        <v>76</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660</v>
      </c>
      <c r="B571" t="s">
        <v>38</v>
      </c>
      <c r="C571">
        <v>1</v>
      </c>
      <c r="D571">
        <v>49.5</v>
      </c>
      <c r="E571">
        <v>49.5</v>
      </c>
      <c r="F571" s="1">
        <v>45682</v>
      </c>
      <c r="G571" s="1">
        <v>45684</v>
      </c>
      <c r="H571" t="s">
        <v>22</v>
      </c>
      <c r="I571" t="s">
        <v>17</v>
      </c>
      <c r="J571">
        <v>4</v>
      </c>
      <c r="K571" t="s">
        <v>18</v>
      </c>
      <c r="L571" t="s">
        <v>81</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661</v>
      </c>
      <c r="B572" t="s">
        <v>25</v>
      </c>
      <c r="C572">
        <v>2</v>
      </c>
      <c r="D572">
        <v>96.6</v>
      </c>
      <c r="E572">
        <v>193.2</v>
      </c>
      <c r="F572" s="1">
        <v>45682</v>
      </c>
      <c r="G572" s="1">
        <v>45684</v>
      </c>
      <c r="H572" t="s">
        <v>22</v>
      </c>
      <c r="I572" t="s">
        <v>17</v>
      </c>
      <c r="J572">
        <v>4</v>
      </c>
      <c r="K572" t="s">
        <v>18</v>
      </c>
      <c r="L572" t="s">
        <v>114</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662</v>
      </c>
      <c r="B573" t="s">
        <v>38</v>
      </c>
      <c r="C573">
        <v>2</v>
      </c>
      <c r="D573">
        <v>52.8</v>
      </c>
      <c r="E573">
        <v>105.6</v>
      </c>
      <c r="F573" s="1">
        <v>45682</v>
      </c>
      <c r="G573" s="1">
        <v>45683</v>
      </c>
      <c r="H573" t="s">
        <v>26</v>
      </c>
      <c r="I573" t="s">
        <v>34</v>
      </c>
      <c r="J573">
        <v>3</v>
      </c>
      <c r="K573" t="s">
        <v>18</v>
      </c>
      <c r="L573" t="s">
        <v>114</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663</v>
      </c>
      <c r="B574" t="s">
        <v>25</v>
      </c>
      <c r="C574">
        <v>1</v>
      </c>
      <c r="D574">
        <v>101.7</v>
      </c>
      <c r="E574">
        <v>101.7</v>
      </c>
      <c r="F574" s="1">
        <v>45682</v>
      </c>
      <c r="G574" s="1">
        <v>45683</v>
      </c>
      <c r="H574" t="s">
        <v>22</v>
      </c>
      <c r="I574" t="s">
        <v>17</v>
      </c>
      <c r="J574">
        <v>4</v>
      </c>
      <c r="K574" t="s">
        <v>18</v>
      </c>
      <c r="L574" t="s">
        <v>23</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664</v>
      </c>
      <c r="B575" t="s">
        <v>31</v>
      </c>
      <c r="C575">
        <v>5</v>
      </c>
      <c r="D575">
        <v>26.9</v>
      </c>
      <c r="E575">
        <v>134.5</v>
      </c>
      <c r="F575" s="1">
        <v>45682</v>
      </c>
      <c r="G575" s="1">
        <v>45687</v>
      </c>
      <c r="H575" t="s">
        <v>26</v>
      </c>
      <c r="I575" t="s">
        <v>34</v>
      </c>
      <c r="J575">
        <v>3</v>
      </c>
      <c r="K575" t="s">
        <v>18</v>
      </c>
      <c r="L575" t="s">
        <v>146</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665</v>
      </c>
      <c r="B576" t="s">
        <v>25</v>
      </c>
      <c r="C576">
        <v>4</v>
      </c>
      <c r="D576">
        <v>211</v>
      </c>
      <c r="E576">
        <v>844</v>
      </c>
      <c r="F576" s="1">
        <v>45682</v>
      </c>
      <c r="G576" s="1">
        <v>45682</v>
      </c>
      <c r="H576" t="s">
        <v>26</v>
      </c>
      <c r="I576" t="s">
        <v>34</v>
      </c>
      <c r="J576">
        <v>3</v>
      </c>
      <c r="K576" t="s">
        <v>18</v>
      </c>
      <c r="L576" t="s">
        <v>32</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666</v>
      </c>
      <c r="B577" t="s">
        <v>16</v>
      </c>
      <c r="C577">
        <v>4</v>
      </c>
      <c r="D577">
        <v>21.1</v>
      </c>
      <c r="E577">
        <v>84.4</v>
      </c>
      <c r="F577" s="1">
        <v>45682</v>
      </c>
      <c r="G577" s="1">
        <v>45685</v>
      </c>
      <c r="H577" t="s">
        <v>22</v>
      </c>
      <c r="I577" t="s">
        <v>69</v>
      </c>
      <c r="J577">
        <v>4</v>
      </c>
      <c r="K577" t="s">
        <v>18</v>
      </c>
      <c r="L577" t="s">
        <v>32</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667</v>
      </c>
      <c r="B578" t="s">
        <v>53</v>
      </c>
      <c r="C578">
        <v>1</v>
      </c>
      <c r="D578">
        <v>26.6</v>
      </c>
      <c r="E578">
        <v>26.6</v>
      </c>
      <c r="F578" s="1">
        <v>45682</v>
      </c>
      <c r="G578" s="1">
        <v>45684</v>
      </c>
      <c r="H578" t="s">
        <v>22</v>
      </c>
      <c r="I578" t="s">
        <v>17</v>
      </c>
      <c r="J578">
        <v>2</v>
      </c>
      <c r="K578" t="s">
        <v>18</v>
      </c>
      <c r="L578" t="s">
        <v>32</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668</v>
      </c>
      <c r="B579" t="s">
        <v>68</v>
      </c>
      <c r="C579">
        <v>4</v>
      </c>
      <c r="D579">
        <v>51.2</v>
      </c>
      <c r="E579">
        <v>204.8</v>
      </c>
      <c r="F579" s="1">
        <v>45682</v>
      </c>
      <c r="G579" s="1">
        <v>45683</v>
      </c>
      <c r="H579" t="s">
        <v>26</v>
      </c>
      <c r="I579" t="s">
        <v>50</v>
      </c>
      <c r="J579">
        <v>4</v>
      </c>
      <c r="K579" t="s">
        <v>18</v>
      </c>
      <c r="L579" t="s">
        <v>669</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670</v>
      </c>
      <c r="B580" t="s">
        <v>16</v>
      </c>
      <c r="C580">
        <v>5</v>
      </c>
      <c r="D580">
        <v>10.6</v>
      </c>
      <c r="E580">
        <v>53</v>
      </c>
      <c r="F580" s="1">
        <v>45682</v>
      </c>
      <c r="G580" s="1">
        <v>45686</v>
      </c>
      <c r="H580" t="s">
        <v>26</v>
      </c>
      <c r="I580" t="s">
        <v>17</v>
      </c>
      <c r="J580">
        <v>4</v>
      </c>
      <c r="K580" t="s">
        <v>18</v>
      </c>
      <c r="L580" t="s">
        <v>61</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671</v>
      </c>
      <c r="B581" t="s">
        <v>38</v>
      </c>
      <c r="C581">
        <v>3</v>
      </c>
      <c r="D581">
        <v>43.4</v>
      </c>
      <c r="E581">
        <v>130.19999999999999</v>
      </c>
      <c r="F581" s="1">
        <v>45682</v>
      </c>
      <c r="G581" s="1">
        <v>45685</v>
      </c>
      <c r="H581" t="s">
        <v>26</v>
      </c>
      <c r="I581" t="s">
        <v>69</v>
      </c>
      <c r="J581">
        <v>4</v>
      </c>
      <c r="K581" t="s">
        <v>18</v>
      </c>
      <c r="L581" t="s">
        <v>61</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672</v>
      </c>
      <c r="B582" t="s">
        <v>68</v>
      </c>
      <c r="C582">
        <v>1</v>
      </c>
      <c r="D582">
        <v>80</v>
      </c>
      <c r="E582">
        <v>80</v>
      </c>
      <c r="F582" s="1">
        <v>45682</v>
      </c>
      <c r="G582" s="1">
        <v>45682</v>
      </c>
      <c r="H582" t="s">
        <v>26</v>
      </c>
      <c r="I582" t="s">
        <v>17</v>
      </c>
      <c r="J582">
        <v>5</v>
      </c>
      <c r="K582" t="s">
        <v>18</v>
      </c>
      <c r="L582" t="s">
        <v>61</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673</v>
      </c>
      <c r="B583" t="s">
        <v>53</v>
      </c>
      <c r="C583">
        <v>4</v>
      </c>
      <c r="D583">
        <v>64.7</v>
      </c>
      <c r="E583">
        <v>258.8</v>
      </c>
      <c r="F583" s="1">
        <v>45682</v>
      </c>
      <c r="G583" s="1">
        <v>45684</v>
      </c>
      <c r="H583" t="s">
        <v>26</v>
      </c>
      <c r="I583" t="s">
        <v>34</v>
      </c>
      <c r="J583">
        <v>2</v>
      </c>
      <c r="K583" t="s">
        <v>18</v>
      </c>
      <c r="L583" t="s">
        <v>61</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674</v>
      </c>
      <c r="B584" t="s">
        <v>43</v>
      </c>
      <c r="C584">
        <v>11</v>
      </c>
      <c r="D584">
        <v>26.3</v>
      </c>
      <c r="E584">
        <v>289.3</v>
      </c>
      <c r="F584" s="1">
        <v>45683</v>
      </c>
      <c r="G584" s="1">
        <v>45683</v>
      </c>
      <c r="H584" t="s">
        <v>26</v>
      </c>
      <c r="I584" t="s">
        <v>69</v>
      </c>
      <c r="J584">
        <v>3</v>
      </c>
      <c r="K584" t="s">
        <v>18</v>
      </c>
      <c r="L584" t="s">
        <v>200</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675</v>
      </c>
      <c r="B585" t="s">
        <v>53</v>
      </c>
      <c r="C585">
        <v>1</v>
      </c>
      <c r="D585">
        <v>28.5</v>
      </c>
      <c r="E585">
        <v>28.5</v>
      </c>
      <c r="F585" s="1">
        <v>45683</v>
      </c>
      <c r="G585" s="1">
        <v>45683</v>
      </c>
      <c r="H585" t="s">
        <v>22</v>
      </c>
      <c r="I585" t="s">
        <v>17</v>
      </c>
      <c r="J585">
        <v>3</v>
      </c>
      <c r="K585" t="s">
        <v>18</v>
      </c>
      <c r="L585" t="s">
        <v>71</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676</v>
      </c>
      <c r="B586" t="s">
        <v>134</v>
      </c>
      <c r="C586">
        <v>1</v>
      </c>
      <c r="D586">
        <v>47.8</v>
      </c>
      <c r="E586">
        <v>47.8</v>
      </c>
      <c r="F586" s="1">
        <v>45683</v>
      </c>
      <c r="G586" s="1">
        <v>45685</v>
      </c>
      <c r="H586" t="s">
        <v>26</v>
      </c>
      <c r="I586" t="s">
        <v>17</v>
      </c>
      <c r="J586">
        <v>3</v>
      </c>
      <c r="K586" t="s">
        <v>18</v>
      </c>
      <c r="L586" t="s">
        <v>71</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677</v>
      </c>
      <c r="B587" t="s">
        <v>53</v>
      </c>
      <c r="C587">
        <v>3</v>
      </c>
      <c r="D587">
        <v>42.8</v>
      </c>
      <c r="E587">
        <v>128.39999999999998</v>
      </c>
      <c r="F587" s="1">
        <v>45683</v>
      </c>
      <c r="G587" s="1">
        <v>45686</v>
      </c>
      <c r="H587" t="s">
        <v>26</v>
      </c>
      <c r="I587" t="s">
        <v>69</v>
      </c>
      <c r="J587">
        <v>3</v>
      </c>
      <c r="K587" t="s">
        <v>18</v>
      </c>
      <c r="L587" t="s">
        <v>76</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678</v>
      </c>
      <c r="B588" t="s">
        <v>38</v>
      </c>
      <c r="C588">
        <v>5</v>
      </c>
      <c r="D588">
        <v>46.8</v>
      </c>
      <c r="E588">
        <v>234</v>
      </c>
      <c r="F588" s="1">
        <v>45683</v>
      </c>
      <c r="G588" s="1">
        <v>45688</v>
      </c>
      <c r="H588" t="s">
        <v>26</v>
      </c>
      <c r="I588" t="s">
        <v>34</v>
      </c>
      <c r="J588">
        <v>5</v>
      </c>
      <c r="K588" t="s">
        <v>18</v>
      </c>
      <c r="L588" t="s">
        <v>76</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679</v>
      </c>
      <c r="B589" t="s">
        <v>21</v>
      </c>
      <c r="C589">
        <v>10</v>
      </c>
      <c r="D589">
        <v>64.099999999999994</v>
      </c>
      <c r="E589">
        <v>641</v>
      </c>
      <c r="F589" s="1">
        <v>45683</v>
      </c>
      <c r="G589" s="1">
        <v>45684</v>
      </c>
      <c r="H589" t="s">
        <v>22</v>
      </c>
      <c r="I589" t="s">
        <v>34</v>
      </c>
      <c r="J589">
        <v>4</v>
      </c>
      <c r="K589" t="s">
        <v>18</v>
      </c>
      <c r="L589" t="s">
        <v>76</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680</v>
      </c>
      <c r="B590" t="s">
        <v>25</v>
      </c>
      <c r="C590">
        <v>1</v>
      </c>
      <c r="D590">
        <v>89.1</v>
      </c>
      <c r="E590">
        <v>89.1</v>
      </c>
      <c r="F590" s="1">
        <v>45683</v>
      </c>
      <c r="G590" s="1">
        <v>45684</v>
      </c>
      <c r="H590" t="s">
        <v>26</v>
      </c>
      <c r="I590" t="s">
        <v>17</v>
      </c>
      <c r="J590">
        <v>3</v>
      </c>
      <c r="K590" t="s">
        <v>18</v>
      </c>
      <c r="L590" t="s">
        <v>112</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681</v>
      </c>
      <c r="B591" t="s">
        <v>25</v>
      </c>
      <c r="C591">
        <v>3</v>
      </c>
      <c r="D591">
        <v>83.1</v>
      </c>
      <c r="E591">
        <v>249.29999999999998</v>
      </c>
      <c r="F591" s="1">
        <v>45683</v>
      </c>
      <c r="G591" s="1">
        <v>45684</v>
      </c>
      <c r="H591" t="s">
        <v>26</v>
      </c>
      <c r="I591" t="s">
        <v>39</v>
      </c>
      <c r="J591">
        <v>3</v>
      </c>
      <c r="K591" t="s">
        <v>18</v>
      </c>
      <c r="L591" t="s">
        <v>81</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682</v>
      </c>
      <c r="B592" t="s">
        <v>43</v>
      </c>
      <c r="C592">
        <v>3</v>
      </c>
      <c r="D592">
        <v>40.9</v>
      </c>
      <c r="E592">
        <v>122.69999999999999</v>
      </c>
      <c r="F592" s="1">
        <v>45683</v>
      </c>
      <c r="G592" s="1">
        <v>45684</v>
      </c>
      <c r="H592" t="s">
        <v>22</v>
      </c>
      <c r="I592" t="s">
        <v>17</v>
      </c>
      <c r="J592">
        <v>4</v>
      </c>
      <c r="K592" t="s">
        <v>18</v>
      </c>
      <c r="L592" t="s">
        <v>23</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683</v>
      </c>
      <c r="B593" t="s">
        <v>25</v>
      </c>
      <c r="C593">
        <v>2</v>
      </c>
      <c r="D593">
        <v>125.7</v>
      </c>
      <c r="E593">
        <v>251.4</v>
      </c>
      <c r="F593" s="1">
        <v>45683</v>
      </c>
      <c r="G593" s="1">
        <v>45684</v>
      </c>
      <c r="H593" t="s">
        <v>26</v>
      </c>
      <c r="I593" t="s">
        <v>50</v>
      </c>
      <c r="J593">
        <v>4</v>
      </c>
      <c r="K593" t="s">
        <v>18</v>
      </c>
      <c r="L593" t="s">
        <v>27</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684</v>
      </c>
      <c r="B594" t="s">
        <v>29</v>
      </c>
      <c r="C594">
        <v>2</v>
      </c>
      <c r="D594">
        <v>30.9</v>
      </c>
      <c r="E594">
        <v>61.8</v>
      </c>
      <c r="F594" s="1">
        <v>45683</v>
      </c>
      <c r="G594" s="1">
        <v>45683</v>
      </c>
      <c r="H594" t="s">
        <v>26</v>
      </c>
      <c r="I594" t="s">
        <v>39</v>
      </c>
      <c r="J594">
        <v>5</v>
      </c>
      <c r="K594" t="s">
        <v>18</v>
      </c>
      <c r="L594" t="s">
        <v>146</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685</v>
      </c>
      <c r="B595" t="s">
        <v>43</v>
      </c>
      <c r="C595">
        <v>2</v>
      </c>
      <c r="D595">
        <v>18.3</v>
      </c>
      <c r="E595">
        <v>36.6</v>
      </c>
      <c r="F595" s="1">
        <v>45683</v>
      </c>
      <c r="G595" s="1">
        <v>45684</v>
      </c>
      <c r="H595" t="s">
        <v>26</v>
      </c>
      <c r="I595" t="s">
        <v>34</v>
      </c>
      <c r="J595">
        <v>4</v>
      </c>
      <c r="K595" t="s">
        <v>18</v>
      </c>
      <c r="L595" t="s">
        <v>32</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686</v>
      </c>
      <c r="B596" t="s">
        <v>31</v>
      </c>
      <c r="C596">
        <v>2</v>
      </c>
      <c r="D596">
        <v>56.5</v>
      </c>
      <c r="E596">
        <v>113</v>
      </c>
      <c r="F596" s="1">
        <v>45683</v>
      </c>
      <c r="G596" s="1">
        <v>45687</v>
      </c>
      <c r="H596" t="s">
        <v>22</v>
      </c>
      <c r="I596" t="s">
        <v>39</v>
      </c>
      <c r="J596">
        <v>5</v>
      </c>
      <c r="K596" t="s">
        <v>18</v>
      </c>
      <c r="L596" t="s">
        <v>32</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687</v>
      </c>
      <c r="B597" t="s">
        <v>53</v>
      </c>
      <c r="C597">
        <v>7</v>
      </c>
      <c r="D597">
        <v>29.9</v>
      </c>
      <c r="E597">
        <v>209.29999999999998</v>
      </c>
      <c r="F597" s="1">
        <v>45683</v>
      </c>
      <c r="G597" s="1">
        <v>45685</v>
      </c>
      <c r="H597" t="s">
        <v>22</v>
      </c>
      <c r="I597" t="s">
        <v>69</v>
      </c>
      <c r="J597">
        <v>5</v>
      </c>
      <c r="K597" t="s">
        <v>18</v>
      </c>
      <c r="L597" t="s">
        <v>32</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688</v>
      </c>
      <c r="B598" t="s">
        <v>36</v>
      </c>
      <c r="C598">
        <v>2</v>
      </c>
      <c r="D598">
        <v>50.4</v>
      </c>
      <c r="E598">
        <v>100.8</v>
      </c>
      <c r="F598" s="1">
        <v>45683</v>
      </c>
      <c r="G598" s="1">
        <v>45684</v>
      </c>
      <c r="H598" t="s">
        <v>26</v>
      </c>
      <c r="I598" t="s">
        <v>39</v>
      </c>
      <c r="J598">
        <v>4</v>
      </c>
      <c r="K598" t="s">
        <v>18</v>
      </c>
      <c r="L598" t="s">
        <v>32</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689</v>
      </c>
      <c r="B599" t="s">
        <v>25</v>
      </c>
      <c r="C599">
        <v>1</v>
      </c>
      <c r="D599">
        <v>85.8</v>
      </c>
      <c r="E599">
        <v>85.8</v>
      </c>
      <c r="F599" s="1">
        <v>45683</v>
      </c>
      <c r="G599" s="1">
        <v>45683</v>
      </c>
      <c r="H599" t="s">
        <v>26</v>
      </c>
      <c r="I599" t="s">
        <v>39</v>
      </c>
      <c r="J599">
        <v>5</v>
      </c>
      <c r="K599" t="s">
        <v>18</v>
      </c>
      <c r="L599" t="s">
        <v>32</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690</v>
      </c>
      <c r="B600" t="s">
        <v>31</v>
      </c>
      <c r="C600">
        <v>16</v>
      </c>
      <c r="D600">
        <v>66.599999999999994</v>
      </c>
      <c r="E600">
        <v>1065.5999999999999</v>
      </c>
      <c r="F600" s="1">
        <v>45683</v>
      </c>
      <c r="G600" s="1">
        <v>45685</v>
      </c>
      <c r="H600" t="s">
        <v>22</v>
      </c>
      <c r="I600" t="s">
        <v>34</v>
      </c>
      <c r="J600">
        <v>4</v>
      </c>
      <c r="K600" t="s">
        <v>18</v>
      </c>
      <c r="L600" t="s">
        <v>32</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691</v>
      </c>
      <c r="B601" t="s">
        <v>38</v>
      </c>
      <c r="C601">
        <v>4</v>
      </c>
      <c r="D601">
        <v>70.3</v>
      </c>
      <c r="E601">
        <v>281.2</v>
      </c>
      <c r="F601" s="1">
        <v>45683</v>
      </c>
      <c r="G601" s="1">
        <v>45684</v>
      </c>
      <c r="H601" t="s">
        <v>26</v>
      </c>
      <c r="I601" t="s">
        <v>17</v>
      </c>
      <c r="J601">
        <v>3</v>
      </c>
      <c r="K601" t="s">
        <v>18</v>
      </c>
      <c r="L601" t="s">
        <v>32</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692</v>
      </c>
      <c r="B602" t="s">
        <v>43</v>
      </c>
      <c r="C602">
        <v>4</v>
      </c>
      <c r="D602">
        <v>31</v>
      </c>
      <c r="E602">
        <v>124</v>
      </c>
      <c r="F602" s="1">
        <v>45683</v>
      </c>
      <c r="G602" s="1">
        <v>45686</v>
      </c>
      <c r="H602" t="s">
        <v>22</v>
      </c>
      <c r="I602" t="s">
        <v>17</v>
      </c>
      <c r="J602">
        <v>5</v>
      </c>
      <c r="K602" t="s">
        <v>18</v>
      </c>
      <c r="L602" t="s">
        <v>32</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693</v>
      </c>
      <c r="B603" t="s">
        <v>41</v>
      </c>
      <c r="C603">
        <v>6</v>
      </c>
      <c r="D603">
        <v>81.599999999999994</v>
      </c>
      <c r="E603">
        <v>489.59999999999997</v>
      </c>
      <c r="F603" s="1">
        <v>45683</v>
      </c>
      <c r="G603" s="1">
        <v>45684</v>
      </c>
      <c r="H603" t="s">
        <v>26</v>
      </c>
      <c r="I603" t="s">
        <v>34</v>
      </c>
      <c r="J603">
        <v>3</v>
      </c>
      <c r="K603" t="s">
        <v>18</v>
      </c>
      <c r="L603" t="s">
        <v>363</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694</v>
      </c>
      <c r="B604" t="s">
        <v>21</v>
      </c>
      <c r="C604">
        <v>25</v>
      </c>
      <c r="D604">
        <v>58.3</v>
      </c>
      <c r="E604">
        <v>1457.5</v>
      </c>
      <c r="F604" s="1">
        <v>45683</v>
      </c>
      <c r="G604" s="1">
        <v>45684</v>
      </c>
      <c r="H604" t="s">
        <v>26</v>
      </c>
      <c r="I604" t="s">
        <v>17</v>
      </c>
      <c r="J604">
        <v>4</v>
      </c>
      <c r="K604" t="s">
        <v>18</v>
      </c>
      <c r="L604" t="s">
        <v>97</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695</v>
      </c>
      <c r="B605" t="s">
        <v>21</v>
      </c>
      <c r="C605">
        <v>4</v>
      </c>
      <c r="D605">
        <v>35.1</v>
      </c>
      <c r="E605">
        <v>140.4</v>
      </c>
      <c r="F605" s="1">
        <v>45683</v>
      </c>
      <c r="G605" s="1">
        <v>45685</v>
      </c>
      <c r="H605" t="s">
        <v>22</v>
      </c>
      <c r="I605" t="s">
        <v>17</v>
      </c>
      <c r="J605">
        <v>5</v>
      </c>
      <c r="K605" t="s">
        <v>18</v>
      </c>
      <c r="L605" t="s">
        <v>61</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696</v>
      </c>
      <c r="B606" t="s">
        <v>25</v>
      </c>
      <c r="C606">
        <v>1</v>
      </c>
      <c r="D606">
        <v>80.2</v>
      </c>
      <c r="E606">
        <v>80.2</v>
      </c>
      <c r="F606" s="1">
        <v>45683</v>
      </c>
      <c r="G606" s="1">
        <v>45684</v>
      </c>
      <c r="H606" t="s">
        <v>22</v>
      </c>
      <c r="I606" t="s">
        <v>50</v>
      </c>
      <c r="J606">
        <v>5</v>
      </c>
      <c r="K606" t="s">
        <v>18</v>
      </c>
      <c r="L606" t="s">
        <v>61</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697</v>
      </c>
      <c r="B607" t="s">
        <v>80</v>
      </c>
      <c r="C607">
        <v>3</v>
      </c>
      <c r="D607">
        <v>39.200000000000003</v>
      </c>
      <c r="E607">
        <v>117.60000000000001</v>
      </c>
      <c r="F607" s="1">
        <v>45683</v>
      </c>
      <c r="G607" s="1">
        <v>45685</v>
      </c>
      <c r="H607" t="s">
        <v>26</v>
      </c>
      <c r="I607" t="s">
        <v>34</v>
      </c>
      <c r="J607">
        <v>4</v>
      </c>
      <c r="K607" t="s">
        <v>18</v>
      </c>
      <c r="L607" t="s">
        <v>71</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698</v>
      </c>
      <c r="B608" t="s">
        <v>16</v>
      </c>
      <c r="C608">
        <v>2</v>
      </c>
      <c r="D608">
        <v>15.4</v>
      </c>
      <c r="E608">
        <v>30.8</v>
      </c>
      <c r="F608" s="1">
        <v>45683</v>
      </c>
      <c r="G608" s="1">
        <v>45683</v>
      </c>
      <c r="H608" t="s">
        <v>26</v>
      </c>
      <c r="I608" t="s">
        <v>50</v>
      </c>
      <c r="J608">
        <v>4</v>
      </c>
      <c r="K608" t="s">
        <v>18</v>
      </c>
      <c r="L608" t="s">
        <v>699</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700</v>
      </c>
      <c r="B609" t="s">
        <v>29</v>
      </c>
      <c r="C609">
        <v>3</v>
      </c>
      <c r="D609">
        <v>65.400000000000006</v>
      </c>
      <c r="E609">
        <v>196.20000000000002</v>
      </c>
      <c r="F609" s="1">
        <v>45683</v>
      </c>
      <c r="G609" s="1">
        <v>45686</v>
      </c>
      <c r="H609" t="s">
        <v>22</v>
      </c>
      <c r="I609" t="s">
        <v>50</v>
      </c>
      <c r="J609">
        <v>4</v>
      </c>
      <c r="K609" t="s">
        <v>18</v>
      </c>
      <c r="L609" t="s">
        <v>107</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701</v>
      </c>
      <c r="B610" t="s">
        <v>21</v>
      </c>
      <c r="C610">
        <v>8</v>
      </c>
      <c r="D610">
        <v>63.2</v>
      </c>
      <c r="E610">
        <v>505.6</v>
      </c>
      <c r="F610" s="1">
        <v>45683</v>
      </c>
      <c r="G610" s="1">
        <v>45685</v>
      </c>
      <c r="H610" t="s">
        <v>26</v>
      </c>
      <c r="I610" t="s">
        <v>34</v>
      </c>
      <c r="J610">
        <v>4</v>
      </c>
      <c r="K610" t="s">
        <v>18</v>
      </c>
      <c r="L610" t="s">
        <v>109</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702</v>
      </c>
      <c r="B611" t="s">
        <v>21</v>
      </c>
      <c r="C611">
        <v>6</v>
      </c>
      <c r="D611">
        <v>35.700000000000003</v>
      </c>
      <c r="E611">
        <v>214.20000000000002</v>
      </c>
      <c r="F611" s="1">
        <v>45683</v>
      </c>
      <c r="G611" s="1">
        <v>45687</v>
      </c>
      <c r="H611" t="s">
        <v>26</v>
      </c>
      <c r="I611" t="s">
        <v>69</v>
      </c>
      <c r="J611">
        <v>3</v>
      </c>
      <c r="K611" t="s">
        <v>18</v>
      </c>
      <c r="L611" t="s">
        <v>109</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703</v>
      </c>
      <c r="B612" t="s">
        <v>16</v>
      </c>
      <c r="C612">
        <v>20</v>
      </c>
      <c r="D612">
        <v>26.2</v>
      </c>
      <c r="E612">
        <v>524</v>
      </c>
      <c r="F612" s="1">
        <v>45683</v>
      </c>
      <c r="G612" s="1">
        <v>45684</v>
      </c>
      <c r="H612" t="s">
        <v>26</v>
      </c>
      <c r="I612" t="s">
        <v>50</v>
      </c>
      <c r="J612">
        <v>4</v>
      </c>
      <c r="K612" t="s">
        <v>18</v>
      </c>
      <c r="L612" t="s">
        <v>114</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704</v>
      </c>
      <c r="B613" t="s">
        <v>41</v>
      </c>
      <c r="C613">
        <v>2</v>
      </c>
      <c r="D613">
        <v>31</v>
      </c>
      <c r="E613">
        <v>62</v>
      </c>
      <c r="F613" s="1">
        <v>45683</v>
      </c>
      <c r="G613" s="1">
        <v>45684</v>
      </c>
      <c r="H613" t="s">
        <v>26</v>
      </c>
      <c r="I613" t="s">
        <v>17</v>
      </c>
      <c r="J613">
        <v>5</v>
      </c>
      <c r="K613" t="s">
        <v>18</v>
      </c>
      <c r="L613" t="s">
        <v>23</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705</v>
      </c>
      <c r="B614" t="s">
        <v>43</v>
      </c>
      <c r="C614">
        <v>4</v>
      </c>
      <c r="D614">
        <v>37.700000000000003</v>
      </c>
      <c r="E614">
        <v>150.80000000000001</v>
      </c>
      <c r="F614" s="1">
        <v>45683</v>
      </c>
      <c r="G614" s="1">
        <v>45684</v>
      </c>
      <c r="H614" t="s">
        <v>26</v>
      </c>
      <c r="I614" t="s">
        <v>34</v>
      </c>
      <c r="J614">
        <v>4</v>
      </c>
      <c r="K614" t="s">
        <v>18</v>
      </c>
      <c r="L614" t="s">
        <v>146</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706</v>
      </c>
      <c r="B615" t="s">
        <v>53</v>
      </c>
      <c r="C615">
        <v>34</v>
      </c>
      <c r="D615">
        <v>43.6</v>
      </c>
      <c r="E615">
        <v>1482.4</v>
      </c>
      <c r="F615" s="1">
        <v>45683</v>
      </c>
      <c r="G615" s="1">
        <v>45685</v>
      </c>
      <c r="H615" t="s">
        <v>26</v>
      </c>
      <c r="I615" t="s">
        <v>69</v>
      </c>
      <c r="J615">
        <v>3</v>
      </c>
      <c r="K615" t="s">
        <v>18</v>
      </c>
      <c r="L615" t="s">
        <v>32</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707</v>
      </c>
      <c r="B616" t="s">
        <v>45</v>
      </c>
      <c r="C616">
        <v>4</v>
      </c>
      <c r="D616">
        <v>26.5</v>
      </c>
      <c r="E616">
        <v>106</v>
      </c>
      <c r="F616" s="1">
        <v>45683</v>
      </c>
      <c r="G616" s="1">
        <v>45685</v>
      </c>
      <c r="H616" t="s">
        <v>22</v>
      </c>
      <c r="I616" t="s">
        <v>17</v>
      </c>
      <c r="J616">
        <v>2</v>
      </c>
      <c r="K616" t="s">
        <v>18</v>
      </c>
      <c r="L616" t="s">
        <v>32</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708</v>
      </c>
      <c r="B617" t="s">
        <v>16</v>
      </c>
      <c r="C617">
        <v>2</v>
      </c>
      <c r="D617">
        <v>34.6</v>
      </c>
      <c r="E617">
        <v>69.2</v>
      </c>
      <c r="F617" s="1">
        <v>45683</v>
      </c>
      <c r="G617" s="1">
        <v>45684</v>
      </c>
      <c r="H617" t="s">
        <v>22</v>
      </c>
      <c r="I617" t="s">
        <v>69</v>
      </c>
      <c r="J617">
        <v>3</v>
      </c>
      <c r="K617" t="s">
        <v>18</v>
      </c>
      <c r="L617" t="s">
        <v>32</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709</v>
      </c>
      <c r="B618" t="s">
        <v>43</v>
      </c>
      <c r="C618">
        <v>2</v>
      </c>
      <c r="D618">
        <v>58.2</v>
      </c>
      <c r="E618">
        <v>116.4</v>
      </c>
      <c r="F618" s="1">
        <v>45683</v>
      </c>
      <c r="G618" s="1">
        <v>45684</v>
      </c>
      <c r="H618" t="s">
        <v>22</v>
      </c>
      <c r="I618" t="s">
        <v>39</v>
      </c>
      <c r="J618">
        <v>5</v>
      </c>
      <c r="K618" t="s">
        <v>18</v>
      </c>
      <c r="L618" t="s">
        <v>32</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710</v>
      </c>
      <c r="B619" t="s">
        <v>41</v>
      </c>
      <c r="C619">
        <v>1</v>
      </c>
      <c r="D619">
        <v>30.2</v>
      </c>
      <c r="E619">
        <v>30.2</v>
      </c>
      <c r="F619" s="1">
        <v>45684</v>
      </c>
      <c r="G619" s="1">
        <v>45685</v>
      </c>
      <c r="H619" t="s">
        <v>26</v>
      </c>
      <c r="I619" t="s">
        <v>39</v>
      </c>
      <c r="J619">
        <v>3</v>
      </c>
      <c r="K619" t="s">
        <v>18</v>
      </c>
      <c r="L619" t="s">
        <v>32</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711</v>
      </c>
      <c r="B620" t="s">
        <v>21</v>
      </c>
      <c r="C620">
        <v>10</v>
      </c>
      <c r="D620">
        <v>53.2</v>
      </c>
      <c r="E620">
        <v>532</v>
      </c>
      <c r="F620" s="1">
        <v>45684</v>
      </c>
      <c r="G620" s="1">
        <v>45685</v>
      </c>
      <c r="H620" t="s">
        <v>22</v>
      </c>
      <c r="I620" t="s">
        <v>17</v>
      </c>
      <c r="J620">
        <v>5</v>
      </c>
      <c r="K620" t="s">
        <v>18</v>
      </c>
      <c r="L620" t="s">
        <v>51</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712</v>
      </c>
      <c r="B621" t="s">
        <v>68</v>
      </c>
      <c r="C621">
        <v>6</v>
      </c>
      <c r="D621">
        <v>51.1</v>
      </c>
      <c r="E621">
        <v>306.60000000000002</v>
      </c>
      <c r="F621" s="1">
        <v>45684</v>
      </c>
      <c r="G621" s="1">
        <v>45684</v>
      </c>
      <c r="H621" t="s">
        <v>22</v>
      </c>
      <c r="I621" t="s">
        <v>34</v>
      </c>
      <c r="J621">
        <v>5</v>
      </c>
      <c r="K621" t="s">
        <v>18</v>
      </c>
      <c r="L621" t="s">
        <v>51</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713</v>
      </c>
      <c r="B622" t="s">
        <v>21</v>
      </c>
      <c r="C622">
        <v>1</v>
      </c>
      <c r="D622">
        <v>105.4</v>
      </c>
      <c r="E622">
        <v>105.4</v>
      </c>
      <c r="F622" s="1">
        <v>45684</v>
      </c>
      <c r="G622" s="1">
        <v>45688</v>
      </c>
      <c r="H622" t="s">
        <v>26</v>
      </c>
      <c r="I622" t="s">
        <v>34</v>
      </c>
      <c r="J622">
        <v>5</v>
      </c>
      <c r="K622" t="s">
        <v>18</v>
      </c>
      <c r="L622" t="s">
        <v>157</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714</v>
      </c>
      <c r="B623" t="s">
        <v>41</v>
      </c>
      <c r="C623">
        <v>1</v>
      </c>
      <c r="D623">
        <v>57.7</v>
      </c>
      <c r="E623">
        <v>57.7</v>
      </c>
      <c r="F623" s="1">
        <v>45684</v>
      </c>
      <c r="G623" s="1">
        <v>45684</v>
      </c>
      <c r="H623" t="s">
        <v>22</v>
      </c>
      <c r="I623" t="s">
        <v>17</v>
      </c>
      <c r="J623">
        <v>2</v>
      </c>
      <c r="K623" t="s">
        <v>18</v>
      </c>
      <c r="L623" t="s">
        <v>61</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715</v>
      </c>
      <c r="B624" t="s">
        <v>122</v>
      </c>
      <c r="C624">
        <v>2</v>
      </c>
      <c r="D624">
        <v>72.400000000000006</v>
      </c>
      <c r="E624">
        <v>144.80000000000001</v>
      </c>
      <c r="F624" s="1">
        <v>45684</v>
      </c>
      <c r="G624" s="1">
        <v>45689</v>
      </c>
      <c r="H624" t="s">
        <v>26</v>
      </c>
      <c r="I624" t="s">
        <v>17</v>
      </c>
      <c r="J624">
        <v>4</v>
      </c>
      <c r="K624" t="s">
        <v>18</v>
      </c>
      <c r="L624" t="s">
        <v>102</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716</v>
      </c>
      <c r="B625" t="s">
        <v>38</v>
      </c>
      <c r="C625">
        <v>2</v>
      </c>
      <c r="D625">
        <v>62.5</v>
      </c>
      <c r="E625">
        <v>125</v>
      </c>
      <c r="F625" s="1">
        <v>45684</v>
      </c>
      <c r="G625" s="1">
        <v>45685</v>
      </c>
      <c r="I625" t="s">
        <v>17</v>
      </c>
      <c r="J625">
        <v>5</v>
      </c>
      <c r="K625" t="s">
        <v>18</v>
      </c>
      <c r="L625" t="s">
        <v>76</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717</v>
      </c>
      <c r="B626" t="s">
        <v>16</v>
      </c>
      <c r="C626">
        <v>22</v>
      </c>
      <c r="D626">
        <v>11.6</v>
      </c>
      <c r="E626">
        <v>255.2</v>
      </c>
      <c r="F626" s="1">
        <v>45684</v>
      </c>
      <c r="G626" s="1">
        <v>45686</v>
      </c>
      <c r="H626" t="s">
        <v>26</v>
      </c>
      <c r="I626" t="s">
        <v>50</v>
      </c>
      <c r="J626">
        <v>5</v>
      </c>
      <c r="K626" t="s">
        <v>18</v>
      </c>
      <c r="L626" t="s">
        <v>107</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718</v>
      </c>
      <c r="B627" t="s">
        <v>53</v>
      </c>
      <c r="C627">
        <v>10</v>
      </c>
      <c r="D627">
        <v>39.6</v>
      </c>
      <c r="E627">
        <v>396</v>
      </c>
      <c r="F627" s="1">
        <v>45684</v>
      </c>
      <c r="G627" s="1">
        <v>45686</v>
      </c>
      <c r="H627" t="s">
        <v>26</v>
      </c>
      <c r="I627" t="s">
        <v>39</v>
      </c>
      <c r="J627">
        <v>5</v>
      </c>
      <c r="K627" t="s">
        <v>18</v>
      </c>
      <c r="L627" t="s">
        <v>107</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719</v>
      </c>
      <c r="B628" t="s">
        <v>43</v>
      </c>
      <c r="C628">
        <v>2</v>
      </c>
      <c r="D628">
        <v>40.1</v>
      </c>
      <c r="E628">
        <v>80.2</v>
      </c>
      <c r="F628" s="1">
        <v>45684</v>
      </c>
      <c r="G628" s="1">
        <v>45685</v>
      </c>
      <c r="H628" t="s">
        <v>26</v>
      </c>
      <c r="I628" t="s">
        <v>39</v>
      </c>
      <c r="J628">
        <v>4</v>
      </c>
      <c r="K628" t="s">
        <v>18</v>
      </c>
      <c r="L628" t="s">
        <v>107</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720</v>
      </c>
      <c r="B629" t="s">
        <v>43</v>
      </c>
      <c r="C629">
        <v>3</v>
      </c>
      <c r="D629">
        <v>18.600000000000001</v>
      </c>
      <c r="E629">
        <v>55.800000000000004</v>
      </c>
      <c r="F629" s="1">
        <v>45684</v>
      </c>
      <c r="G629" s="1">
        <v>45685</v>
      </c>
      <c r="H629" t="s">
        <v>26</v>
      </c>
      <c r="I629" t="s">
        <v>39</v>
      </c>
      <c r="J629">
        <v>4</v>
      </c>
      <c r="K629" t="s">
        <v>18</v>
      </c>
      <c r="L629" t="s">
        <v>114</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721</v>
      </c>
      <c r="B630" t="s">
        <v>31</v>
      </c>
      <c r="C630">
        <v>1</v>
      </c>
      <c r="D630">
        <v>58.8</v>
      </c>
      <c r="E630">
        <v>58.8</v>
      </c>
      <c r="F630" s="1">
        <v>45684</v>
      </c>
      <c r="G630" s="1">
        <v>45686</v>
      </c>
      <c r="H630" t="s">
        <v>26</v>
      </c>
      <c r="I630" t="s">
        <v>17</v>
      </c>
      <c r="J630">
        <v>3</v>
      </c>
      <c r="K630" t="s">
        <v>18</v>
      </c>
      <c r="L630" t="s">
        <v>114</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722</v>
      </c>
      <c r="B631" t="s">
        <v>43</v>
      </c>
      <c r="C631">
        <v>2</v>
      </c>
      <c r="D631">
        <v>22.1</v>
      </c>
      <c r="E631">
        <v>44.2</v>
      </c>
      <c r="F631" s="1">
        <v>45684</v>
      </c>
      <c r="G631" s="1">
        <v>45687</v>
      </c>
      <c r="H631" t="s">
        <v>22</v>
      </c>
      <c r="I631" t="s">
        <v>34</v>
      </c>
      <c r="J631">
        <v>5</v>
      </c>
      <c r="K631" t="s">
        <v>18</v>
      </c>
      <c r="L631" t="s">
        <v>114</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723</v>
      </c>
      <c r="B632" t="s">
        <v>25</v>
      </c>
      <c r="C632">
        <v>1</v>
      </c>
      <c r="D632">
        <v>114.9</v>
      </c>
      <c r="E632">
        <v>114.9</v>
      </c>
      <c r="F632" s="1">
        <v>45685</v>
      </c>
      <c r="G632" s="1">
        <v>45686</v>
      </c>
      <c r="H632" t="s">
        <v>26</v>
      </c>
      <c r="I632" t="s">
        <v>34</v>
      </c>
      <c r="J632">
        <v>3</v>
      </c>
      <c r="K632" t="s">
        <v>18</v>
      </c>
      <c r="L632" t="s">
        <v>146</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724</v>
      </c>
      <c r="B633" t="s">
        <v>45</v>
      </c>
      <c r="C633">
        <v>5</v>
      </c>
      <c r="D633">
        <v>75.8</v>
      </c>
      <c r="E633">
        <v>379</v>
      </c>
      <c r="F633" s="1">
        <v>45685</v>
      </c>
      <c r="G633" s="1">
        <v>45686</v>
      </c>
      <c r="H633" t="s">
        <v>22</v>
      </c>
      <c r="I633" t="s">
        <v>17</v>
      </c>
      <c r="J633">
        <v>5</v>
      </c>
      <c r="K633" t="s">
        <v>18</v>
      </c>
      <c r="L633" t="s">
        <v>32</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725</v>
      </c>
      <c r="B634" t="s">
        <v>80</v>
      </c>
      <c r="C634">
        <v>5</v>
      </c>
      <c r="D634">
        <v>20.6</v>
      </c>
      <c r="E634">
        <v>103</v>
      </c>
      <c r="F634" s="1">
        <v>45685</v>
      </c>
      <c r="G634" s="1">
        <v>45686</v>
      </c>
      <c r="H634" t="s">
        <v>22</v>
      </c>
      <c r="I634" t="s">
        <v>39</v>
      </c>
      <c r="J634">
        <v>5</v>
      </c>
      <c r="K634" t="s">
        <v>18</v>
      </c>
      <c r="L634" t="s">
        <v>32</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726</v>
      </c>
      <c r="B635" t="s">
        <v>134</v>
      </c>
      <c r="C635">
        <v>3</v>
      </c>
      <c r="D635">
        <v>67.900000000000006</v>
      </c>
      <c r="E635">
        <v>203.70000000000002</v>
      </c>
      <c r="F635" s="1">
        <v>45685</v>
      </c>
      <c r="G635" s="1">
        <v>45686</v>
      </c>
      <c r="H635" t="s">
        <v>26</v>
      </c>
      <c r="I635" t="s">
        <v>34</v>
      </c>
      <c r="J635">
        <v>3</v>
      </c>
      <c r="K635" t="s">
        <v>18</v>
      </c>
      <c r="L635" t="s">
        <v>32</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727</v>
      </c>
      <c r="B636" t="s">
        <v>16</v>
      </c>
      <c r="C636">
        <v>5</v>
      </c>
      <c r="D636">
        <v>27</v>
      </c>
      <c r="E636">
        <v>135</v>
      </c>
      <c r="F636" s="1">
        <v>45685</v>
      </c>
      <c r="G636" s="1">
        <v>45692</v>
      </c>
      <c r="H636" t="s">
        <v>26</v>
      </c>
      <c r="I636" t="s">
        <v>17</v>
      </c>
      <c r="J636">
        <v>5</v>
      </c>
      <c r="K636" t="s">
        <v>18</v>
      </c>
      <c r="L636" t="s">
        <v>32</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728</v>
      </c>
      <c r="B637" t="s">
        <v>75</v>
      </c>
      <c r="C637">
        <v>1</v>
      </c>
      <c r="D637">
        <v>50.6</v>
      </c>
      <c r="E637">
        <v>50.6</v>
      </c>
      <c r="F637" s="1">
        <v>45685</v>
      </c>
      <c r="G637" s="1">
        <v>45685</v>
      </c>
      <c r="H637" t="s">
        <v>22</v>
      </c>
      <c r="I637" t="s">
        <v>17</v>
      </c>
      <c r="J637">
        <v>3</v>
      </c>
      <c r="K637" t="s">
        <v>18</v>
      </c>
      <c r="L637" t="s">
        <v>32</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729</v>
      </c>
      <c r="B638" t="s">
        <v>31</v>
      </c>
      <c r="C638">
        <v>5</v>
      </c>
      <c r="D638">
        <v>22.1</v>
      </c>
      <c r="E638">
        <v>110.5</v>
      </c>
      <c r="F638" s="1">
        <v>45685</v>
      </c>
      <c r="G638" s="1">
        <v>45690</v>
      </c>
      <c r="H638" t="s">
        <v>22</v>
      </c>
      <c r="I638" t="s">
        <v>17</v>
      </c>
      <c r="J638">
        <v>4</v>
      </c>
      <c r="K638" t="s">
        <v>18</v>
      </c>
      <c r="L638" t="s">
        <v>32</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730</v>
      </c>
      <c r="B639" t="s">
        <v>43</v>
      </c>
      <c r="C639">
        <v>3</v>
      </c>
      <c r="D639">
        <v>42.9</v>
      </c>
      <c r="E639">
        <v>128.69999999999999</v>
      </c>
      <c r="F639" s="1">
        <v>45685</v>
      </c>
      <c r="G639" s="1">
        <v>45687</v>
      </c>
      <c r="H639" t="s">
        <v>26</v>
      </c>
      <c r="I639" t="s">
        <v>17</v>
      </c>
      <c r="J639">
        <v>4</v>
      </c>
      <c r="K639" t="s">
        <v>18</v>
      </c>
      <c r="L639" t="s">
        <v>32</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731</v>
      </c>
      <c r="B640" t="s">
        <v>21</v>
      </c>
      <c r="C640">
        <v>11</v>
      </c>
      <c r="D640">
        <v>62.4</v>
      </c>
      <c r="E640">
        <v>686.4</v>
      </c>
      <c r="F640" s="1">
        <v>45685</v>
      </c>
      <c r="G640" s="1">
        <v>45687</v>
      </c>
      <c r="H640" t="s">
        <v>26</v>
      </c>
      <c r="I640" t="s">
        <v>39</v>
      </c>
      <c r="J640">
        <v>4</v>
      </c>
      <c r="K640" t="s">
        <v>18</v>
      </c>
      <c r="L640" t="s">
        <v>32</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732</v>
      </c>
      <c r="B641" t="s">
        <v>75</v>
      </c>
      <c r="C641">
        <v>9</v>
      </c>
      <c r="D641">
        <v>36.4</v>
      </c>
      <c r="E641">
        <v>327.59999999999997</v>
      </c>
      <c r="F641" s="1">
        <v>45685</v>
      </c>
      <c r="G641" s="1">
        <v>45687</v>
      </c>
      <c r="H641" t="s">
        <v>26</v>
      </c>
      <c r="I641" t="s">
        <v>17</v>
      </c>
      <c r="J641">
        <v>5</v>
      </c>
      <c r="K641" t="s">
        <v>18</v>
      </c>
      <c r="L641" t="s">
        <v>32</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733</v>
      </c>
      <c r="B642" t="s">
        <v>16</v>
      </c>
      <c r="C642">
        <v>2</v>
      </c>
      <c r="D642">
        <v>22.5</v>
      </c>
      <c r="E642">
        <v>45</v>
      </c>
      <c r="F642" s="1">
        <v>45685</v>
      </c>
      <c r="G642" s="1">
        <v>45688</v>
      </c>
      <c r="H642" t="s">
        <v>22</v>
      </c>
      <c r="I642" t="s">
        <v>17</v>
      </c>
      <c r="J642">
        <v>4</v>
      </c>
      <c r="K642" t="s">
        <v>18</v>
      </c>
      <c r="L642" t="s">
        <v>32</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734</v>
      </c>
      <c r="B643" t="s">
        <v>38</v>
      </c>
      <c r="C643">
        <v>4</v>
      </c>
      <c r="D643">
        <v>70.8</v>
      </c>
      <c r="E643">
        <v>283.2</v>
      </c>
      <c r="F643" s="1">
        <v>45685</v>
      </c>
      <c r="G643" s="1">
        <v>45687</v>
      </c>
      <c r="H643" t="s">
        <v>26</v>
      </c>
      <c r="I643" t="s">
        <v>69</v>
      </c>
      <c r="J643">
        <v>4</v>
      </c>
      <c r="K643" t="s">
        <v>18</v>
      </c>
      <c r="L643" t="s">
        <v>32</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735</v>
      </c>
      <c r="B644" t="s">
        <v>38</v>
      </c>
      <c r="C644">
        <v>5</v>
      </c>
      <c r="D644">
        <v>56.6</v>
      </c>
      <c r="E644">
        <v>283</v>
      </c>
      <c r="F644" s="1">
        <v>45685</v>
      </c>
      <c r="G644" s="1">
        <v>45687</v>
      </c>
      <c r="H644" t="s">
        <v>22</v>
      </c>
      <c r="I644" t="s">
        <v>17</v>
      </c>
      <c r="J644">
        <v>3</v>
      </c>
      <c r="K644" t="s">
        <v>18</v>
      </c>
      <c r="L644" t="s">
        <v>48</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736</v>
      </c>
      <c r="B645" t="s">
        <v>38</v>
      </c>
      <c r="C645">
        <v>2</v>
      </c>
      <c r="D645">
        <v>47.9</v>
      </c>
      <c r="E645">
        <v>95.8</v>
      </c>
      <c r="F645" s="1">
        <v>45685</v>
      </c>
      <c r="G645" s="1">
        <v>45686</v>
      </c>
      <c r="H645" t="s">
        <v>26</v>
      </c>
      <c r="I645" t="s">
        <v>17</v>
      </c>
      <c r="J645">
        <v>4</v>
      </c>
      <c r="K645" t="s">
        <v>18</v>
      </c>
      <c r="L645" t="s">
        <v>54</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737</v>
      </c>
      <c r="B646" t="s">
        <v>38</v>
      </c>
      <c r="C646">
        <v>8</v>
      </c>
      <c r="D646">
        <v>78.400000000000006</v>
      </c>
      <c r="E646">
        <v>627.20000000000005</v>
      </c>
      <c r="F646" s="1">
        <v>45685</v>
      </c>
      <c r="G646" s="1">
        <v>45687</v>
      </c>
      <c r="H646" t="s">
        <v>26</v>
      </c>
      <c r="I646" t="s">
        <v>34</v>
      </c>
      <c r="J646">
        <v>4</v>
      </c>
      <c r="K646" t="s">
        <v>18</v>
      </c>
      <c r="L646" t="s">
        <v>54</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738</v>
      </c>
      <c r="B647" t="s">
        <v>25</v>
      </c>
      <c r="C647">
        <v>14</v>
      </c>
      <c r="D647">
        <v>122.1</v>
      </c>
      <c r="E647">
        <v>1709.3999999999999</v>
      </c>
      <c r="F647" s="1">
        <v>45685</v>
      </c>
      <c r="G647" s="1">
        <v>45690</v>
      </c>
      <c r="H647" t="s">
        <v>26</v>
      </c>
      <c r="I647" t="s">
        <v>17</v>
      </c>
      <c r="J647">
        <v>5</v>
      </c>
      <c r="K647" t="s">
        <v>18</v>
      </c>
      <c r="L647" t="s">
        <v>54</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739</v>
      </c>
      <c r="B648" t="s">
        <v>25</v>
      </c>
      <c r="C648">
        <v>2</v>
      </c>
      <c r="D648">
        <v>83.7</v>
      </c>
      <c r="E648">
        <v>167.4</v>
      </c>
      <c r="F648" s="1">
        <v>45686</v>
      </c>
      <c r="G648" s="1">
        <v>45686</v>
      </c>
      <c r="I648" t="s">
        <v>34</v>
      </c>
      <c r="J648">
        <v>5</v>
      </c>
      <c r="K648" t="s">
        <v>18</v>
      </c>
      <c r="L648" t="s">
        <v>58</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740</v>
      </c>
      <c r="B649" t="s">
        <v>29</v>
      </c>
      <c r="C649">
        <v>4</v>
      </c>
      <c r="D649">
        <v>97.9</v>
      </c>
      <c r="E649">
        <v>391.6</v>
      </c>
      <c r="F649" s="1">
        <v>45686</v>
      </c>
      <c r="G649" s="1">
        <v>45690</v>
      </c>
      <c r="H649" t="s">
        <v>26</v>
      </c>
      <c r="I649" t="s">
        <v>50</v>
      </c>
      <c r="J649">
        <v>5</v>
      </c>
      <c r="K649" t="s">
        <v>18</v>
      </c>
      <c r="L649" t="s">
        <v>58</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741</v>
      </c>
      <c r="B650" t="s">
        <v>80</v>
      </c>
      <c r="C650">
        <v>1</v>
      </c>
      <c r="D650">
        <v>15</v>
      </c>
      <c r="E650">
        <v>15</v>
      </c>
      <c r="F650" s="1">
        <v>45686</v>
      </c>
      <c r="G650" s="1">
        <v>45691</v>
      </c>
      <c r="H650" t="s">
        <v>26</v>
      </c>
      <c r="I650" t="s">
        <v>50</v>
      </c>
      <c r="J650">
        <v>4</v>
      </c>
      <c r="K650" t="s">
        <v>18</v>
      </c>
      <c r="L650" t="s">
        <v>61</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742</v>
      </c>
      <c r="B651" t="s">
        <v>68</v>
      </c>
      <c r="C651">
        <v>3</v>
      </c>
      <c r="D651">
        <v>94.6</v>
      </c>
      <c r="E651">
        <v>283.79999999999995</v>
      </c>
      <c r="F651" s="1">
        <v>45686</v>
      </c>
      <c r="G651" s="1">
        <v>45687</v>
      </c>
      <c r="H651" t="s">
        <v>22</v>
      </c>
      <c r="I651" t="s">
        <v>39</v>
      </c>
      <c r="J651">
        <v>3</v>
      </c>
      <c r="K651" t="s">
        <v>18</v>
      </c>
      <c r="L651" t="s">
        <v>61</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743</v>
      </c>
      <c r="B652" t="s">
        <v>16</v>
      </c>
      <c r="C652">
        <v>6</v>
      </c>
      <c r="D652">
        <v>19.7</v>
      </c>
      <c r="E652">
        <v>118.19999999999999</v>
      </c>
      <c r="F652" s="1">
        <v>45686</v>
      </c>
      <c r="G652" s="1">
        <v>45697</v>
      </c>
      <c r="H652" t="s">
        <v>26</v>
      </c>
      <c r="I652" t="s">
        <v>17</v>
      </c>
      <c r="J652">
        <v>5</v>
      </c>
      <c r="K652" t="s">
        <v>18</v>
      </c>
      <c r="L652" t="s">
        <v>61</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744</v>
      </c>
      <c r="B653" t="s">
        <v>41</v>
      </c>
      <c r="C653">
        <v>1</v>
      </c>
      <c r="D653">
        <v>46.7</v>
      </c>
      <c r="E653">
        <v>46.7</v>
      </c>
      <c r="F653" s="1">
        <v>45686</v>
      </c>
      <c r="G653" s="1">
        <v>45689</v>
      </c>
      <c r="H653" t="s">
        <v>26</v>
      </c>
      <c r="I653" t="s">
        <v>39</v>
      </c>
      <c r="J653">
        <v>4</v>
      </c>
      <c r="K653" t="s">
        <v>18</v>
      </c>
      <c r="L653" t="s">
        <v>102</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745</v>
      </c>
      <c r="B654" t="s">
        <v>21</v>
      </c>
      <c r="C654">
        <v>4</v>
      </c>
      <c r="D654">
        <v>43</v>
      </c>
      <c r="E654">
        <v>172</v>
      </c>
      <c r="F654" s="1">
        <v>45686</v>
      </c>
      <c r="G654" s="1">
        <v>45687</v>
      </c>
      <c r="H654" t="s">
        <v>22</v>
      </c>
      <c r="I654" t="s">
        <v>39</v>
      </c>
      <c r="J654">
        <v>5</v>
      </c>
      <c r="K654" t="s">
        <v>18</v>
      </c>
      <c r="L654" t="s">
        <v>102</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746</v>
      </c>
      <c r="B655" t="s">
        <v>38</v>
      </c>
      <c r="C655">
        <v>3</v>
      </c>
      <c r="D655">
        <v>68.2</v>
      </c>
      <c r="E655">
        <v>204.60000000000002</v>
      </c>
      <c r="F655" s="1">
        <v>45686</v>
      </c>
      <c r="G655" s="1">
        <v>45692</v>
      </c>
      <c r="H655" t="s">
        <v>26</v>
      </c>
      <c r="I655" t="s">
        <v>17</v>
      </c>
      <c r="J655">
        <v>4</v>
      </c>
      <c r="K655" t="s">
        <v>18</v>
      </c>
      <c r="L655" t="s">
        <v>71</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747</v>
      </c>
      <c r="B656" t="s">
        <v>53</v>
      </c>
      <c r="C656">
        <v>10</v>
      </c>
      <c r="D656">
        <v>24.3</v>
      </c>
      <c r="E656">
        <v>243</v>
      </c>
      <c r="F656" s="1">
        <v>45686</v>
      </c>
      <c r="G656" s="1">
        <v>45687</v>
      </c>
      <c r="H656" t="s">
        <v>22</v>
      </c>
      <c r="I656" t="s">
        <v>17</v>
      </c>
      <c r="J656">
        <v>5</v>
      </c>
      <c r="K656" t="s">
        <v>18</v>
      </c>
      <c r="L656" t="s">
        <v>73</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748</v>
      </c>
      <c r="B657" t="s">
        <v>41</v>
      </c>
      <c r="C657">
        <v>2</v>
      </c>
      <c r="D657">
        <v>86.8</v>
      </c>
      <c r="E657">
        <v>173.6</v>
      </c>
      <c r="F657" s="1">
        <v>45686</v>
      </c>
      <c r="G657" s="1">
        <v>45690</v>
      </c>
      <c r="H657" t="s">
        <v>26</v>
      </c>
      <c r="I657" t="s">
        <v>69</v>
      </c>
      <c r="J657">
        <v>5</v>
      </c>
      <c r="K657" t="s">
        <v>18</v>
      </c>
      <c r="L657" t="s">
        <v>76</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749</v>
      </c>
      <c r="B658" t="s">
        <v>16</v>
      </c>
      <c r="C658">
        <v>2</v>
      </c>
      <c r="D658">
        <v>15.8</v>
      </c>
      <c r="E658">
        <v>31.6</v>
      </c>
      <c r="F658" s="1">
        <v>45686</v>
      </c>
      <c r="G658" s="1">
        <v>45688</v>
      </c>
      <c r="H658" t="s">
        <v>22</v>
      </c>
      <c r="I658" t="s">
        <v>34</v>
      </c>
      <c r="J658">
        <v>4</v>
      </c>
      <c r="K658" t="s">
        <v>18</v>
      </c>
      <c r="L658" t="s">
        <v>76</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750</v>
      </c>
      <c r="B659" t="s">
        <v>25</v>
      </c>
      <c r="C659">
        <v>4</v>
      </c>
      <c r="D659">
        <v>61.6</v>
      </c>
      <c r="E659">
        <v>246.4</v>
      </c>
      <c r="F659" s="1">
        <v>45686</v>
      </c>
      <c r="G659" s="1">
        <v>45687</v>
      </c>
      <c r="H659" t="s">
        <v>22</v>
      </c>
      <c r="I659" t="s">
        <v>39</v>
      </c>
      <c r="J659">
        <v>4</v>
      </c>
      <c r="K659" t="s">
        <v>18</v>
      </c>
      <c r="L659" t="s">
        <v>76</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751</v>
      </c>
      <c r="B660" t="s">
        <v>38</v>
      </c>
      <c r="C660">
        <v>3</v>
      </c>
      <c r="D660">
        <v>48.7</v>
      </c>
      <c r="E660">
        <v>146.10000000000002</v>
      </c>
      <c r="F660" s="1">
        <v>45686</v>
      </c>
      <c r="G660" s="1">
        <v>45692</v>
      </c>
      <c r="H660" t="s">
        <v>26</v>
      </c>
      <c r="I660" t="s">
        <v>34</v>
      </c>
      <c r="J660">
        <v>5</v>
      </c>
      <c r="K660" t="s">
        <v>18</v>
      </c>
      <c r="L660" t="s">
        <v>607</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752</v>
      </c>
      <c r="B661" t="s">
        <v>43</v>
      </c>
      <c r="C661">
        <v>4</v>
      </c>
      <c r="D661">
        <v>24.3</v>
      </c>
      <c r="E661">
        <v>97.2</v>
      </c>
      <c r="F661" s="1">
        <v>45686</v>
      </c>
      <c r="G661" s="1">
        <v>45688</v>
      </c>
      <c r="H661" t="s">
        <v>26</v>
      </c>
      <c r="I661" t="s">
        <v>34</v>
      </c>
      <c r="J661">
        <v>5</v>
      </c>
      <c r="K661" t="s">
        <v>18</v>
      </c>
      <c r="L661" t="s">
        <v>114</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753</v>
      </c>
      <c r="B662" t="s">
        <v>25</v>
      </c>
      <c r="C662">
        <v>2</v>
      </c>
      <c r="D662">
        <v>130.69999999999999</v>
      </c>
      <c r="E662">
        <v>261.39999999999998</v>
      </c>
      <c r="F662" s="1">
        <v>45686</v>
      </c>
      <c r="G662" s="1">
        <v>45687</v>
      </c>
      <c r="H662" t="s">
        <v>26</v>
      </c>
      <c r="I662" t="s">
        <v>39</v>
      </c>
      <c r="J662">
        <v>4</v>
      </c>
      <c r="K662" t="s">
        <v>18</v>
      </c>
      <c r="L662" t="s">
        <v>586</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754</v>
      </c>
      <c r="B663" t="s">
        <v>53</v>
      </c>
      <c r="C663">
        <v>1</v>
      </c>
      <c r="D663">
        <v>26</v>
      </c>
      <c r="E663">
        <v>26</v>
      </c>
      <c r="F663" s="1">
        <v>45686</v>
      </c>
      <c r="G663" s="1">
        <v>45688</v>
      </c>
      <c r="H663" t="s">
        <v>22</v>
      </c>
      <c r="I663" t="s">
        <v>17</v>
      </c>
      <c r="J663">
        <v>4</v>
      </c>
      <c r="K663" t="s">
        <v>18</v>
      </c>
      <c r="L663" t="s">
        <v>32</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755</v>
      </c>
      <c r="B664" t="s">
        <v>25</v>
      </c>
      <c r="C664">
        <v>5</v>
      </c>
      <c r="D664">
        <v>94.4</v>
      </c>
      <c r="E664">
        <v>472</v>
      </c>
      <c r="F664" s="1">
        <v>45686</v>
      </c>
      <c r="G664" s="1">
        <v>45687</v>
      </c>
      <c r="H664" t="s">
        <v>26</v>
      </c>
      <c r="I664" t="s">
        <v>17</v>
      </c>
      <c r="J664">
        <v>4</v>
      </c>
      <c r="K664" t="s">
        <v>18</v>
      </c>
      <c r="L664" t="s">
        <v>32</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756</v>
      </c>
      <c r="B665" t="s">
        <v>16</v>
      </c>
      <c r="C665">
        <v>6</v>
      </c>
      <c r="D665">
        <v>23.7</v>
      </c>
      <c r="E665">
        <v>142.19999999999999</v>
      </c>
      <c r="F665" s="1">
        <v>45686</v>
      </c>
      <c r="G665" s="1">
        <v>45688</v>
      </c>
      <c r="H665" t="s">
        <v>22</v>
      </c>
      <c r="I665" t="s">
        <v>39</v>
      </c>
      <c r="J665">
        <v>5</v>
      </c>
      <c r="K665" t="s">
        <v>18</v>
      </c>
      <c r="L665" t="s">
        <v>32</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757</v>
      </c>
      <c r="B666" t="s">
        <v>45</v>
      </c>
      <c r="C666">
        <v>12</v>
      </c>
      <c r="D666">
        <v>37.4</v>
      </c>
      <c r="E666">
        <v>448.79999999999995</v>
      </c>
      <c r="F666" s="1">
        <v>45686</v>
      </c>
      <c r="G666" s="1">
        <v>45688</v>
      </c>
      <c r="H666" t="s">
        <v>22</v>
      </c>
      <c r="I666" t="s">
        <v>39</v>
      </c>
      <c r="J666">
        <v>4</v>
      </c>
      <c r="K666" t="s">
        <v>18</v>
      </c>
      <c r="L666" t="s">
        <v>32</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758</v>
      </c>
      <c r="B667" t="s">
        <v>21</v>
      </c>
      <c r="C667">
        <v>36</v>
      </c>
      <c r="D667">
        <v>55.2</v>
      </c>
      <c r="E667">
        <v>1987.2</v>
      </c>
      <c r="F667" s="1">
        <v>45686</v>
      </c>
      <c r="G667" s="1">
        <v>45686</v>
      </c>
      <c r="H667" t="s">
        <v>26</v>
      </c>
      <c r="I667" t="s">
        <v>50</v>
      </c>
      <c r="J667">
        <v>3</v>
      </c>
      <c r="K667" t="s">
        <v>18</v>
      </c>
      <c r="L667" t="s">
        <v>32</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759</v>
      </c>
      <c r="B668" t="s">
        <v>25</v>
      </c>
      <c r="C668">
        <v>9</v>
      </c>
      <c r="D668">
        <v>57.1</v>
      </c>
      <c r="E668">
        <v>513.9</v>
      </c>
      <c r="F668" s="1">
        <v>45686</v>
      </c>
      <c r="G668" s="1">
        <v>45688</v>
      </c>
      <c r="H668" t="s">
        <v>22</v>
      </c>
      <c r="I668" t="s">
        <v>17</v>
      </c>
      <c r="J668">
        <v>5</v>
      </c>
      <c r="K668" t="s">
        <v>18</v>
      </c>
      <c r="L668" t="s">
        <v>32</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760</v>
      </c>
      <c r="B669" t="s">
        <v>68</v>
      </c>
      <c r="C669">
        <v>1</v>
      </c>
      <c r="D669">
        <v>55.3</v>
      </c>
      <c r="E669">
        <v>55.3</v>
      </c>
      <c r="F669" s="1">
        <v>45686</v>
      </c>
      <c r="G669" s="1">
        <v>45687</v>
      </c>
      <c r="H669" t="s">
        <v>26</v>
      </c>
      <c r="I669" t="s">
        <v>39</v>
      </c>
      <c r="J669">
        <v>5</v>
      </c>
      <c r="K669" t="s">
        <v>18</v>
      </c>
      <c r="L669" t="s">
        <v>32</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761</v>
      </c>
      <c r="B670" t="s">
        <v>122</v>
      </c>
      <c r="C670">
        <v>7</v>
      </c>
      <c r="D670">
        <v>23.9</v>
      </c>
      <c r="E670">
        <v>167.29999999999998</v>
      </c>
      <c r="F670" s="1">
        <v>45686</v>
      </c>
      <c r="G670" s="1">
        <v>45687</v>
      </c>
      <c r="H670" t="s">
        <v>26</v>
      </c>
      <c r="I670" t="s">
        <v>69</v>
      </c>
      <c r="J670">
        <v>3</v>
      </c>
      <c r="K670" t="s">
        <v>18</v>
      </c>
      <c r="L670" t="s">
        <v>32</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762</v>
      </c>
      <c r="B671" t="s">
        <v>16</v>
      </c>
      <c r="C671">
        <v>1</v>
      </c>
      <c r="D671">
        <v>34.1</v>
      </c>
      <c r="E671">
        <v>34.1</v>
      </c>
      <c r="F671" s="1">
        <v>45686</v>
      </c>
      <c r="G671" s="1">
        <v>45693</v>
      </c>
      <c r="H671" t="s">
        <v>26</v>
      </c>
      <c r="I671" t="s">
        <v>39</v>
      </c>
      <c r="J671">
        <v>4</v>
      </c>
      <c r="K671" t="s">
        <v>18</v>
      </c>
      <c r="L671" t="s">
        <v>32</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763</v>
      </c>
      <c r="B672" t="s">
        <v>68</v>
      </c>
      <c r="C672">
        <v>4</v>
      </c>
      <c r="D672">
        <v>38.5</v>
      </c>
      <c r="E672">
        <v>154</v>
      </c>
      <c r="F672" s="1">
        <v>45686</v>
      </c>
      <c r="G672" s="1">
        <v>45697</v>
      </c>
      <c r="H672" t="s">
        <v>26</v>
      </c>
      <c r="I672" t="s">
        <v>17</v>
      </c>
      <c r="J672">
        <v>4</v>
      </c>
      <c r="K672" t="s">
        <v>18</v>
      </c>
      <c r="L672" t="s">
        <v>32</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764</v>
      </c>
      <c r="B673" t="s">
        <v>41</v>
      </c>
      <c r="C673">
        <v>2</v>
      </c>
      <c r="D673">
        <v>105</v>
      </c>
      <c r="E673">
        <v>210</v>
      </c>
      <c r="F673" s="1">
        <v>45686</v>
      </c>
      <c r="G673" s="1">
        <v>45692</v>
      </c>
      <c r="H673" t="s">
        <v>26</v>
      </c>
      <c r="I673" t="s">
        <v>17</v>
      </c>
      <c r="J673">
        <v>5</v>
      </c>
      <c r="K673" t="s">
        <v>18</v>
      </c>
      <c r="L673" t="s">
        <v>32</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765</v>
      </c>
      <c r="B674" t="s">
        <v>43</v>
      </c>
      <c r="C674">
        <v>5</v>
      </c>
      <c r="D674">
        <v>45.2</v>
      </c>
      <c r="E674">
        <v>226</v>
      </c>
      <c r="F674" s="1">
        <v>45686</v>
      </c>
      <c r="G674" s="1">
        <v>45688</v>
      </c>
      <c r="H674" t="s">
        <v>26</v>
      </c>
      <c r="I674" t="s">
        <v>17</v>
      </c>
      <c r="J674">
        <v>5</v>
      </c>
      <c r="K674" t="s">
        <v>18</v>
      </c>
      <c r="L674" t="s">
        <v>32</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766</v>
      </c>
      <c r="B675" t="s">
        <v>134</v>
      </c>
      <c r="C675">
        <v>3</v>
      </c>
      <c r="D675">
        <v>24.8</v>
      </c>
      <c r="E675">
        <v>74.400000000000006</v>
      </c>
      <c r="F675" s="1">
        <v>45686</v>
      </c>
      <c r="G675" s="1">
        <v>45686</v>
      </c>
      <c r="I675" t="s">
        <v>17</v>
      </c>
      <c r="J675">
        <v>3</v>
      </c>
      <c r="K675" t="s">
        <v>18</v>
      </c>
      <c r="L675" t="s">
        <v>32</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767</v>
      </c>
      <c r="B676" t="s">
        <v>66</v>
      </c>
      <c r="C676">
        <v>4</v>
      </c>
      <c r="D676">
        <v>43.8</v>
      </c>
      <c r="E676">
        <v>175.2</v>
      </c>
      <c r="F676" s="1">
        <v>45686</v>
      </c>
      <c r="G676" s="1">
        <v>45693</v>
      </c>
      <c r="H676" t="s">
        <v>26</v>
      </c>
      <c r="I676" t="s">
        <v>34</v>
      </c>
      <c r="J676">
        <v>5</v>
      </c>
      <c r="K676" t="s">
        <v>18</v>
      </c>
      <c r="L676" t="s">
        <v>54</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768</v>
      </c>
      <c r="B677" t="s">
        <v>21</v>
      </c>
      <c r="C677">
        <v>1</v>
      </c>
      <c r="D677">
        <v>75</v>
      </c>
      <c r="E677">
        <v>75</v>
      </c>
      <c r="F677" s="1">
        <v>45686</v>
      </c>
      <c r="G677" s="1">
        <v>45688</v>
      </c>
      <c r="H677" t="s">
        <v>26</v>
      </c>
      <c r="I677" t="s">
        <v>69</v>
      </c>
      <c r="J677">
        <v>3</v>
      </c>
      <c r="K677" t="s">
        <v>18</v>
      </c>
      <c r="L677" t="s">
        <v>54</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769</v>
      </c>
      <c r="B678" t="s">
        <v>25</v>
      </c>
      <c r="C678">
        <v>1</v>
      </c>
      <c r="D678">
        <v>169.9</v>
      </c>
      <c r="E678">
        <v>169.9</v>
      </c>
      <c r="F678" s="1">
        <v>45686</v>
      </c>
      <c r="G678" s="1">
        <v>45687</v>
      </c>
      <c r="H678" t="s">
        <v>22</v>
      </c>
      <c r="I678" t="s">
        <v>39</v>
      </c>
      <c r="J678">
        <v>4</v>
      </c>
      <c r="K678" t="s">
        <v>18</v>
      </c>
      <c r="L678" t="s">
        <v>54</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770</v>
      </c>
      <c r="B679" t="s">
        <v>45</v>
      </c>
      <c r="C679">
        <v>2</v>
      </c>
      <c r="D679">
        <v>72.2</v>
      </c>
      <c r="E679">
        <v>144.4</v>
      </c>
      <c r="F679" s="1">
        <v>45686</v>
      </c>
      <c r="G679" s="1">
        <v>45688</v>
      </c>
      <c r="H679" t="s">
        <v>26</v>
      </c>
      <c r="I679" t="s">
        <v>69</v>
      </c>
      <c r="J679">
        <v>3</v>
      </c>
      <c r="K679" t="s">
        <v>18</v>
      </c>
      <c r="L679" t="s">
        <v>54</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771</v>
      </c>
      <c r="B680" t="s">
        <v>16</v>
      </c>
      <c r="C680">
        <v>1</v>
      </c>
      <c r="D680">
        <v>20</v>
      </c>
      <c r="E680">
        <v>20</v>
      </c>
      <c r="F680" s="1">
        <v>45687</v>
      </c>
      <c r="G680" s="1">
        <v>45690</v>
      </c>
      <c r="H680" t="s">
        <v>26</v>
      </c>
      <c r="I680" t="s">
        <v>39</v>
      </c>
      <c r="J680">
        <v>3</v>
      </c>
      <c r="K680" t="s">
        <v>18</v>
      </c>
      <c r="L680" t="s">
        <v>58</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772</v>
      </c>
      <c r="B681" t="s">
        <v>45</v>
      </c>
      <c r="C681">
        <v>2</v>
      </c>
      <c r="D681">
        <v>40.799999999999997</v>
      </c>
      <c r="E681">
        <v>81.599999999999994</v>
      </c>
      <c r="F681" s="1">
        <v>45687</v>
      </c>
      <c r="G681" s="1">
        <v>45689</v>
      </c>
      <c r="H681" t="s">
        <v>26</v>
      </c>
      <c r="I681" t="s">
        <v>50</v>
      </c>
      <c r="J681">
        <v>5</v>
      </c>
      <c r="K681" t="s">
        <v>18</v>
      </c>
      <c r="L681" t="s">
        <v>61</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773</v>
      </c>
      <c r="B682" t="s">
        <v>53</v>
      </c>
      <c r="C682">
        <v>4</v>
      </c>
      <c r="D682">
        <v>58</v>
      </c>
      <c r="E682">
        <v>232</v>
      </c>
      <c r="F682" s="1">
        <v>45687</v>
      </c>
      <c r="G682" s="1">
        <v>45691</v>
      </c>
      <c r="H682" t="s">
        <v>26</v>
      </c>
      <c r="I682" t="s">
        <v>17</v>
      </c>
      <c r="J682">
        <v>4</v>
      </c>
      <c r="K682" t="s">
        <v>18</v>
      </c>
      <c r="L682" t="s">
        <v>61</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774</v>
      </c>
      <c r="B683" t="s">
        <v>68</v>
      </c>
      <c r="C683">
        <v>2</v>
      </c>
      <c r="D683">
        <v>43.1</v>
      </c>
      <c r="E683">
        <v>86.2</v>
      </c>
      <c r="F683" s="1">
        <v>45687</v>
      </c>
      <c r="G683" s="1">
        <v>45688</v>
      </c>
      <c r="H683" t="s">
        <v>26</v>
      </c>
      <c r="I683" t="s">
        <v>34</v>
      </c>
      <c r="J683">
        <v>5</v>
      </c>
      <c r="K683" t="s">
        <v>18</v>
      </c>
      <c r="L683" t="s">
        <v>61</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775</v>
      </c>
      <c r="B684" t="s">
        <v>38</v>
      </c>
      <c r="C684">
        <v>9</v>
      </c>
      <c r="D684">
        <v>74.7</v>
      </c>
      <c r="E684">
        <v>672.30000000000007</v>
      </c>
      <c r="F684" s="1">
        <v>45687</v>
      </c>
      <c r="G684" s="1">
        <v>45689</v>
      </c>
      <c r="H684" t="s">
        <v>22</v>
      </c>
      <c r="I684" t="s">
        <v>17</v>
      </c>
      <c r="J684">
        <v>5</v>
      </c>
      <c r="K684" t="s">
        <v>18</v>
      </c>
      <c r="L684" t="s">
        <v>61</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776</v>
      </c>
      <c r="B685" t="s">
        <v>38</v>
      </c>
      <c r="C685">
        <v>1</v>
      </c>
      <c r="D685">
        <v>128.19999999999999</v>
      </c>
      <c r="E685">
        <v>128.19999999999999</v>
      </c>
      <c r="F685" s="1">
        <v>45687</v>
      </c>
      <c r="G685" s="1">
        <v>45687</v>
      </c>
      <c r="H685" t="s">
        <v>22</v>
      </c>
      <c r="I685" t="s">
        <v>34</v>
      </c>
      <c r="J685">
        <v>4</v>
      </c>
      <c r="K685" t="s">
        <v>18</v>
      </c>
      <c r="L685" t="s">
        <v>61</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777</v>
      </c>
      <c r="B686" t="s">
        <v>80</v>
      </c>
      <c r="C686">
        <v>4</v>
      </c>
      <c r="D686">
        <v>26.7</v>
      </c>
      <c r="E686">
        <v>106.8</v>
      </c>
      <c r="F686" s="1">
        <v>45687</v>
      </c>
      <c r="G686" s="1">
        <v>45688</v>
      </c>
      <c r="H686" t="s">
        <v>22</v>
      </c>
      <c r="I686" t="s">
        <v>34</v>
      </c>
      <c r="J686">
        <v>4</v>
      </c>
      <c r="K686" t="s">
        <v>18</v>
      </c>
      <c r="L686" t="s">
        <v>61</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778</v>
      </c>
      <c r="B687" t="s">
        <v>134</v>
      </c>
      <c r="C687">
        <v>6</v>
      </c>
      <c r="D687">
        <v>31.5</v>
      </c>
      <c r="E687">
        <v>189</v>
      </c>
      <c r="F687" s="1">
        <v>45687</v>
      </c>
      <c r="G687" s="1">
        <v>45688</v>
      </c>
      <c r="H687" t="s">
        <v>26</v>
      </c>
      <c r="I687" t="s">
        <v>39</v>
      </c>
      <c r="J687">
        <v>4</v>
      </c>
      <c r="K687" t="s">
        <v>18</v>
      </c>
      <c r="L687" t="s">
        <v>102</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779</v>
      </c>
      <c r="B688" t="s">
        <v>29</v>
      </c>
      <c r="C688">
        <v>7</v>
      </c>
      <c r="D688">
        <v>64.7</v>
      </c>
      <c r="E688">
        <v>452.90000000000003</v>
      </c>
      <c r="F688" s="1">
        <v>45687</v>
      </c>
      <c r="G688" s="1">
        <v>45688</v>
      </c>
      <c r="H688" t="s">
        <v>26</v>
      </c>
      <c r="I688" t="s">
        <v>17</v>
      </c>
      <c r="J688">
        <v>5</v>
      </c>
      <c r="K688" t="s">
        <v>18</v>
      </c>
      <c r="L688" t="s">
        <v>71</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780</v>
      </c>
      <c r="B689" t="s">
        <v>36</v>
      </c>
      <c r="C689">
        <v>2</v>
      </c>
      <c r="D689">
        <v>55.6</v>
      </c>
      <c r="E689">
        <v>111.2</v>
      </c>
      <c r="F689" s="1">
        <v>45687</v>
      </c>
      <c r="G689" s="1">
        <v>45690</v>
      </c>
      <c r="H689" t="s">
        <v>26</v>
      </c>
      <c r="I689" t="s">
        <v>50</v>
      </c>
      <c r="J689">
        <v>4</v>
      </c>
      <c r="K689" t="s">
        <v>18</v>
      </c>
      <c r="L689" t="s">
        <v>76</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781</v>
      </c>
      <c r="B690" t="s">
        <v>29</v>
      </c>
      <c r="C690">
        <v>2</v>
      </c>
      <c r="D690">
        <v>36.200000000000003</v>
      </c>
      <c r="E690">
        <v>72.400000000000006</v>
      </c>
      <c r="F690" s="1">
        <v>45687</v>
      </c>
      <c r="G690" s="1">
        <v>45688</v>
      </c>
      <c r="H690" t="s">
        <v>26</v>
      </c>
      <c r="I690" t="s">
        <v>50</v>
      </c>
      <c r="J690">
        <v>4</v>
      </c>
      <c r="K690" t="s">
        <v>18</v>
      </c>
      <c r="L690" t="s">
        <v>76</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782</v>
      </c>
      <c r="B691" t="s">
        <v>16</v>
      </c>
      <c r="C691">
        <v>1</v>
      </c>
      <c r="D691">
        <v>26.6</v>
      </c>
      <c r="E691">
        <v>26.6</v>
      </c>
      <c r="F691" s="1">
        <v>45687</v>
      </c>
      <c r="G691" s="1">
        <v>45688</v>
      </c>
      <c r="I691" t="s">
        <v>34</v>
      </c>
      <c r="J691">
        <v>3</v>
      </c>
      <c r="K691" t="s">
        <v>18</v>
      </c>
      <c r="L691" t="s">
        <v>109</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783</v>
      </c>
      <c r="B692" t="s">
        <v>53</v>
      </c>
      <c r="C692">
        <v>4</v>
      </c>
      <c r="D692">
        <v>31.5</v>
      </c>
      <c r="E692">
        <v>126</v>
      </c>
      <c r="F692" s="1">
        <v>45687</v>
      </c>
      <c r="G692" s="1">
        <v>45689</v>
      </c>
      <c r="H692" t="s">
        <v>22</v>
      </c>
      <c r="I692" t="s">
        <v>17</v>
      </c>
      <c r="J692">
        <v>4</v>
      </c>
      <c r="K692" t="s">
        <v>18</v>
      </c>
      <c r="L692" t="s">
        <v>291</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784</v>
      </c>
      <c r="B693" t="s">
        <v>53</v>
      </c>
      <c r="C693">
        <v>1</v>
      </c>
      <c r="D693">
        <v>27</v>
      </c>
      <c r="E693">
        <v>27</v>
      </c>
      <c r="F693" s="1">
        <v>45687</v>
      </c>
      <c r="G693" s="1">
        <v>45689</v>
      </c>
      <c r="H693" t="s">
        <v>26</v>
      </c>
      <c r="I693" t="s">
        <v>34</v>
      </c>
      <c r="J693">
        <v>5</v>
      </c>
      <c r="K693" t="s">
        <v>18</v>
      </c>
      <c r="L693" t="s">
        <v>81</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785</v>
      </c>
      <c r="B694" t="s">
        <v>31</v>
      </c>
      <c r="C694">
        <v>1</v>
      </c>
      <c r="D694">
        <v>32</v>
      </c>
      <c r="E694">
        <v>32</v>
      </c>
      <c r="F694" s="1">
        <v>45687</v>
      </c>
      <c r="G694" s="1">
        <v>45690</v>
      </c>
      <c r="H694" t="s">
        <v>22</v>
      </c>
      <c r="I694" t="s">
        <v>50</v>
      </c>
      <c r="J694">
        <v>4</v>
      </c>
      <c r="K694" t="s">
        <v>18</v>
      </c>
      <c r="L694" t="s">
        <v>114</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786</v>
      </c>
      <c r="B695" t="s">
        <v>21</v>
      </c>
      <c r="C695">
        <v>3</v>
      </c>
      <c r="D695">
        <v>48.1</v>
      </c>
      <c r="E695">
        <v>144.30000000000001</v>
      </c>
      <c r="F695" s="1">
        <v>45687</v>
      </c>
      <c r="G695" s="1">
        <v>45689</v>
      </c>
      <c r="H695" t="s">
        <v>22</v>
      </c>
      <c r="I695" t="s">
        <v>39</v>
      </c>
      <c r="J695">
        <v>3</v>
      </c>
      <c r="K695" t="s">
        <v>18</v>
      </c>
      <c r="L695" t="s">
        <v>23</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787</v>
      </c>
      <c r="B696" t="s">
        <v>45</v>
      </c>
      <c r="C696">
        <v>2</v>
      </c>
      <c r="D696">
        <v>43.4</v>
      </c>
      <c r="E696">
        <v>86.8</v>
      </c>
      <c r="F696" s="1">
        <v>45687</v>
      </c>
      <c r="G696" s="1">
        <v>45688</v>
      </c>
      <c r="H696" t="s">
        <v>22</v>
      </c>
      <c r="I696" t="s">
        <v>34</v>
      </c>
      <c r="J696">
        <v>3</v>
      </c>
      <c r="K696" t="s">
        <v>18</v>
      </c>
      <c r="L696" t="s">
        <v>146</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788</v>
      </c>
      <c r="B697" t="s">
        <v>38</v>
      </c>
      <c r="C697">
        <v>2</v>
      </c>
      <c r="D697">
        <v>42.6</v>
      </c>
      <c r="E697">
        <v>85.2</v>
      </c>
      <c r="F697" s="1">
        <v>45687</v>
      </c>
      <c r="G697" s="1">
        <v>45690</v>
      </c>
      <c r="H697" t="s">
        <v>26</v>
      </c>
      <c r="I697" t="s">
        <v>50</v>
      </c>
      <c r="J697">
        <v>4</v>
      </c>
      <c r="K697" t="s">
        <v>18</v>
      </c>
      <c r="L697" t="s">
        <v>146</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789</v>
      </c>
      <c r="B698" t="s">
        <v>43</v>
      </c>
      <c r="C698">
        <v>2</v>
      </c>
      <c r="D698">
        <v>15.9</v>
      </c>
      <c r="E698">
        <v>31.8</v>
      </c>
      <c r="F698" s="1">
        <v>45687</v>
      </c>
      <c r="G698" s="1">
        <v>45688</v>
      </c>
      <c r="H698" t="s">
        <v>26</v>
      </c>
      <c r="I698" t="s">
        <v>17</v>
      </c>
      <c r="J698">
        <v>4</v>
      </c>
      <c r="K698" t="s">
        <v>18</v>
      </c>
      <c r="L698" t="s">
        <v>333</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790</v>
      </c>
      <c r="B699" t="s">
        <v>45</v>
      </c>
      <c r="C699">
        <v>2</v>
      </c>
      <c r="D699">
        <v>63.2</v>
      </c>
      <c r="E699">
        <v>126.4</v>
      </c>
      <c r="F699" s="1">
        <v>45687</v>
      </c>
      <c r="G699" s="1">
        <v>45688</v>
      </c>
      <c r="H699" t="s">
        <v>22</v>
      </c>
      <c r="I699" t="s">
        <v>34</v>
      </c>
      <c r="J699">
        <v>4</v>
      </c>
      <c r="K699" t="s">
        <v>18</v>
      </c>
      <c r="L699" t="s">
        <v>32</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791</v>
      </c>
      <c r="B700" t="s">
        <v>41</v>
      </c>
      <c r="C700">
        <v>4</v>
      </c>
      <c r="D700">
        <v>64.8</v>
      </c>
      <c r="E700">
        <v>259.2</v>
      </c>
      <c r="F700" s="1">
        <v>45687</v>
      </c>
      <c r="G700" s="1">
        <v>45689</v>
      </c>
      <c r="I700" t="s">
        <v>69</v>
      </c>
      <c r="J700">
        <v>3</v>
      </c>
      <c r="K700" t="s">
        <v>18</v>
      </c>
      <c r="L700" t="s">
        <v>32</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792</v>
      </c>
      <c r="B701" t="s">
        <v>41</v>
      </c>
      <c r="C701">
        <v>3</v>
      </c>
      <c r="D701">
        <v>79.8</v>
      </c>
      <c r="E701">
        <v>239.39999999999998</v>
      </c>
      <c r="F701" s="1">
        <v>45687</v>
      </c>
      <c r="G701" s="1">
        <v>45688</v>
      </c>
      <c r="H701" t="s">
        <v>22</v>
      </c>
      <c r="I701" t="s">
        <v>17</v>
      </c>
      <c r="J701">
        <v>4</v>
      </c>
      <c r="K701" t="s">
        <v>18</v>
      </c>
      <c r="L701" t="s">
        <v>32</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793</v>
      </c>
      <c r="B702" t="s">
        <v>45</v>
      </c>
      <c r="C702">
        <v>1</v>
      </c>
      <c r="D702">
        <v>54.4</v>
      </c>
      <c r="E702">
        <v>54.4</v>
      </c>
      <c r="F702" s="1">
        <v>45687</v>
      </c>
      <c r="G702" s="1">
        <v>45689</v>
      </c>
      <c r="H702" t="s">
        <v>26</v>
      </c>
      <c r="I702" t="s">
        <v>69</v>
      </c>
      <c r="J702">
        <v>5</v>
      </c>
      <c r="K702" t="s">
        <v>18</v>
      </c>
      <c r="L702" t="s">
        <v>32</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794</v>
      </c>
      <c r="B703" t="s">
        <v>38</v>
      </c>
      <c r="C703">
        <v>1</v>
      </c>
      <c r="D703">
        <v>87.3</v>
      </c>
      <c r="E703">
        <v>87.3</v>
      </c>
      <c r="F703" s="1">
        <v>45687</v>
      </c>
      <c r="G703" s="1">
        <v>45688</v>
      </c>
      <c r="H703" t="s">
        <v>22</v>
      </c>
      <c r="I703" t="s">
        <v>34</v>
      </c>
      <c r="J703">
        <v>4</v>
      </c>
      <c r="K703" t="s">
        <v>18</v>
      </c>
      <c r="L703" t="s">
        <v>32</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795</v>
      </c>
      <c r="B704" t="s">
        <v>43</v>
      </c>
      <c r="C704">
        <v>4</v>
      </c>
      <c r="D704">
        <v>32.4</v>
      </c>
      <c r="E704">
        <v>129.6</v>
      </c>
      <c r="F704" s="1">
        <v>45687</v>
      </c>
      <c r="G704" s="1">
        <v>45687</v>
      </c>
      <c r="H704" t="s">
        <v>22</v>
      </c>
      <c r="I704" t="s">
        <v>34</v>
      </c>
      <c r="J704">
        <v>4</v>
      </c>
      <c r="K704" t="s">
        <v>18</v>
      </c>
      <c r="L704" t="s">
        <v>32</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796</v>
      </c>
      <c r="B705" t="s">
        <v>25</v>
      </c>
      <c r="C705">
        <v>1</v>
      </c>
      <c r="D705">
        <v>177.4</v>
      </c>
      <c r="E705">
        <v>177.4</v>
      </c>
      <c r="F705" s="1">
        <v>45687</v>
      </c>
      <c r="G705" s="1">
        <v>45691</v>
      </c>
      <c r="H705" t="s">
        <v>22</v>
      </c>
      <c r="I705" t="s">
        <v>17</v>
      </c>
      <c r="J705">
        <v>5</v>
      </c>
      <c r="K705" t="s">
        <v>18</v>
      </c>
      <c r="L705" t="s">
        <v>32</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797</v>
      </c>
      <c r="B706" t="s">
        <v>41</v>
      </c>
      <c r="C706">
        <v>2</v>
      </c>
      <c r="D706">
        <v>70.099999999999994</v>
      </c>
      <c r="E706">
        <v>140.19999999999999</v>
      </c>
      <c r="F706" s="1">
        <v>45687</v>
      </c>
      <c r="G706" s="1">
        <v>45688</v>
      </c>
      <c r="H706" t="s">
        <v>22</v>
      </c>
      <c r="I706" t="s">
        <v>50</v>
      </c>
      <c r="J706">
        <v>3</v>
      </c>
      <c r="K706" t="s">
        <v>18</v>
      </c>
      <c r="L706" t="s">
        <v>32</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798</v>
      </c>
      <c r="B707" t="s">
        <v>45</v>
      </c>
      <c r="C707">
        <v>6</v>
      </c>
      <c r="D707">
        <v>51.1</v>
      </c>
      <c r="E707">
        <v>306.60000000000002</v>
      </c>
      <c r="F707" s="1">
        <v>45687</v>
      </c>
      <c r="G707" s="1">
        <v>45688</v>
      </c>
      <c r="H707" t="s">
        <v>26</v>
      </c>
      <c r="I707" t="s">
        <v>17</v>
      </c>
      <c r="J707">
        <v>4</v>
      </c>
      <c r="K707" t="s">
        <v>18</v>
      </c>
      <c r="L707" t="s">
        <v>32</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799</v>
      </c>
      <c r="B708" t="s">
        <v>25</v>
      </c>
      <c r="C708">
        <v>5</v>
      </c>
      <c r="D708">
        <v>79.900000000000006</v>
      </c>
      <c r="E708">
        <v>399.5</v>
      </c>
      <c r="F708" s="1">
        <v>45687</v>
      </c>
      <c r="G708" s="1">
        <v>45689</v>
      </c>
      <c r="H708" t="s">
        <v>22</v>
      </c>
      <c r="I708" t="s">
        <v>50</v>
      </c>
      <c r="J708">
        <v>5</v>
      </c>
      <c r="K708" t="s">
        <v>18</v>
      </c>
      <c r="L708" t="s">
        <v>185</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800</v>
      </c>
      <c r="B709" t="s">
        <v>38</v>
      </c>
      <c r="C709">
        <v>1</v>
      </c>
      <c r="D709">
        <v>57.6</v>
      </c>
      <c r="E709">
        <v>57.6</v>
      </c>
      <c r="F709" s="1">
        <v>45688</v>
      </c>
      <c r="G709" s="1">
        <v>45693</v>
      </c>
      <c r="H709" t="s">
        <v>22</v>
      </c>
      <c r="I709" t="s">
        <v>17</v>
      </c>
      <c r="J709">
        <v>5</v>
      </c>
      <c r="K709" t="s">
        <v>18</v>
      </c>
      <c r="L709" t="s">
        <v>801</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802</v>
      </c>
      <c r="B710" t="s">
        <v>43</v>
      </c>
      <c r="C710">
        <v>10</v>
      </c>
      <c r="D710">
        <v>59.7</v>
      </c>
      <c r="E710">
        <v>597</v>
      </c>
      <c r="F710" s="1">
        <v>45688</v>
      </c>
      <c r="G710" s="1">
        <v>45692</v>
      </c>
      <c r="H710" t="s">
        <v>22</v>
      </c>
      <c r="I710" t="s">
        <v>39</v>
      </c>
      <c r="J710">
        <v>4</v>
      </c>
      <c r="K710" t="s">
        <v>18</v>
      </c>
      <c r="L710" t="s">
        <v>187</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803</v>
      </c>
      <c r="B711" t="s">
        <v>43</v>
      </c>
      <c r="C711">
        <v>5</v>
      </c>
      <c r="D711">
        <v>30</v>
      </c>
      <c r="E711">
        <v>150</v>
      </c>
      <c r="F711" s="1">
        <v>45688</v>
      </c>
      <c r="G711" s="1">
        <v>45690</v>
      </c>
      <c r="H711" t="s">
        <v>22</v>
      </c>
      <c r="I711" t="s">
        <v>34</v>
      </c>
      <c r="J711">
        <v>4</v>
      </c>
      <c r="K711" t="s">
        <v>18</v>
      </c>
      <c r="L711" t="s">
        <v>54</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804</v>
      </c>
      <c r="B712" t="s">
        <v>53</v>
      </c>
      <c r="C712">
        <v>2</v>
      </c>
      <c r="D712">
        <v>69.2</v>
      </c>
      <c r="E712">
        <v>138.4</v>
      </c>
      <c r="F712" s="1">
        <v>45688</v>
      </c>
      <c r="G712" s="1">
        <v>45690</v>
      </c>
      <c r="I712" t="s">
        <v>39</v>
      </c>
      <c r="J712">
        <v>3</v>
      </c>
      <c r="K712" t="s">
        <v>18</v>
      </c>
      <c r="L712" t="s">
        <v>54</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805</v>
      </c>
      <c r="B713" t="s">
        <v>16</v>
      </c>
      <c r="C713">
        <v>8</v>
      </c>
      <c r="D713">
        <v>10.9</v>
      </c>
      <c r="E713">
        <v>87.2</v>
      </c>
      <c r="F713" s="1">
        <v>45688</v>
      </c>
      <c r="G713" s="1">
        <v>45689</v>
      </c>
      <c r="H713" t="s">
        <v>26</v>
      </c>
      <c r="I713" t="s">
        <v>17</v>
      </c>
      <c r="J713">
        <v>5</v>
      </c>
      <c r="K713" t="s">
        <v>18</v>
      </c>
      <c r="L713" t="s">
        <v>54</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806</v>
      </c>
      <c r="B714" t="s">
        <v>127</v>
      </c>
      <c r="C714">
        <v>2</v>
      </c>
      <c r="D714">
        <v>48.6</v>
      </c>
      <c r="E714">
        <v>97.2</v>
      </c>
      <c r="F714" s="1">
        <v>45688</v>
      </c>
      <c r="G714" s="1">
        <v>45692</v>
      </c>
      <c r="H714" t="s">
        <v>22</v>
      </c>
      <c r="I714" t="s">
        <v>34</v>
      </c>
      <c r="J714">
        <v>5</v>
      </c>
      <c r="K714" t="s">
        <v>18</v>
      </c>
      <c r="L714" t="s">
        <v>54</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807</v>
      </c>
      <c r="B715" t="s">
        <v>25</v>
      </c>
      <c r="C715">
        <v>2</v>
      </c>
      <c r="D715">
        <v>61.1</v>
      </c>
      <c r="E715">
        <v>122.2</v>
      </c>
      <c r="F715" s="1">
        <v>45688</v>
      </c>
      <c r="G715" s="1">
        <v>45691</v>
      </c>
      <c r="H715" t="s">
        <v>26</v>
      </c>
      <c r="I715" t="s">
        <v>34</v>
      </c>
      <c r="J715">
        <v>5</v>
      </c>
      <c r="K715" t="s">
        <v>18</v>
      </c>
      <c r="L715" t="s">
        <v>58</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808</v>
      </c>
      <c r="B716" t="s">
        <v>43</v>
      </c>
      <c r="C716">
        <v>2</v>
      </c>
      <c r="D716">
        <v>23.2</v>
      </c>
      <c r="E716">
        <v>46.4</v>
      </c>
      <c r="F716" s="1">
        <v>45688</v>
      </c>
      <c r="G716" s="1">
        <v>45689</v>
      </c>
      <c r="H716" t="s">
        <v>22</v>
      </c>
      <c r="I716" t="s">
        <v>50</v>
      </c>
      <c r="J716">
        <v>5</v>
      </c>
      <c r="K716" t="s">
        <v>18</v>
      </c>
      <c r="L716" t="s">
        <v>61</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809</v>
      </c>
      <c r="B717" t="s">
        <v>68</v>
      </c>
      <c r="C717">
        <v>4</v>
      </c>
      <c r="D717">
        <v>55.8</v>
      </c>
      <c r="E717">
        <v>223.2</v>
      </c>
      <c r="F717" s="1">
        <v>45688</v>
      </c>
      <c r="G717" s="1">
        <v>45689</v>
      </c>
      <c r="H717" t="s">
        <v>22</v>
      </c>
      <c r="I717" t="s">
        <v>17</v>
      </c>
      <c r="J717">
        <v>4</v>
      </c>
      <c r="K717" t="s">
        <v>18</v>
      </c>
      <c r="L717" t="s">
        <v>61</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810</v>
      </c>
      <c r="B718" t="s">
        <v>45</v>
      </c>
      <c r="C718">
        <v>4</v>
      </c>
      <c r="D718">
        <v>24.8</v>
      </c>
      <c r="E718">
        <v>99.2</v>
      </c>
      <c r="F718" s="1">
        <v>45688</v>
      </c>
      <c r="G718" s="1">
        <v>45689</v>
      </c>
      <c r="H718" t="s">
        <v>26</v>
      </c>
      <c r="I718" t="s">
        <v>17</v>
      </c>
      <c r="J718">
        <v>5</v>
      </c>
      <c r="K718" t="s">
        <v>18</v>
      </c>
      <c r="L718" t="s">
        <v>61</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811</v>
      </c>
      <c r="B719" t="s">
        <v>53</v>
      </c>
      <c r="C719">
        <v>2</v>
      </c>
      <c r="D719">
        <v>27.9</v>
      </c>
      <c r="E719">
        <v>55.8</v>
      </c>
      <c r="F719" s="1">
        <v>45688</v>
      </c>
      <c r="G719" s="1">
        <v>45688</v>
      </c>
      <c r="H719" t="s">
        <v>22</v>
      </c>
      <c r="I719" t="s">
        <v>39</v>
      </c>
      <c r="J719">
        <v>5</v>
      </c>
      <c r="K719" t="s">
        <v>18</v>
      </c>
      <c r="L719" t="s">
        <v>61</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812</v>
      </c>
      <c r="B720" t="s">
        <v>53</v>
      </c>
      <c r="C720">
        <v>6</v>
      </c>
      <c r="D720">
        <v>51.1</v>
      </c>
      <c r="E720">
        <v>306.60000000000002</v>
      </c>
      <c r="F720" s="1">
        <v>45688</v>
      </c>
      <c r="G720" s="1">
        <v>45688</v>
      </c>
      <c r="H720" t="s">
        <v>26</v>
      </c>
      <c r="I720" t="s">
        <v>50</v>
      </c>
      <c r="J720">
        <v>4</v>
      </c>
      <c r="K720" t="s">
        <v>18</v>
      </c>
      <c r="L720" t="s">
        <v>61</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813</v>
      </c>
      <c r="B721" t="s">
        <v>134</v>
      </c>
      <c r="C721">
        <v>11</v>
      </c>
      <c r="D721">
        <v>32.700000000000003</v>
      </c>
      <c r="E721">
        <v>359.70000000000005</v>
      </c>
      <c r="F721" s="1">
        <v>45688</v>
      </c>
      <c r="G721" s="1">
        <v>45689</v>
      </c>
      <c r="H721" t="s">
        <v>22</v>
      </c>
      <c r="I721" t="s">
        <v>69</v>
      </c>
      <c r="J721">
        <v>5</v>
      </c>
      <c r="K721" t="s">
        <v>18</v>
      </c>
      <c r="L721" t="s">
        <v>102</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814</v>
      </c>
      <c r="B722" t="s">
        <v>43</v>
      </c>
      <c r="C722">
        <v>4</v>
      </c>
      <c r="D722">
        <v>22.5</v>
      </c>
      <c r="E722">
        <v>90</v>
      </c>
      <c r="F722" s="1">
        <v>45688</v>
      </c>
      <c r="G722" s="1">
        <v>45688</v>
      </c>
      <c r="H722" t="s">
        <v>22</v>
      </c>
      <c r="I722" t="s">
        <v>17</v>
      </c>
      <c r="J722">
        <v>5</v>
      </c>
      <c r="K722" t="s">
        <v>18</v>
      </c>
      <c r="L722" t="s">
        <v>200</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815</v>
      </c>
      <c r="B723" t="s">
        <v>16</v>
      </c>
      <c r="C723">
        <v>7</v>
      </c>
      <c r="D723">
        <v>14.6</v>
      </c>
      <c r="E723">
        <v>102.2</v>
      </c>
      <c r="F723" s="1">
        <v>45688</v>
      </c>
      <c r="G723" s="1">
        <v>45689</v>
      </c>
      <c r="H723" t="s">
        <v>26</v>
      </c>
      <c r="I723" t="s">
        <v>39</v>
      </c>
      <c r="J723">
        <v>4</v>
      </c>
      <c r="K723" t="s">
        <v>18</v>
      </c>
      <c r="L723" t="s">
        <v>428</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816</v>
      </c>
      <c r="B724" t="s">
        <v>36</v>
      </c>
      <c r="C724">
        <v>3</v>
      </c>
      <c r="D724">
        <v>32.5</v>
      </c>
      <c r="E724">
        <v>97.5</v>
      </c>
      <c r="F724" s="1">
        <v>45688</v>
      </c>
      <c r="G724" s="1">
        <v>45691</v>
      </c>
      <c r="H724" t="s">
        <v>22</v>
      </c>
      <c r="I724" t="s">
        <v>17</v>
      </c>
      <c r="J724">
        <v>4</v>
      </c>
      <c r="K724" t="s">
        <v>18</v>
      </c>
      <c r="L724" t="s">
        <v>73</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817</v>
      </c>
      <c r="B725" t="s">
        <v>145</v>
      </c>
      <c r="C725">
        <v>1</v>
      </c>
      <c r="D725">
        <v>78.099999999999994</v>
      </c>
      <c r="E725">
        <v>78.099999999999994</v>
      </c>
      <c r="F725" s="1">
        <v>45688</v>
      </c>
      <c r="G725" s="1">
        <v>45691</v>
      </c>
      <c r="H725" t="s">
        <v>22</v>
      </c>
      <c r="I725" t="s">
        <v>17</v>
      </c>
      <c r="J725">
        <v>5</v>
      </c>
      <c r="K725" t="s">
        <v>18</v>
      </c>
      <c r="L725" t="s">
        <v>76</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818</v>
      </c>
      <c r="B726" t="s">
        <v>68</v>
      </c>
      <c r="C726">
        <v>6</v>
      </c>
      <c r="D726">
        <v>110.2</v>
      </c>
      <c r="E726">
        <v>661.2</v>
      </c>
      <c r="F726" s="1">
        <v>45688</v>
      </c>
      <c r="G726" s="1">
        <v>45688</v>
      </c>
      <c r="H726" t="s">
        <v>22</v>
      </c>
      <c r="I726" t="s">
        <v>34</v>
      </c>
      <c r="J726">
        <v>2</v>
      </c>
      <c r="K726" t="s">
        <v>18</v>
      </c>
      <c r="L726" t="s">
        <v>81</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819</v>
      </c>
      <c r="B727" t="s">
        <v>38</v>
      </c>
      <c r="C727">
        <v>3</v>
      </c>
      <c r="D727">
        <v>86.3</v>
      </c>
      <c r="E727">
        <v>258.89999999999998</v>
      </c>
      <c r="F727" s="1">
        <v>45688</v>
      </c>
      <c r="G727" s="1">
        <v>45690</v>
      </c>
      <c r="H727" t="s">
        <v>26</v>
      </c>
      <c r="I727" t="s">
        <v>50</v>
      </c>
      <c r="J727">
        <v>4</v>
      </c>
      <c r="K727" t="s">
        <v>18</v>
      </c>
      <c r="L727" t="s">
        <v>114</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820</v>
      </c>
      <c r="B728" t="s">
        <v>21</v>
      </c>
      <c r="C728">
        <v>6</v>
      </c>
      <c r="D728">
        <v>73.599999999999994</v>
      </c>
      <c r="E728">
        <v>441.59999999999997</v>
      </c>
      <c r="F728" s="1">
        <v>45688</v>
      </c>
      <c r="G728" s="1">
        <v>45690</v>
      </c>
      <c r="H728" t="s">
        <v>88</v>
      </c>
      <c r="I728" t="s">
        <v>50</v>
      </c>
      <c r="J728">
        <v>2</v>
      </c>
      <c r="K728" t="s">
        <v>18</v>
      </c>
      <c r="L728" t="s">
        <v>586</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821</v>
      </c>
      <c r="B729" t="s">
        <v>38</v>
      </c>
      <c r="C729">
        <v>13</v>
      </c>
      <c r="D729">
        <v>67.7</v>
      </c>
      <c r="E729">
        <v>880.1</v>
      </c>
      <c r="F729" s="1">
        <v>45688</v>
      </c>
      <c r="G729" s="1">
        <v>45690</v>
      </c>
      <c r="H729" t="s">
        <v>26</v>
      </c>
      <c r="I729" t="s">
        <v>17</v>
      </c>
      <c r="J729">
        <v>5</v>
      </c>
      <c r="K729" t="s">
        <v>18</v>
      </c>
      <c r="L729" t="s">
        <v>32</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822</v>
      </c>
      <c r="B730" t="s">
        <v>41</v>
      </c>
      <c r="C730">
        <v>6</v>
      </c>
      <c r="D730">
        <v>142.19999999999999</v>
      </c>
      <c r="E730">
        <v>853.19999999999993</v>
      </c>
      <c r="F730" s="1">
        <v>45688</v>
      </c>
      <c r="G730" s="1">
        <v>45689</v>
      </c>
      <c r="H730" t="s">
        <v>26</v>
      </c>
      <c r="I730" t="s">
        <v>39</v>
      </c>
      <c r="J730">
        <v>2</v>
      </c>
      <c r="K730" t="s">
        <v>18</v>
      </c>
      <c r="L730" t="s">
        <v>32</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823</v>
      </c>
      <c r="B731" t="s">
        <v>21</v>
      </c>
      <c r="C731">
        <v>9</v>
      </c>
      <c r="D731">
        <v>45.8</v>
      </c>
      <c r="E731">
        <v>412.2</v>
      </c>
      <c r="F731" s="1">
        <v>45688</v>
      </c>
      <c r="G731" s="1">
        <v>45690</v>
      </c>
      <c r="H731" t="s">
        <v>26</v>
      </c>
      <c r="I731" t="s">
        <v>34</v>
      </c>
      <c r="J731">
        <v>5</v>
      </c>
      <c r="K731" t="s">
        <v>18</v>
      </c>
      <c r="L731" t="s">
        <v>32</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824</v>
      </c>
      <c r="B732" t="s">
        <v>53</v>
      </c>
      <c r="C732">
        <v>2</v>
      </c>
      <c r="D732">
        <v>24.2</v>
      </c>
      <c r="E732">
        <v>48.4</v>
      </c>
      <c r="F732" s="1">
        <v>45689</v>
      </c>
      <c r="G732" s="1">
        <v>45692</v>
      </c>
      <c r="H732" t="s">
        <v>26</v>
      </c>
      <c r="I732" t="s">
        <v>50</v>
      </c>
      <c r="J732">
        <v>5</v>
      </c>
      <c r="K732" t="s">
        <v>18</v>
      </c>
      <c r="L732" t="s">
        <v>32</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825</v>
      </c>
      <c r="B733" t="s">
        <v>25</v>
      </c>
      <c r="C733">
        <v>3</v>
      </c>
      <c r="D733">
        <v>144.9</v>
      </c>
      <c r="E733">
        <v>434.70000000000005</v>
      </c>
      <c r="F733" s="1">
        <v>45689</v>
      </c>
      <c r="G733" s="1">
        <v>45690</v>
      </c>
      <c r="H733" t="s">
        <v>88</v>
      </c>
      <c r="I733" t="s">
        <v>39</v>
      </c>
      <c r="J733">
        <v>5</v>
      </c>
      <c r="K733" t="s">
        <v>18</v>
      </c>
      <c r="L733" t="s">
        <v>32</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826</v>
      </c>
      <c r="B734" t="s">
        <v>66</v>
      </c>
      <c r="C734">
        <v>5</v>
      </c>
      <c r="D734">
        <v>32.799999999999997</v>
      </c>
      <c r="E734">
        <v>164</v>
      </c>
      <c r="F734" s="1">
        <v>45689</v>
      </c>
      <c r="G734" s="1">
        <v>45692</v>
      </c>
      <c r="H734" t="s">
        <v>26</v>
      </c>
      <c r="I734" t="s">
        <v>39</v>
      </c>
      <c r="J734">
        <v>4</v>
      </c>
      <c r="K734" t="s">
        <v>18</v>
      </c>
      <c r="L734" t="s">
        <v>157</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827</v>
      </c>
      <c r="B735" t="s">
        <v>41</v>
      </c>
      <c r="C735">
        <v>10</v>
      </c>
      <c r="D735">
        <v>35.700000000000003</v>
      </c>
      <c r="E735">
        <v>357</v>
      </c>
      <c r="F735" s="1">
        <v>45689</v>
      </c>
      <c r="G735" s="1">
        <v>45689</v>
      </c>
      <c r="H735" t="s">
        <v>26</v>
      </c>
      <c r="I735" t="s">
        <v>17</v>
      </c>
      <c r="J735">
        <v>3</v>
      </c>
      <c r="K735" t="s">
        <v>18</v>
      </c>
      <c r="L735" t="s">
        <v>54</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828</v>
      </c>
      <c r="B736" t="s">
        <v>45</v>
      </c>
      <c r="C736">
        <v>2</v>
      </c>
      <c r="D736">
        <v>54.6</v>
      </c>
      <c r="E736">
        <v>109.2</v>
      </c>
      <c r="F736" s="1">
        <v>45689</v>
      </c>
      <c r="G736" s="1">
        <v>45690</v>
      </c>
      <c r="H736" t="s">
        <v>26</v>
      </c>
      <c r="I736" t="s">
        <v>39</v>
      </c>
      <c r="J736">
        <v>4</v>
      </c>
      <c r="K736" t="s">
        <v>18</v>
      </c>
      <c r="L736" t="s">
        <v>54</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829</v>
      </c>
      <c r="B737" t="s">
        <v>43</v>
      </c>
      <c r="C737">
        <v>2</v>
      </c>
      <c r="D737">
        <v>35.700000000000003</v>
      </c>
      <c r="E737">
        <v>71.400000000000006</v>
      </c>
      <c r="F737" s="1">
        <v>45689</v>
      </c>
      <c r="G737" s="1">
        <v>45692</v>
      </c>
      <c r="I737" t="s">
        <v>17</v>
      </c>
      <c r="J737">
        <v>3</v>
      </c>
      <c r="K737" t="s">
        <v>18</v>
      </c>
      <c r="L737" t="s">
        <v>54</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830</v>
      </c>
      <c r="B738" t="s">
        <v>53</v>
      </c>
      <c r="C738">
        <v>2</v>
      </c>
      <c r="D738">
        <v>52.4</v>
      </c>
      <c r="E738">
        <v>104.8</v>
      </c>
      <c r="F738" s="1">
        <v>45689</v>
      </c>
      <c r="G738" s="1">
        <v>45689</v>
      </c>
      <c r="H738" t="s">
        <v>26</v>
      </c>
      <c r="I738" t="s">
        <v>17</v>
      </c>
      <c r="J738">
        <v>1</v>
      </c>
      <c r="K738" t="s">
        <v>18</v>
      </c>
      <c r="L738" t="s">
        <v>54</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831</v>
      </c>
      <c r="B739" t="s">
        <v>43</v>
      </c>
      <c r="C739">
        <v>14</v>
      </c>
      <c r="D739">
        <v>16.2</v>
      </c>
      <c r="E739">
        <v>226.79999999999998</v>
      </c>
      <c r="F739" s="1">
        <v>45689</v>
      </c>
      <c r="G739" s="1">
        <v>45690</v>
      </c>
      <c r="I739" t="s">
        <v>17</v>
      </c>
      <c r="J739">
        <v>3</v>
      </c>
      <c r="K739" t="s">
        <v>18</v>
      </c>
      <c r="L739" t="s">
        <v>61</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832</v>
      </c>
      <c r="B740" t="s">
        <v>38</v>
      </c>
      <c r="C740">
        <v>47</v>
      </c>
      <c r="D740">
        <v>42.8</v>
      </c>
      <c r="E740">
        <v>2011.6</v>
      </c>
      <c r="F740" s="1">
        <v>45689</v>
      </c>
      <c r="G740" s="1">
        <v>45690</v>
      </c>
      <c r="H740" t="s">
        <v>26</v>
      </c>
      <c r="I740" t="s">
        <v>17</v>
      </c>
      <c r="J740">
        <v>4</v>
      </c>
      <c r="K740" t="s">
        <v>18</v>
      </c>
      <c r="L740" t="s">
        <v>61</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833</v>
      </c>
      <c r="B741" t="s">
        <v>38</v>
      </c>
      <c r="C741">
        <v>9</v>
      </c>
      <c r="D741">
        <v>144.4</v>
      </c>
      <c r="E741">
        <v>1299.6000000000001</v>
      </c>
      <c r="F741" s="1">
        <v>45689</v>
      </c>
      <c r="G741" s="1">
        <v>45692</v>
      </c>
      <c r="H741" t="s">
        <v>26</v>
      </c>
      <c r="I741" t="s">
        <v>69</v>
      </c>
      <c r="J741">
        <v>4</v>
      </c>
      <c r="K741" t="s">
        <v>18</v>
      </c>
      <c r="L741" t="s">
        <v>61</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834</v>
      </c>
      <c r="B742" t="s">
        <v>29</v>
      </c>
      <c r="C742">
        <v>36</v>
      </c>
      <c r="D742">
        <v>30.6</v>
      </c>
      <c r="E742">
        <v>1101.6000000000001</v>
      </c>
      <c r="F742" s="1">
        <v>45689</v>
      </c>
      <c r="G742" s="1">
        <v>45693</v>
      </c>
      <c r="H742" t="s">
        <v>26</v>
      </c>
      <c r="I742" t="s">
        <v>39</v>
      </c>
      <c r="J742">
        <v>5</v>
      </c>
      <c r="K742" t="s">
        <v>18</v>
      </c>
      <c r="L742" t="s">
        <v>76</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835</v>
      </c>
      <c r="B743" t="s">
        <v>25</v>
      </c>
      <c r="C743">
        <v>2</v>
      </c>
      <c r="D743">
        <v>117.5</v>
      </c>
      <c r="E743">
        <v>235</v>
      </c>
      <c r="F743" s="1">
        <v>45689</v>
      </c>
      <c r="G743" s="1">
        <v>45690</v>
      </c>
      <c r="H743" t="s">
        <v>22</v>
      </c>
      <c r="I743" t="s">
        <v>17</v>
      </c>
      <c r="J743">
        <v>4</v>
      </c>
      <c r="K743" t="s">
        <v>18</v>
      </c>
      <c r="L743" t="s">
        <v>109</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836</v>
      </c>
      <c r="B744" t="s">
        <v>38</v>
      </c>
      <c r="C744">
        <v>2</v>
      </c>
      <c r="D744">
        <v>105.7</v>
      </c>
      <c r="E744">
        <v>211.4</v>
      </c>
      <c r="F744" s="1">
        <v>45689</v>
      </c>
      <c r="G744" s="1">
        <v>45690</v>
      </c>
      <c r="H744" t="s">
        <v>26</v>
      </c>
      <c r="I744" t="s">
        <v>39</v>
      </c>
      <c r="J744">
        <v>5</v>
      </c>
      <c r="K744" t="s">
        <v>18</v>
      </c>
      <c r="L744" t="s">
        <v>114</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837</v>
      </c>
      <c r="B745" t="s">
        <v>29</v>
      </c>
      <c r="C745">
        <v>3</v>
      </c>
      <c r="D745">
        <v>133.69999999999999</v>
      </c>
      <c r="E745">
        <v>401.09999999999997</v>
      </c>
      <c r="F745" s="1">
        <v>45689</v>
      </c>
      <c r="G745" s="1">
        <v>45690</v>
      </c>
      <c r="I745" t="s">
        <v>69</v>
      </c>
      <c r="J745">
        <v>5</v>
      </c>
      <c r="K745" t="s">
        <v>18</v>
      </c>
      <c r="L745" t="s">
        <v>114</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838</v>
      </c>
      <c r="B746" t="s">
        <v>31</v>
      </c>
      <c r="C746">
        <v>5</v>
      </c>
      <c r="D746">
        <v>46.8</v>
      </c>
      <c r="E746">
        <v>234</v>
      </c>
      <c r="F746" s="1">
        <v>45690</v>
      </c>
      <c r="G746" s="1">
        <v>45698</v>
      </c>
      <c r="H746" t="s">
        <v>26</v>
      </c>
      <c r="I746" t="s">
        <v>17</v>
      </c>
      <c r="J746">
        <v>3</v>
      </c>
      <c r="K746" t="s">
        <v>18</v>
      </c>
      <c r="L746" t="s">
        <v>114</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839</v>
      </c>
      <c r="B747" t="s">
        <v>53</v>
      </c>
      <c r="C747">
        <v>3</v>
      </c>
      <c r="D747">
        <v>58.4</v>
      </c>
      <c r="E747">
        <v>175.2</v>
      </c>
      <c r="F747" s="1">
        <v>45690</v>
      </c>
      <c r="G747" s="1">
        <v>45692</v>
      </c>
      <c r="H747" t="s">
        <v>26</v>
      </c>
      <c r="I747" t="s">
        <v>17</v>
      </c>
      <c r="J747">
        <v>4</v>
      </c>
      <c r="K747" t="s">
        <v>18</v>
      </c>
      <c r="L747" t="s">
        <v>23</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840</v>
      </c>
      <c r="B748" t="s">
        <v>38</v>
      </c>
      <c r="C748">
        <v>9</v>
      </c>
      <c r="D748">
        <v>65.099999999999994</v>
      </c>
      <c r="E748">
        <v>585.9</v>
      </c>
      <c r="F748" s="1">
        <v>45690</v>
      </c>
      <c r="G748" s="1">
        <v>45694</v>
      </c>
      <c r="H748" t="s">
        <v>22</v>
      </c>
      <c r="I748" t="s">
        <v>34</v>
      </c>
      <c r="J748">
        <v>5</v>
      </c>
      <c r="K748" t="s">
        <v>18</v>
      </c>
      <c r="L748" t="s">
        <v>146</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841</v>
      </c>
      <c r="B749" t="s">
        <v>43</v>
      </c>
      <c r="C749">
        <v>1</v>
      </c>
      <c r="D749">
        <v>18.600000000000001</v>
      </c>
      <c r="E749">
        <v>18.600000000000001</v>
      </c>
      <c r="F749" s="1">
        <v>45690</v>
      </c>
      <c r="G749" s="1">
        <v>45693</v>
      </c>
      <c r="H749" t="s">
        <v>26</v>
      </c>
      <c r="I749" t="s">
        <v>17</v>
      </c>
      <c r="J749">
        <v>2</v>
      </c>
      <c r="K749" t="s">
        <v>18</v>
      </c>
      <c r="L749" t="s">
        <v>146</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842</v>
      </c>
      <c r="B750" t="s">
        <v>21</v>
      </c>
      <c r="C750">
        <v>11</v>
      </c>
      <c r="D750">
        <v>92.3</v>
      </c>
      <c r="E750">
        <v>1015.3</v>
      </c>
      <c r="F750" s="1">
        <v>45690</v>
      </c>
      <c r="G750" s="1">
        <v>45692</v>
      </c>
      <c r="H750" t="s">
        <v>22</v>
      </c>
      <c r="I750" t="s">
        <v>34</v>
      </c>
      <c r="J750">
        <v>4</v>
      </c>
      <c r="K750" t="s">
        <v>18</v>
      </c>
      <c r="L750" t="s">
        <v>32</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843</v>
      </c>
      <c r="B751" t="s">
        <v>38</v>
      </c>
      <c r="C751">
        <v>3</v>
      </c>
      <c r="D751">
        <v>81.7</v>
      </c>
      <c r="E751">
        <v>245.10000000000002</v>
      </c>
      <c r="F751" s="1">
        <v>45690</v>
      </c>
      <c r="G751" s="1">
        <v>45691</v>
      </c>
      <c r="I751" t="s">
        <v>69</v>
      </c>
      <c r="J751">
        <v>2</v>
      </c>
      <c r="K751" t="s">
        <v>18</v>
      </c>
      <c r="L751" t="s">
        <v>32</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844</v>
      </c>
      <c r="B752" t="s">
        <v>43</v>
      </c>
      <c r="C752">
        <v>2</v>
      </c>
      <c r="D752">
        <v>40.9</v>
      </c>
      <c r="E752">
        <v>81.8</v>
      </c>
      <c r="F752" s="1">
        <v>45690</v>
      </c>
      <c r="G752" s="1">
        <v>45692</v>
      </c>
      <c r="H752" t="s">
        <v>22</v>
      </c>
      <c r="I752" t="s">
        <v>17</v>
      </c>
      <c r="J752">
        <v>3</v>
      </c>
      <c r="K752" t="s">
        <v>18</v>
      </c>
      <c r="L752" t="s">
        <v>32</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845</v>
      </c>
      <c r="B753" t="s">
        <v>38</v>
      </c>
      <c r="C753">
        <v>4</v>
      </c>
      <c r="D753">
        <v>43.2</v>
      </c>
      <c r="E753">
        <v>172.8</v>
      </c>
      <c r="F753" s="1">
        <v>45690</v>
      </c>
      <c r="G753" s="1">
        <v>45696</v>
      </c>
      <c r="H753" t="s">
        <v>26</v>
      </c>
      <c r="I753" t="s">
        <v>17</v>
      </c>
      <c r="J753">
        <v>3</v>
      </c>
      <c r="K753" t="s">
        <v>18</v>
      </c>
      <c r="L753" t="s">
        <v>32</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846</v>
      </c>
      <c r="B754" t="s">
        <v>43</v>
      </c>
      <c r="C754">
        <v>11</v>
      </c>
      <c r="D754">
        <v>25.8</v>
      </c>
      <c r="E754">
        <v>283.8</v>
      </c>
      <c r="F754" s="1">
        <v>45690</v>
      </c>
      <c r="G754" s="1">
        <v>45693</v>
      </c>
      <c r="H754" t="s">
        <v>22</v>
      </c>
      <c r="I754" t="s">
        <v>39</v>
      </c>
      <c r="J754">
        <v>3</v>
      </c>
      <c r="K754" t="s">
        <v>18</v>
      </c>
      <c r="L754" t="s">
        <v>32</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847</v>
      </c>
      <c r="B755" t="s">
        <v>122</v>
      </c>
      <c r="C755">
        <v>4</v>
      </c>
      <c r="D755">
        <v>36.4</v>
      </c>
      <c r="E755">
        <v>145.6</v>
      </c>
      <c r="F755" s="1">
        <v>45690</v>
      </c>
      <c r="G755" s="1">
        <v>45691</v>
      </c>
      <c r="H755" t="s">
        <v>22</v>
      </c>
      <c r="I755" t="s">
        <v>17</v>
      </c>
      <c r="J755">
        <v>4</v>
      </c>
      <c r="K755" t="s">
        <v>18</v>
      </c>
      <c r="L755" t="s">
        <v>32</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848</v>
      </c>
      <c r="B756" t="s">
        <v>53</v>
      </c>
      <c r="C756">
        <v>1</v>
      </c>
      <c r="D756">
        <v>59.1</v>
      </c>
      <c r="E756">
        <v>59.1</v>
      </c>
      <c r="F756" s="1">
        <v>45690</v>
      </c>
      <c r="G756" s="1">
        <v>45691</v>
      </c>
      <c r="H756" t="s">
        <v>26</v>
      </c>
      <c r="I756" t="s">
        <v>39</v>
      </c>
      <c r="J756">
        <v>4</v>
      </c>
      <c r="K756" t="s">
        <v>18</v>
      </c>
      <c r="L756" t="s">
        <v>58</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849</v>
      </c>
      <c r="B757" t="s">
        <v>25</v>
      </c>
      <c r="C757">
        <v>17</v>
      </c>
      <c r="D757">
        <v>74.5</v>
      </c>
      <c r="E757">
        <v>1266.5</v>
      </c>
      <c r="F757" s="1">
        <v>45690</v>
      </c>
      <c r="G757" s="1">
        <v>45692</v>
      </c>
      <c r="H757" t="s">
        <v>22</v>
      </c>
      <c r="I757" t="s">
        <v>69</v>
      </c>
      <c r="J757">
        <v>4</v>
      </c>
      <c r="K757" t="s">
        <v>18</v>
      </c>
      <c r="L757" t="s">
        <v>107</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850</v>
      </c>
      <c r="B758" t="s">
        <v>36</v>
      </c>
      <c r="C758">
        <v>1</v>
      </c>
      <c r="D758">
        <v>72.8</v>
      </c>
      <c r="E758">
        <v>72.8</v>
      </c>
      <c r="F758" s="1">
        <v>45690</v>
      </c>
      <c r="G758" s="1">
        <v>45691</v>
      </c>
      <c r="H758" t="s">
        <v>26</v>
      </c>
      <c r="I758" t="s">
        <v>17</v>
      </c>
      <c r="J758">
        <v>3</v>
      </c>
      <c r="K758" t="s">
        <v>18</v>
      </c>
      <c r="L758" t="s">
        <v>109</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851</v>
      </c>
      <c r="B759" t="s">
        <v>38</v>
      </c>
      <c r="C759">
        <v>4</v>
      </c>
      <c r="D759">
        <v>137.30000000000001</v>
      </c>
      <c r="E759">
        <v>549.20000000000005</v>
      </c>
      <c r="F759" s="1">
        <v>45690</v>
      </c>
      <c r="G759" s="1">
        <v>45693</v>
      </c>
      <c r="H759" t="s">
        <v>26</v>
      </c>
      <c r="I759" t="s">
        <v>17</v>
      </c>
      <c r="J759">
        <v>4</v>
      </c>
      <c r="K759" t="s">
        <v>18</v>
      </c>
      <c r="L759" t="s">
        <v>81</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852</v>
      </c>
      <c r="B760" t="s">
        <v>21</v>
      </c>
      <c r="C760">
        <v>3</v>
      </c>
      <c r="D760">
        <v>48.7</v>
      </c>
      <c r="E760">
        <v>146.10000000000002</v>
      </c>
      <c r="F760" s="1">
        <v>45690</v>
      </c>
      <c r="G760" s="1">
        <v>45695</v>
      </c>
      <c r="H760" t="s">
        <v>26</v>
      </c>
      <c r="I760" t="s">
        <v>17</v>
      </c>
      <c r="J760">
        <v>3</v>
      </c>
      <c r="K760" t="s">
        <v>18</v>
      </c>
      <c r="L760" t="s">
        <v>114</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853</v>
      </c>
      <c r="B761" t="s">
        <v>38</v>
      </c>
      <c r="C761">
        <v>4</v>
      </c>
      <c r="D761">
        <v>53.7</v>
      </c>
      <c r="E761">
        <v>214.8</v>
      </c>
      <c r="F761" s="1">
        <v>45690</v>
      </c>
      <c r="G761" s="1">
        <v>45694</v>
      </c>
      <c r="H761" t="s">
        <v>22</v>
      </c>
      <c r="I761" t="s">
        <v>34</v>
      </c>
      <c r="J761">
        <v>2</v>
      </c>
      <c r="K761" t="s">
        <v>18</v>
      </c>
      <c r="L761" t="s">
        <v>27</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854</v>
      </c>
      <c r="B762" t="s">
        <v>25</v>
      </c>
      <c r="C762">
        <v>7</v>
      </c>
      <c r="D762">
        <v>100.9</v>
      </c>
      <c r="E762">
        <v>706.30000000000007</v>
      </c>
      <c r="F762" s="1">
        <v>45690</v>
      </c>
      <c r="G762" s="1">
        <v>45692</v>
      </c>
      <c r="H762" t="s">
        <v>26</v>
      </c>
      <c r="I762" t="s">
        <v>17</v>
      </c>
      <c r="J762">
        <v>3</v>
      </c>
      <c r="K762" t="s">
        <v>18</v>
      </c>
      <c r="L762" t="s">
        <v>27</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855</v>
      </c>
      <c r="B763" t="s">
        <v>53</v>
      </c>
      <c r="C763">
        <v>2</v>
      </c>
      <c r="D763">
        <v>41.8</v>
      </c>
      <c r="E763">
        <v>83.6</v>
      </c>
      <c r="F763" s="1">
        <v>45690</v>
      </c>
      <c r="G763" s="1">
        <v>45694</v>
      </c>
      <c r="H763" t="s">
        <v>22</v>
      </c>
      <c r="I763" t="s">
        <v>50</v>
      </c>
      <c r="J763">
        <v>5</v>
      </c>
      <c r="K763" t="s">
        <v>18</v>
      </c>
      <c r="L763" t="s">
        <v>146</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856</v>
      </c>
      <c r="B764" t="s">
        <v>31</v>
      </c>
      <c r="C764">
        <v>8</v>
      </c>
      <c r="D764">
        <v>28.5</v>
      </c>
      <c r="E764">
        <v>228</v>
      </c>
      <c r="F764" s="1">
        <v>45690</v>
      </c>
      <c r="G764" s="1">
        <v>45692</v>
      </c>
      <c r="H764" t="s">
        <v>22</v>
      </c>
      <c r="I764" t="s">
        <v>39</v>
      </c>
      <c r="J764">
        <v>3</v>
      </c>
      <c r="K764" t="s">
        <v>18</v>
      </c>
      <c r="L764" t="s">
        <v>32</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857</v>
      </c>
      <c r="B765" t="s">
        <v>41</v>
      </c>
      <c r="C765">
        <v>4</v>
      </c>
      <c r="D765">
        <v>88.9</v>
      </c>
      <c r="E765">
        <v>355.6</v>
      </c>
      <c r="F765" s="1">
        <v>45690</v>
      </c>
      <c r="G765" s="1">
        <v>45693</v>
      </c>
      <c r="H765" t="s">
        <v>26</v>
      </c>
      <c r="I765" t="s">
        <v>17</v>
      </c>
      <c r="J765">
        <v>5</v>
      </c>
      <c r="K765" t="s">
        <v>18</v>
      </c>
      <c r="L765" t="s">
        <v>32</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858</v>
      </c>
      <c r="B766" t="s">
        <v>38</v>
      </c>
      <c r="C766">
        <v>1</v>
      </c>
      <c r="D766">
        <v>62.5</v>
      </c>
      <c r="E766">
        <v>62.5</v>
      </c>
      <c r="F766" s="1">
        <v>45690</v>
      </c>
      <c r="G766" s="1">
        <v>45699</v>
      </c>
      <c r="H766" t="s">
        <v>26</v>
      </c>
      <c r="I766" t="s">
        <v>17</v>
      </c>
      <c r="J766">
        <v>5</v>
      </c>
      <c r="K766" t="s">
        <v>18</v>
      </c>
      <c r="L766" t="s">
        <v>32</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859</v>
      </c>
      <c r="B767" t="s">
        <v>21</v>
      </c>
      <c r="C767">
        <v>3</v>
      </c>
      <c r="D767">
        <v>46.9</v>
      </c>
      <c r="E767">
        <v>140.69999999999999</v>
      </c>
      <c r="F767" s="1">
        <v>45690</v>
      </c>
      <c r="G767" s="1">
        <v>45691</v>
      </c>
      <c r="H767" t="s">
        <v>22</v>
      </c>
      <c r="I767" t="s">
        <v>17</v>
      </c>
      <c r="J767">
        <v>5</v>
      </c>
      <c r="K767" t="s">
        <v>18</v>
      </c>
      <c r="L767" t="s">
        <v>32</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860</v>
      </c>
      <c r="B768" t="s">
        <v>43</v>
      </c>
      <c r="C768">
        <v>3</v>
      </c>
      <c r="D768">
        <v>45</v>
      </c>
      <c r="E768">
        <v>135</v>
      </c>
      <c r="F768" s="1">
        <v>45690</v>
      </c>
      <c r="G768" s="1">
        <v>45704</v>
      </c>
      <c r="H768" t="s">
        <v>22</v>
      </c>
      <c r="I768" t="s">
        <v>34</v>
      </c>
      <c r="J768">
        <v>4</v>
      </c>
      <c r="K768" t="s">
        <v>18</v>
      </c>
      <c r="L768" t="s">
        <v>32</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861</v>
      </c>
      <c r="B769" t="s">
        <v>38</v>
      </c>
      <c r="C769">
        <v>3</v>
      </c>
      <c r="D769">
        <v>45.2</v>
      </c>
      <c r="E769">
        <v>135.60000000000002</v>
      </c>
      <c r="F769" s="1">
        <v>45690</v>
      </c>
      <c r="G769" s="1">
        <v>45692</v>
      </c>
      <c r="H769" t="s">
        <v>22</v>
      </c>
      <c r="I769" t="s">
        <v>69</v>
      </c>
      <c r="J769">
        <v>5</v>
      </c>
      <c r="K769" t="s">
        <v>18</v>
      </c>
      <c r="L769" t="s">
        <v>32</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862</v>
      </c>
      <c r="B770" t="s">
        <v>31</v>
      </c>
      <c r="C770">
        <v>2</v>
      </c>
      <c r="D770">
        <v>60.1</v>
      </c>
      <c r="E770">
        <v>120.2</v>
      </c>
      <c r="F770" s="1">
        <v>45690</v>
      </c>
      <c r="G770" s="1">
        <v>45691</v>
      </c>
      <c r="H770" t="s">
        <v>26</v>
      </c>
      <c r="I770" t="s">
        <v>17</v>
      </c>
      <c r="J770">
        <v>5</v>
      </c>
      <c r="K770" t="s">
        <v>18</v>
      </c>
      <c r="L770" t="s">
        <v>32</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863</v>
      </c>
      <c r="B771" t="s">
        <v>68</v>
      </c>
      <c r="C771">
        <v>4</v>
      </c>
      <c r="D771">
        <v>118.7</v>
      </c>
      <c r="E771">
        <v>474.8</v>
      </c>
      <c r="F771" s="1">
        <v>45690</v>
      </c>
      <c r="G771" s="1">
        <v>45692</v>
      </c>
      <c r="H771" t="s">
        <v>26</v>
      </c>
      <c r="I771" t="s">
        <v>17</v>
      </c>
      <c r="J771">
        <v>4</v>
      </c>
      <c r="K771" t="s">
        <v>18</v>
      </c>
      <c r="L771" t="s">
        <v>32</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864</v>
      </c>
      <c r="B772" t="s">
        <v>45</v>
      </c>
      <c r="C772">
        <v>1</v>
      </c>
      <c r="D772">
        <v>57.8</v>
      </c>
      <c r="E772">
        <v>57.8</v>
      </c>
      <c r="F772" s="1">
        <v>45690</v>
      </c>
      <c r="G772" s="1">
        <v>45699</v>
      </c>
      <c r="H772" t="s">
        <v>26</v>
      </c>
      <c r="I772" t="s">
        <v>34</v>
      </c>
      <c r="J772">
        <v>4</v>
      </c>
      <c r="K772" t="s">
        <v>18</v>
      </c>
      <c r="L772" t="s">
        <v>32</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865</v>
      </c>
      <c r="B773" t="s">
        <v>31</v>
      </c>
      <c r="C773">
        <v>1</v>
      </c>
      <c r="D773">
        <v>19.5</v>
      </c>
      <c r="E773">
        <v>19.5</v>
      </c>
      <c r="F773" s="1">
        <v>45690</v>
      </c>
      <c r="G773" s="1">
        <v>45691</v>
      </c>
      <c r="H773" t="s">
        <v>22</v>
      </c>
      <c r="I773" t="s">
        <v>34</v>
      </c>
      <c r="J773">
        <v>3</v>
      </c>
      <c r="K773" t="s">
        <v>18</v>
      </c>
      <c r="L773" t="s">
        <v>32</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866</v>
      </c>
      <c r="B774" t="s">
        <v>68</v>
      </c>
      <c r="C774">
        <v>1</v>
      </c>
      <c r="D774">
        <v>42.6</v>
      </c>
      <c r="E774">
        <v>42.6</v>
      </c>
      <c r="F774" s="1">
        <v>45690</v>
      </c>
      <c r="G774" s="1">
        <v>45691</v>
      </c>
      <c r="H774" t="s">
        <v>22</v>
      </c>
      <c r="I774" t="s">
        <v>17</v>
      </c>
      <c r="J774">
        <v>3</v>
      </c>
      <c r="K774" t="s">
        <v>18</v>
      </c>
      <c r="L774" t="s">
        <v>32</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867</v>
      </c>
      <c r="B775" t="s">
        <v>38</v>
      </c>
      <c r="C775">
        <v>2</v>
      </c>
      <c r="D775">
        <v>74.8</v>
      </c>
      <c r="E775">
        <v>149.6</v>
      </c>
      <c r="F775" s="1">
        <v>45690</v>
      </c>
      <c r="G775" s="1">
        <v>45691</v>
      </c>
      <c r="H775" t="s">
        <v>26</v>
      </c>
      <c r="I775" t="s">
        <v>50</v>
      </c>
      <c r="J775">
        <v>5</v>
      </c>
      <c r="K775" t="s">
        <v>18</v>
      </c>
      <c r="L775" t="s">
        <v>363</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868</v>
      </c>
      <c r="B776" t="s">
        <v>43</v>
      </c>
      <c r="C776">
        <v>3</v>
      </c>
      <c r="D776">
        <v>32.5</v>
      </c>
      <c r="E776">
        <v>97.5</v>
      </c>
      <c r="F776" s="1">
        <v>45690</v>
      </c>
      <c r="G776" s="1">
        <v>45691</v>
      </c>
      <c r="H776" t="s">
        <v>22</v>
      </c>
      <c r="I776" t="s">
        <v>39</v>
      </c>
      <c r="J776">
        <v>2</v>
      </c>
      <c r="K776" t="s">
        <v>18</v>
      </c>
      <c r="L776" t="s">
        <v>97</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869</v>
      </c>
      <c r="B777" t="s">
        <v>25</v>
      </c>
      <c r="C777">
        <v>3</v>
      </c>
      <c r="D777">
        <v>60.5</v>
      </c>
      <c r="E777">
        <v>181.5</v>
      </c>
      <c r="F777" s="1">
        <v>45690</v>
      </c>
      <c r="G777" s="1">
        <v>45690</v>
      </c>
      <c r="H777" t="s">
        <v>26</v>
      </c>
      <c r="I777" t="s">
        <v>34</v>
      </c>
      <c r="J777">
        <v>5</v>
      </c>
      <c r="K777" t="s">
        <v>18</v>
      </c>
      <c r="L777" t="s">
        <v>187</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870</v>
      </c>
      <c r="B778" t="s">
        <v>21</v>
      </c>
      <c r="C778">
        <v>7</v>
      </c>
      <c r="D778">
        <v>57.2</v>
      </c>
      <c r="E778">
        <v>400.40000000000003</v>
      </c>
      <c r="F778" s="1">
        <v>45690</v>
      </c>
      <c r="G778" s="1">
        <v>45692</v>
      </c>
      <c r="I778" t="s">
        <v>39</v>
      </c>
      <c r="J778">
        <v>4</v>
      </c>
      <c r="K778" t="s">
        <v>18</v>
      </c>
      <c r="L778" t="s">
        <v>187</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871</v>
      </c>
      <c r="B779" t="s">
        <v>127</v>
      </c>
      <c r="C779">
        <v>2</v>
      </c>
      <c r="D779">
        <v>112</v>
      </c>
      <c r="E779">
        <v>224</v>
      </c>
      <c r="F779" s="1">
        <v>45690</v>
      </c>
      <c r="G779" s="1">
        <v>45691</v>
      </c>
      <c r="H779" t="s">
        <v>26</v>
      </c>
      <c r="I779" t="s">
        <v>34</v>
      </c>
      <c r="J779">
        <v>3</v>
      </c>
      <c r="K779" t="s">
        <v>18</v>
      </c>
      <c r="L779" t="s">
        <v>51</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872</v>
      </c>
      <c r="B780" t="s">
        <v>41</v>
      </c>
      <c r="C780">
        <v>10</v>
      </c>
      <c r="D780">
        <v>49</v>
      </c>
      <c r="E780">
        <v>490</v>
      </c>
      <c r="F780" s="1">
        <v>45690</v>
      </c>
      <c r="G780" s="1">
        <v>45691</v>
      </c>
      <c r="H780" t="s">
        <v>88</v>
      </c>
      <c r="I780" t="s">
        <v>39</v>
      </c>
      <c r="J780">
        <v>3</v>
      </c>
      <c r="K780" t="s">
        <v>18</v>
      </c>
      <c r="L780" t="s">
        <v>54</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873</v>
      </c>
      <c r="B781" t="s">
        <v>16</v>
      </c>
      <c r="C781">
        <v>2</v>
      </c>
      <c r="D781">
        <v>33.700000000000003</v>
      </c>
      <c r="E781">
        <v>67.400000000000006</v>
      </c>
      <c r="F781" s="1">
        <v>45690</v>
      </c>
      <c r="G781" s="1">
        <v>45694</v>
      </c>
      <c r="H781" t="s">
        <v>26</v>
      </c>
      <c r="I781" t="s">
        <v>50</v>
      </c>
      <c r="J781">
        <v>4</v>
      </c>
      <c r="K781" t="s">
        <v>18</v>
      </c>
      <c r="L781" t="s">
        <v>54</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874</v>
      </c>
      <c r="B782" t="s">
        <v>31</v>
      </c>
      <c r="C782">
        <v>3</v>
      </c>
      <c r="D782">
        <v>35.6</v>
      </c>
      <c r="E782">
        <v>106.80000000000001</v>
      </c>
      <c r="F782" s="1">
        <v>45690</v>
      </c>
      <c r="G782" s="1">
        <v>45693</v>
      </c>
      <c r="H782" t="s">
        <v>26</v>
      </c>
      <c r="I782" t="s">
        <v>17</v>
      </c>
      <c r="J782">
        <v>5</v>
      </c>
      <c r="K782" t="s">
        <v>18</v>
      </c>
      <c r="L782" t="s">
        <v>54</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875</v>
      </c>
      <c r="B783" t="s">
        <v>31</v>
      </c>
      <c r="C783">
        <v>35</v>
      </c>
      <c r="D783">
        <v>30.4</v>
      </c>
      <c r="E783">
        <v>1064</v>
      </c>
      <c r="F783" s="1">
        <v>45691</v>
      </c>
      <c r="G783" s="1">
        <v>45691</v>
      </c>
      <c r="H783" t="s">
        <v>26</v>
      </c>
      <c r="I783" t="s">
        <v>17</v>
      </c>
      <c r="J783">
        <v>3</v>
      </c>
      <c r="K783" t="s">
        <v>18</v>
      </c>
      <c r="L783" t="s">
        <v>58</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876</v>
      </c>
      <c r="B784" t="s">
        <v>53</v>
      </c>
      <c r="C784">
        <v>12</v>
      </c>
      <c r="D784">
        <v>50.2</v>
      </c>
      <c r="E784">
        <v>602.40000000000009</v>
      </c>
      <c r="F784" s="1">
        <v>45691</v>
      </c>
      <c r="G784" s="1">
        <v>45692</v>
      </c>
      <c r="H784" t="s">
        <v>22</v>
      </c>
      <c r="I784" t="s">
        <v>69</v>
      </c>
      <c r="J784">
        <v>4</v>
      </c>
      <c r="K784" t="s">
        <v>18</v>
      </c>
      <c r="L784" t="s">
        <v>61</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877</v>
      </c>
      <c r="B785" t="s">
        <v>21</v>
      </c>
      <c r="C785">
        <v>2</v>
      </c>
      <c r="D785">
        <v>43.7</v>
      </c>
      <c r="E785">
        <v>87.4</v>
      </c>
      <c r="F785" s="1">
        <v>45691</v>
      </c>
      <c r="G785" s="1">
        <v>45693</v>
      </c>
      <c r="H785" t="s">
        <v>26</v>
      </c>
      <c r="I785" t="s">
        <v>17</v>
      </c>
      <c r="J785">
        <v>4</v>
      </c>
      <c r="K785" t="s">
        <v>18</v>
      </c>
      <c r="L785" t="s">
        <v>61</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878</v>
      </c>
      <c r="B786" t="s">
        <v>53</v>
      </c>
      <c r="C786">
        <v>1</v>
      </c>
      <c r="D786">
        <v>33.299999999999997</v>
      </c>
      <c r="E786">
        <v>33.299999999999997</v>
      </c>
      <c r="F786" s="1">
        <v>45691</v>
      </c>
      <c r="G786" s="1">
        <v>45692</v>
      </c>
      <c r="H786" t="s">
        <v>26</v>
      </c>
      <c r="I786" t="s">
        <v>39</v>
      </c>
      <c r="J786">
        <v>3</v>
      </c>
      <c r="K786" t="s">
        <v>18</v>
      </c>
      <c r="L786" t="s">
        <v>61</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879</v>
      </c>
      <c r="B787" t="s">
        <v>43</v>
      </c>
      <c r="C787">
        <v>4</v>
      </c>
      <c r="D787">
        <v>15.1</v>
      </c>
      <c r="E787">
        <v>60.4</v>
      </c>
      <c r="F787" s="1">
        <v>45691</v>
      </c>
      <c r="G787" s="1">
        <v>45693</v>
      </c>
      <c r="H787" t="s">
        <v>26</v>
      </c>
      <c r="I787" t="s">
        <v>69</v>
      </c>
      <c r="J787">
        <v>5</v>
      </c>
      <c r="K787" t="s">
        <v>18</v>
      </c>
      <c r="L787" t="s">
        <v>61</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880</v>
      </c>
      <c r="B788" t="s">
        <v>38</v>
      </c>
      <c r="C788">
        <v>5</v>
      </c>
      <c r="D788">
        <v>118.2</v>
      </c>
      <c r="E788">
        <v>591</v>
      </c>
      <c r="F788" s="1">
        <v>45691</v>
      </c>
      <c r="G788" s="1">
        <v>45692</v>
      </c>
      <c r="H788" t="s">
        <v>26</v>
      </c>
      <c r="I788" t="s">
        <v>50</v>
      </c>
      <c r="J788">
        <v>2</v>
      </c>
      <c r="K788" t="s">
        <v>18</v>
      </c>
      <c r="L788" t="s">
        <v>61</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881</v>
      </c>
      <c r="B789" t="s">
        <v>53</v>
      </c>
      <c r="C789">
        <v>3</v>
      </c>
      <c r="D789">
        <v>28.9</v>
      </c>
      <c r="E789">
        <v>86.699999999999989</v>
      </c>
      <c r="F789" s="1">
        <v>45691</v>
      </c>
      <c r="G789" s="1">
        <v>45693</v>
      </c>
      <c r="H789" t="s">
        <v>26</v>
      </c>
      <c r="I789" t="s">
        <v>39</v>
      </c>
      <c r="J789">
        <v>3</v>
      </c>
      <c r="K789" t="s">
        <v>18</v>
      </c>
      <c r="L789" t="s">
        <v>61</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882</v>
      </c>
      <c r="B790" t="s">
        <v>31</v>
      </c>
      <c r="C790">
        <v>3</v>
      </c>
      <c r="D790">
        <v>55.6</v>
      </c>
      <c r="E790">
        <v>166.8</v>
      </c>
      <c r="F790" s="1">
        <v>45691</v>
      </c>
      <c r="G790" s="1">
        <v>45692</v>
      </c>
      <c r="H790" t="s">
        <v>22</v>
      </c>
      <c r="I790" t="s">
        <v>17</v>
      </c>
      <c r="J790">
        <v>3</v>
      </c>
      <c r="K790" t="s">
        <v>18</v>
      </c>
      <c r="L790" t="s">
        <v>61</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883</v>
      </c>
      <c r="B791" t="s">
        <v>45</v>
      </c>
      <c r="C791">
        <v>4</v>
      </c>
      <c r="D791">
        <v>25.6</v>
      </c>
      <c r="E791">
        <v>102.4</v>
      </c>
      <c r="F791" s="1">
        <v>45691</v>
      </c>
      <c r="G791" s="1">
        <v>45693</v>
      </c>
      <c r="H791" t="s">
        <v>26</v>
      </c>
      <c r="I791" t="s">
        <v>17</v>
      </c>
      <c r="J791">
        <v>3</v>
      </c>
      <c r="K791" t="s">
        <v>18</v>
      </c>
      <c r="L791" t="s">
        <v>61</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884</v>
      </c>
      <c r="B792" t="s">
        <v>41</v>
      </c>
      <c r="C792">
        <v>3</v>
      </c>
      <c r="D792">
        <v>31.3</v>
      </c>
      <c r="E792">
        <v>93.9</v>
      </c>
      <c r="F792" s="1">
        <v>45691</v>
      </c>
      <c r="G792" s="1">
        <v>45692</v>
      </c>
      <c r="H792" t="s">
        <v>22</v>
      </c>
      <c r="I792" t="s">
        <v>17</v>
      </c>
      <c r="J792">
        <v>4</v>
      </c>
      <c r="K792" t="s">
        <v>18</v>
      </c>
      <c r="L792" t="s">
        <v>102</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885</v>
      </c>
      <c r="B793" t="s">
        <v>16</v>
      </c>
      <c r="C793">
        <v>3</v>
      </c>
      <c r="D793">
        <v>22.1</v>
      </c>
      <c r="E793">
        <v>66.300000000000011</v>
      </c>
      <c r="F793" s="1">
        <v>45691</v>
      </c>
      <c r="G793" s="1">
        <v>45695</v>
      </c>
      <c r="H793" t="s">
        <v>22</v>
      </c>
      <c r="I793" t="s">
        <v>17</v>
      </c>
      <c r="J793">
        <v>4</v>
      </c>
      <c r="K793" t="s">
        <v>18</v>
      </c>
      <c r="L793" t="s">
        <v>102</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886</v>
      </c>
      <c r="B794" t="s">
        <v>25</v>
      </c>
      <c r="C794">
        <v>14</v>
      </c>
      <c r="D794">
        <v>99.4</v>
      </c>
      <c r="E794">
        <v>1391.6000000000001</v>
      </c>
      <c r="F794" s="1">
        <v>45691</v>
      </c>
      <c r="G794" s="1">
        <v>45692</v>
      </c>
      <c r="H794" t="s">
        <v>22</v>
      </c>
      <c r="I794" t="s">
        <v>34</v>
      </c>
      <c r="J794">
        <v>4</v>
      </c>
      <c r="K794" t="s">
        <v>18</v>
      </c>
      <c r="L794" t="s">
        <v>76</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887</v>
      </c>
      <c r="B795" t="s">
        <v>41</v>
      </c>
      <c r="C795">
        <v>6</v>
      </c>
      <c r="D795">
        <v>66.599999999999994</v>
      </c>
      <c r="E795">
        <v>399.59999999999997</v>
      </c>
      <c r="F795" s="1">
        <v>45691</v>
      </c>
      <c r="G795" s="1">
        <v>45692</v>
      </c>
      <c r="H795" t="s">
        <v>26</v>
      </c>
      <c r="I795" t="s">
        <v>17</v>
      </c>
      <c r="J795">
        <v>4</v>
      </c>
      <c r="K795" t="s">
        <v>18</v>
      </c>
      <c r="L795" t="s">
        <v>76</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888</v>
      </c>
      <c r="B796" t="s">
        <v>43</v>
      </c>
      <c r="C796">
        <v>2</v>
      </c>
      <c r="D796">
        <v>22.6</v>
      </c>
      <c r="E796">
        <v>45.2</v>
      </c>
      <c r="F796" s="1">
        <v>45691</v>
      </c>
      <c r="G796" s="1">
        <v>45694</v>
      </c>
      <c r="H796" t="s">
        <v>22</v>
      </c>
      <c r="I796" t="s">
        <v>17</v>
      </c>
      <c r="J796">
        <v>4</v>
      </c>
      <c r="K796" t="s">
        <v>18</v>
      </c>
      <c r="L796" t="s">
        <v>76</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889</v>
      </c>
      <c r="B797" t="s">
        <v>25</v>
      </c>
      <c r="C797">
        <v>18</v>
      </c>
      <c r="D797">
        <v>66.8</v>
      </c>
      <c r="E797">
        <v>1202.3999999999999</v>
      </c>
      <c r="F797" s="1">
        <v>45691</v>
      </c>
      <c r="G797" s="1">
        <v>45692</v>
      </c>
      <c r="H797" t="s">
        <v>26</v>
      </c>
      <c r="I797" t="s">
        <v>17</v>
      </c>
      <c r="J797">
        <v>2</v>
      </c>
      <c r="K797" t="s">
        <v>18</v>
      </c>
      <c r="L797" t="s">
        <v>81</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890</v>
      </c>
      <c r="B798" t="s">
        <v>16</v>
      </c>
      <c r="C798">
        <v>4</v>
      </c>
      <c r="D798">
        <v>20.8</v>
      </c>
      <c r="E798">
        <v>83.2</v>
      </c>
      <c r="F798" s="1">
        <v>45691</v>
      </c>
      <c r="G798" s="1">
        <v>45698</v>
      </c>
      <c r="H798" t="s">
        <v>22</v>
      </c>
      <c r="I798" t="s">
        <v>34</v>
      </c>
      <c r="J798">
        <v>2</v>
      </c>
      <c r="K798" t="s">
        <v>18</v>
      </c>
      <c r="L798" t="s">
        <v>23</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891</v>
      </c>
      <c r="B799" t="s">
        <v>25</v>
      </c>
      <c r="C799">
        <v>7</v>
      </c>
      <c r="D799">
        <v>102.5</v>
      </c>
      <c r="E799">
        <v>717.5</v>
      </c>
      <c r="F799" s="1">
        <v>45691</v>
      </c>
      <c r="G799" s="1">
        <v>45692</v>
      </c>
      <c r="H799" t="s">
        <v>26</v>
      </c>
      <c r="I799" t="s">
        <v>69</v>
      </c>
      <c r="J799">
        <v>5</v>
      </c>
      <c r="K799" t="s">
        <v>18</v>
      </c>
      <c r="L799" t="s">
        <v>32</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892</v>
      </c>
      <c r="B800" t="s">
        <v>16</v>
      </c>
      <c r="C800">
        <v>18</v>
      </c>
      <c r="D800">
        <v>24.8</v>
      </c>
      <c r="E800">
        <v>446.40000000000003</v>
      </c>
      <c r="F800" s="1">
        <v>45691</v>
      </c>
      <c r="G800" s="1">
        <v>45695</v>
      </c>
      <c r="H800" t="s">
        <v>26</v>
      </c>
      <c r="I800" t="s">
        <v>17</v>
      </c>
      <c r="J800">
        <v>4</v>
      </c>
      <c r="K800" t="s">
        <v>18</v>
      </c>
      <c r="L800" t="s">
        <v>32</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893</v>
      </c>
      <c r="B801" t="s">
        <v>31</v>
      </c>
      <c r="C801">
        <v>31</v>
      </c>
      <c r="D801">
        <v>31.4</v>
      </c>
      <c r="E801">
        <v>973.4</v>
      </c>
      <c r="F801" s="1">
        <v>45691</v>
      </c>
      <c r="G801" s="1">
        <v>45692</v>
      </c>
      <c r="H801" t="s">
        <v>26</v>
      </c>
      <c r="I801" t="s">
        <v>50</v>
      </c>
      <c r="J801">
        <v>4</v>
      </c>
      <c r="K801" t="s">
        <v>18</v>
      </c>
      <c r="L801" t="s">
        <v>32</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894</v>
      </c>
      <c r="B802" t="s">
        <v>45</v>
      </c>
      <c r="C802">
        <v>5</v>
      </c>
      <c r="D802">
        <v>59.3</v>
      </c>
      <c r="E802">
        <v>296.5</v>
      </c>
      <c r="F802" s="1">
        <v>45691</v>
      </c>
      <c r="G802" s="1">
        <v>45694</v>
      </c>
      <c r="H802" t="s">
        <v>22</v>
      </c>
      <c r="I802" t="s">
        <v>34</v>
      </c>
      <c r="J802">
        <v>5</v>
      </c>
      <c r="K802" t="s">
        <v>18</v>
      </c>
      <c r="L802" t="s">
        <v>544</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895</v>
      </c>
      <c r="B803" t="s">
        <v>66</v>
      </c>
      <c r="C803">
        <v>6</v>
      </c>
      <c r="D803">
        <v>39</v>
      </c>
      <c r="E803">
        <v>234</v>
      </c>
      <c r="F803" s="1">
        <v>45691</v>
      </c>
      <c r="G803" s="1">
        <v>45694</v>
      </c>
      <c r="H803" t="s">
        <v>22</v>
      </c>
      <c r="I803" t="s">
        <v>34</v>
      </c>
      <c r="J803">
        <v>4</v>
      </c>
      <c r="K803" t="s">
        <v>18</v>
      </c>
      <c r="L803" t="s">
        <v>54</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896</v>
      </c>
      <c r="B804" t="s">
        <v>36</v>
      </c>
      <c r="C804">
        <v>6</v>
      </c>
      <c r="D804">
        <v>98.6</v>
      </c>
      <c r="E804">
        <v>591.59999999999991</v>
      </c>
      <c r="F804" s="1">
        <v>45691</v>
      </c>
      <c r="G804" s="1">
        <v>45693</v>
      </c>
      <c r="H804" t="s">
        <v>26</v>
      </c>
      <c r="I804" t="s">
        <v>34</v>
      </c>
      <c r="J804">
        <v>4</v>
      </c>
      <c r="K804" t="s">
        <v>18</v>
      </c>
      <c r="L804" t="s">
        <v>54</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897</v>
      </c>
      <c r="B805" t="s">
        <v>43</v>
      </c>
      <c r="C805">
        <v>1</v>
      </c>
      <c r="D805">
        <v>20</v>
      </c>
      <c r="E805">
        <v>20</v>
      </c>
      <c r="F805" s="1">
        <v>45692</v>
      </c>
      <c r="G805" s="1">
        <v>45693</v>
      </c>
      <c r="H805" t="s">
        <v>22</v>
      </c>
      <c r="I805" t="s">
        <v>50</v>
      </c>
      <c r="J805">
        <v>5</v>
      </c>
      <c r="K805" t="s">
        <v>18</v>
      </c>
      <c r="L805" t="s">
        <v>61</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898</v>
      </c>
      <c r="B806" t="s">
        <v>21</v>
      </c>
      <c r="C806">
        <v>2</v>
      </c>
      <c r="D806">
        <v>42.9</v>
      </c>
      <c r="E806">
        <v>85.8</v>
      </c>
      <c r="F806" s="1">
        <v>45692</v>
      </c>
      <c r="G806" s="1">
        <v>45694</v>
      </c>
      <c r="H806" t="s">
        <v>26</v>
      </c>
      <c r="I806" t="s">
        <v>17</v>
      </c>
      <c r="J806">
        <v>5</v>
      </c>
      <c r="K806" t="s">
        <v>18</v>
      </c>
      <c r="L806" t="s">
        <v>61</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899</v>
      </c>
      <c r="B807" t="s">
        <v>41</v>
      </c>
      <c r="C807">
        <v>7</v>
      </c>
      <c r="D807">
        <v>55.6</v>
      </c>
      <c r="E807">
        <v>389.2</v>
      </c>
      <c r="F807" s="1">
        <v>45692</v>
      </c>
      <c r="G807" s="1">
        <v>45694</v>
      </c>
      <c r="H807" t="s">
        <v>26</v>
      </c>
      <c r="I807" t="s">
        <v>39</v>
      </c>
      <c r="J807">
        <v>3</v>
      </c>
      <c r="K807" t="s">
        <v>18</v>
      </c>
      <c r="L807" t="s">
        <v>61</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900</v>
      </c>
      <c r="B808" t="s">
        <v>43</v>
      </c>
      <c r="C808">
        <v>4</v>
      </c>
      <c r="D808">
        <v>19.2</v>
      </c>
      <c r="E808">
        <v>76.8</v>
      </c>
      <c r="F808" s="1">
        <v>45692</v>
      </c>
      <c r="G808" s="1">
        <v>45697</v>
      </c>
      <c r="H808" t="s">
        <v>26</v>
      </c>
      <c r="I808" t="s">
        <v>17</v>
      </c>
      <c r="J808">
        <v>4</v>
      </c>
      <c r="K808" t="s">
        <v>18</v>
      </c>
      <c r="L808" t="s">
        <v>428</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901</v>
      </c>
      <c r="B809" t="s">
        <v>36</v>
      </c>
      <c r="C809">
        <v>2</v>
      </c>
      <c r="D809">
        <v>28.8</v>
      </c>
      <c r="E809">
        <v>57.6</v>
      </c>
      <c r="F809" s="1">
        <v>45692</v>
      </c>
      <c r="G809" s="1">
        <v>45694</v>
      </c>
      <c r="H809" t="s">
        <v>22</v>
      </c>
      <c r="I809" t="s">
        <v>34</v>
      </c>
      <c r="J809">
        <v>4</v>
      </c>
      <c r="K809" t="s">
        <v>18</v>
      </c>
      <c r="L809" t="s">
        <v>107</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902</v>
      </c>
      <c r="B810" t="s">
        <v>31</v>
      </c>
      <c r="C810">
        <v>1</v>
      </c>
      <c r="D810">
        <v>29.7</v>
      </c>
      <c r="E810">
        <v>29.7</v>
      </c>
      <c r="F810" s="1">
        <v>45692</v>
      </c>
      <c r="G810" s="1">
        <v>45694</v>
      </c>
      <c r="H810" t="s">
        <v>26</v>
      </c>
      <c r="I810" t="s">
        <v>39</v>
      </c>
      <c r="J810">
        <v>2</v>
      </c>
      <c r="K810" t="s">
        <v>18</v>
      </c>
      <c r="L810" t="s">
        <v>112</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903</v>
      </c>
      <c r="B811" t="s">
        <v>38</v>
      </c>
      <c r="C811">
        <v>6</v>
      </c>
      <c r="D811">
        <v>63.3</v>
      </c>
      <c r="E811">
        <v>379.79999999999995</v>
      </c>
      <c r="F811" s="1">
        <v>45692</v>
      </c>
      <c r="G811" s="1">
        <v>45693</v>
      </c>
      <c r="I811" t="s">
        <v>17</v>
      </c>
      <c r="J811">
        <v>5</v>
      </c>
      <c r="K811" t="s">
        <v>18</v>
      </c>
      <c r="L811" t="s">
        <v>114</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904</v>
      </c>
      <c r="B812" t="s">
        <v>31</v>
      </c>
      <c r="C812">
        <v>1</v>
      </c>
      <c r="D812">
        <v>46</v>
      </c>
      <c r="E812">
        <v>46</v>
      </c>
      <c r="F812" s="1">
        <v>45692</v>
      </c>
      <c r="G812" s="1">
        <v>45693</v>
      </c>
      <c r="H812" t="s">
        <v>26</v>
      </c>
      <c r="I812" t="s">
        <v>17</v>
      </c>
      <c r="J812">
        <v>5</v>
      </c>
      <c r="K812" t="s">
        <v>18</v>
      </c>
      <c r="L812" t="s">
        <v>114</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905</v>
      </c>
      <c r="B813" t="s">
        <v>66</v>
      </c>
      <c r="C813">
        <v>3</v>
      </c>
      <c r="D813">
        <v>38</v>
      </c>
      <c r="E813">
        <v>114</v>
      </c>
      <c r="F813" s="1">
        <v>45692</v>
      </c>
      <c r="G813" s="1">
        <v>45694</v>
      </c>
      <c r="H813" t="s">
        <v>26</v>
      </c>
      <c r="I813" t="s">
        <v>34</v>
      </c>
      <c r="J813">
        <v>5</v>
      </c>
      <c r="K813" t="s">
        <v>18</v>
      </c>
      <c r="L813" t="s">
        <v>114</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906</v>
      </c>
      <c r="B814" t="s">
        <v>53</v>
      </c>
      <c r="C814">
        <v>13</v>
      </c>
      <c r="D814">
        <v>34.6</v>
      </c>
      <c r="E814">
        <v>449.8</v>
      </c>
      <c r="F814" s="1">
        <v>45692</v>
      </c>
      <c r="G814" s="1">
        <v>45694</v>
      </c>
      <c r="H814" t="s">
        <v>26</v>
      </c>
      <c r="I814" t="s">
        <v>17</v>
      </c>
      <c r="J814">
        <v>3</v>
      </c>
      <c r="K814" t="s">
        <v>18</v>
      </c>
      <c r="L814" t="s">
        <v>114</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907</v>
      </c>
      <c r="B815" t="s">
        <v>29</v>
      </c>
      <c r="C815">
        <v>10</v>
      </c>
      <c r="D815">
        <v>79.7</v>
      </c>
      <c r="E815">
        <v>797</v>
      </c>
      <c r="F815" s="1">
        <v>45692</v>
      </c>
      <c r="G815" s="1">
        <v>45693</v>
      </c>
      <c r="H815" t="s">
        <v>26</v>
      </c>
      <c r="I815" t="s">
        <v>69</v>
      </c>
      <c r="J815">
        <v>3</v>
      </c>
      <c r="K815" t="s">
        <v>18</v>
      </c>
      <c r="L815" t="s">
        <v>114</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908</v>
      </c>
      <c r="B816" t="s">
        <v>43</v>
      </c>
      <c r="C816">
        <v>8</v>
      </c>
      <c r="D816">
        <v>30.5</v>
      </c>
      <c r="E816">
        <v>244</v>
      </c>
      <c r="F816" s="1">
        <v>45692</v>
      </c>
      <c r="G816" s="1">
        <v>45696</v>
      </c>
      <c r="H816" t="s">
        <v>22</v>
      </c>
      <c r="I816" t="s">
        <v>50</v>
      </c>
      <c r="J816">
        <v>4</v>
      </c>
      <c r="K816" t="s">
        <v>18</v>
      </c>
      <c r="L816" t="s">
        <v>23</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909</v>
      </c>
      <c r="B817" t="s">
        <v>16</v>
      </c>
      <c r="C817">
        <v>2</v>
      </c>
      <c r="D817">
        <v>20.8</v>
      </c>
      <c r="E817">
        <v>41.6</v>
      </c>
      <c r="F817" s="1">
        <v>45692</v>
      </c>
      <c r="G817" s="1">
        <v>45693</v>
      </c>
      <c r="H817" t="s">
        <v>26</v>
      </c>
      <c r="I817" t="s">
        <v>17</v>
      </c>
      <c r="J817">
        <v>4</v>
      </c>
      <c r="K817" t="s">
        <v>18</v>
      </c>
      <c r="L817" t="s">
        <v>27</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910</v>
      </c>
      <c r="B818" t="s">
        <v>66</v>
      </c>
      <c r="C818">
        <v>7</v>
      </c>
      <c r="D818">
        <v>48.5</v>
      </c>
      <c r="E818">
        <v>339.5</v>
      </c>
      <c r="F818" s="1">
        <v>45692</v>
      </c>
      <c r="G818" s="1">
        <v>45696</v>
      </c>
      <c r="H818" t="s">
        <v>26</v>
      </c>
      <c r="I818" t="s">
        <v>39</v>
      </c>
      <c r="J818">
        <v>5</v>
      </c>
      <c r="K818" t="s">
        <v>18</v>
      </c>
      <c r="L818" t="s">
        <v>27</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911</v>
      </c>
      <c r="B819" t="s">
        <v>25</v>
      </c>
      <c r="C819">
        <v>4</v>
      </c>
      <c r="D819">
        <v>61.8</v>
      </c>
      <c r="E819">
        <v>247.2</v>
      </c>
      <c r="F819" s="1">
        <v>45692</v>
      </c>
      <c r="G819" s="1">
        <v>45696</v>
      </c>
      <c r="H819" t="s">
        <v>26</v>
      </c>
      <c r="I819" t="s">
        <v>69</v>
      </c>
      <c r="J819">
        <v>4</v>
      </c>
      <c r="K819" t="s">
        <v>18</v>
      </c>
      <c r="L819" t="s">
        <v>146</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912</v>
      </c>
      <c r="B820" t="s">
        <v>53</v>
      </c>
      <c r="C820">
        <v>1</v>
      </c>
      <c r="D820">
        <v>46.1</v>
      </c>
      <c r="E820">
        <v>46.1</v>
      </c>
      <c r="F820" s="1">
        <v>45692</v>
      </c>
      <c r="G820" s="1">
        <v>45693</v>
      </c>
      <c r="H820" t="s">
        <v>88</v>
      </c>
      <c r="I820" t="s">
        <v>39</v>
      </c>
      <c r="J820">
        <v>4</v>
      </c>
      <c r="K820" t="s">
        <v>18</v>
      </c>
      <c r="L820" t="s">
        <v>32</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913</v>
      </c>
      <c r="B821" t="s">
        <v>31</v>
      </c>
      <c r="C821">
        <v>6</v>
      </c>
      <c r="D821">
        <v>44</v>
      </c>
      <c r="E821">
        <v>264</v>
      </c>
      <c r="F821" s="1">
        <v>45692</v>
      </c>
      <c r="G821" s="1">
        <v>45693</v>
      </c>
      <c r="H821" t="s">
        <v>26</v>
      </c>
      <c r="I821" t="s">
        <v>17</v>
      </c>
      <c r="J821">
        <v>4</v>
      </c>
      <c r="K821" t="s">
        <v>18</v>
      </c>
      <c r="L821" t="s">
        <v>32</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914</v>
      </c>
      <c r="B822" t="s">
        <v>145</v>
      </c>
      <c r="C822">
        <v>2</v>
      </c>
      <c r="D822">
        <v>95.7</v>
      </c>
      <c r="E822">
        <v>191.4</v>
      </c>
      <c r="F822" s="1">
        <v>45692</v>
      </c>
      <c r="G822" s="1">
        <v>45698</v>
      </c>
      <c r="H822" t="s">
        <v>26</v>
      </c>
      <c r="I822" t="s">
        <v>50</v>
      </c>
      <c r="J822">
        <v>5</v>
      </c>
      <c r="K822" t="s">
        <v>18</v>
      </c>
      <c r="L822" t="s">
        <v>32</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915</v>
      </c>
      <c r="B823" t="s">
        <v>41</v>
      </c>
      <c r="C823">
        <v>5</v>
      </c>
      <c r="D823">
        <v>46.4</v>
      </c>
      <c r="E823">
        <v>232</v>
      </c>
      <c r="F823" s="1">
        <v>45692</v>
      </c>
      <c r="G823" s="1">
        <v>45695</v>
      </c>
      <c r="H823" t="s">
        <v>26</v>
      </c>
      <c r="I823" t="s">
        <v>17</v>
      </c>
      <c r="J823">
        <v>4</v>
      </c>
      <c r="K823" t="s">
        <v>18</v>
      </c>
      <c r="L823" t="s">
        <v>32</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916</v>
      </c>
      <c r="B824" t="s">
        <v>38</v>
      </c>
      <c r="C824">
        <v>2</v>
      </c>
      <c r="D824">
        <v>47.2</v>
      </c>
      <c r="E824">
        <v>94.4</v>
      </c>
      <c r="F824" s="1">
        <v>45692</v>
      </c>
      <c r="G824" s="1">
        <v>45694</v>
      </c>
      <c r="H824" t="s">
        <v>26</v>
      </c>
      <c r="I824" t="s">
        <v>17</v>
      </c>
      <c r="J824">
        <v>5</v>
      </c>
      <c r="K824" t="s">
        <v>18</v>
      </c>
      <c r="L824" t="s">
        <v>32</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917</v>
      </c>
      <c r="B825" t="s">
        <v>41</v>
      </c>
      <c r="C825">
        <v>2</v>
      </c>
      <c r="D825">
        <v>58.6</v>
      </c>
      <c r="E825">
        <v>117.2</v>
      </c>
      <c r="F825" s="1">
        <v>45692</v>
      </c>
      <c r="G825" s="1">
        <v>45693</v>
      </c>
      <c r="H825" t="s">
        <v>26</v>
      </c>
      <c r="I825" t="s">
        <v>39</v>
      </c>
      <c r="J825">
        <v>3</v>
      </c>
      <c r="K825" t="s">
        <v>18</v>
      </c>
      <c r="L825" t="s">
        <v>32</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918</v>
      </c>
      <c r="B826" t="s">
        <v>31</v>
      </c>
      <c r="C826">
        <v>3</v>
      </c>
      <c r="D826">
        <v>57</v>
      </c>
      <c r="E826">
        <v>171</v>
      </c>
      <c r="F826" s="1">
        <v>45692</v>
      </c>
      <c r="G826" s="1">
        <v>45693</v>
      </c>
      <c r="H826" t="s">
        <v>22</v>
      </c>
      <c r="I826" t="s">
        <v>17</v>
      </c>
      <c r="J826">
        <v>5</v>
      </c>
      <c r="K826" t="s">
        <v>18</v>
      </c>
      <c r="L826" t="s">
        <v>32</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919</v>
      </c>
      <c r="B827" t="s">
        <v>43</v>
      </c>
      <c r="C827">
        <v>4</v>
      </c>
      <c r="D827">
        <v>28.9</v>
      </c>
      <c r="E827">
        <v>115.6</v>
      </c>
      <c r="F827" s="1">
        <v>45692</v>
      </c>
      <c r="G827" s="1">
        <v>45696</v>
      </c>
      <c r="H827" t="s">
        <v>22</v>
      </c>
      <c r="I827" t="s">
        <v>39</v>
      </c>
      <c r="J827">
        <v>4</v>
      </c>
      <c r="K827" t="s">
        <v>18</v>
      </c>
      <c r="L827" t="s">
        <v>32</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920</v>
      </c>
      <c r="B828" t="s">
        <v>68</v>
      </c>
      <c r="C828">
        <v>5</v>
      </c>
      <c r="D828">
        <v>60.7</v>
      </c>
      <c r="E828">
        <v>303.5</v>
      </c>
      <c r="F828" s="1">
        <v>45692</v>
      </c>
      <c r="G828" s="1">
        <v>45696</v>
      </c>
      <c r="I828" t="s">
        <v>34</v>
      </c>
      <c r="J828">
        <v>3</v>
      </c>
      <c r="K828" t="s">
        <v>18</v>
      </c>
      <c r="L828" t="s">
        <v>32</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921</v>
      </c>
      <c r="B829" t="s">
        <v>38</v>
      </c>
      <c r="C829">
        <v>5</v>
      </c>
      <c r="D829">
        <v>60.8</v>
      </c>
      <c r="E829">
        <v>304</v>
      </c>
      <c r="F829" s="1">
        <v>45692</v>
      </c>
      <c r="G829" s="1">
        <v>45696</v>
      </c>
      <c r="H829" t="s">
        <v>22</v>
      </c>
      <c r="I829" t="s">
        <v>17</v>
      </c>
      <c r="J829">
        <v>3</v>
      </c>
      <c r="K829" t="s">
        <v>18</v>
      </c>
      <c r="L829" t="s">
        <v>32</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922</v>
      </c>
      <c r="B830" t="s">
        <v>38</v>
      </c>
      <c r="C830">
        <v>5</v>
      </c>
      <c r="D830">
        <v>64.599999999999994</v>
      </c>
      <c r="E830">
        <v>323</v>
      </c>
      <c r="F830" s="1">
        <v>45692</v>
      </c>
      <c r="G830" s="1">
        <v>45693</v>
      </c>
      <c r="H830" t="s">
        <v>26</v>
      </c>
      <c r="I830" t="s">
        <v>50</v>
      </c>
      <c r="J830">
        <v>4</v>
      </c>
      <c r="K830" t="s">
        <v>18</v>
      </c>
      <c r="L830" t="s">
        <v>32</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923</v>
      </c>
      <c r="B831" t="s">
        <v>43</v>
      </c>
      <c r="C831">
        <v>1</v>
      </c>
      <c r="D831">
        <v>21.9</v>
      </c>
      <c r="E831">
        <v>21.9</v>
      </c>
      <c r="F831" s="1">
        <v>45692</v>
      </c>
      <c r="G831" s="1">
        <v>45695</v>
      </c>
      <c r="H831" t="s">
        <v>22</v>
      </c>
      <c r="I831" t="s">
        <v>34</v>
      </c>
      <c r="J831">
        <v>5</v>
      </c>
      <c r="K831" t="s">
        <v>18</v>
      </c>
      <c r="L831" t="s">
        <v>48</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924</v>
      </c>
      <c r="B832" t="s">
        <v>31</v>
      </c>
      <c r="C832">
        <v>12</v>
      </c>
      <c r="D832">
        <v>33.4</v>
      </c>
      <c r="E832">
        <v>400.79999999999995</v>
      </c>
      <c r="F832" s="1">
        <v>45692</v>
      </c>
      <c r="G832" s="1">
        <v>45694</v>
      </c>
      <c r="H832" t="s">
        <v>26</v>
      </c>
      <c r="I832" t="s">
        <v>17</v>
      </c>
      <c r="J832">
        <v>4</v>
      </c>
      <c r="K832" t="s">
        <v>18</v>
      </c>
      <c r="L832" t="s">
        <v>157</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925</v>
      </c>
      <c r="B833" t="s">
        <v>25</v>
      </c>
      <c r="C833">
        <v>1</v>
      </c>
      <c r="D833">
        <v>51.7</v>
      </c>
      <c r="E833">
        <v>51.7</v>
      </c>
      <c r="F833" s="1">
        <v>45692</v>
      </c>
      <c r="G833" s="1">
        <v>45693</v>
      </c>
      <c r="I833" t="s">
        <v>17</v>
      </c>
      <c r="J833">
        <v>4</v>
      </c>
      <c r="K833" t="s">
        <v>18</v>
      </c>
      <c r="L833" t="s">
        <v>54</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926</v>
      </c>
      <c r="B834" t="s">
        <v>21</v>
      </c>
      <c r="C834">
        <v>4</v>
      </c>
      <c r="D834">
        <v>84.9</v>
      </c>
      <c r="E834">
        <v>339.6</v>
      </c>
      <c r="F834" s="1">
        <v>45692</v>
      </c>
      <c r="G834" s="1">
        <v>45693</v>
      </c>
      <c r="H834" t="s">
        <v>26</v>
      </c>
      <c r="I834" t="s">
        <v>34</v>
      </c>
      <c r="J834">
        <v>3</v>
      </c>
      <c r="K834" t="s">
        <v>18</v>
      </c>
      <c r="L834" t="s">
        <v>54</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927</v>
      </c>
      <c r="B835" t="s">
        <v>21</v>
      </c>
      <c r="C835">
        <v>11</v>
      </c>
      <c r="D835">
        <v>62.3</v>
      </c>
      <c r="E835">
        <v>685.3</v>
      </c>
      <c r="F835" s="1">
        <v>45692</v>
      </c>
      <c r="G835" s="1">
        <v>45693</v>
      </c>
      <c r="H835" t="s">
        <v>26</v>
      </c>
      <c r="I835" t="s">
        <v>39</v>
      </c>
      <c r="J835">
        <v>5</v>
      </c>
      <c r="K835" t="s">
        <v>18</v>
      </c>
      <c r="L835" t="s">
        <v>58</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928</v>
      </c>
      <c r="B836" t="s">
        <v>31</v>
      </c>
      <c r="C836">
        <v>1</v>
      </c>
      <c r="D836">
        <v>50.7</v>
      </c>
      <c r="E836">
        <v>50.7</v>
      </c>
      <c r="F836" s="1">
        <v>45692</v>
      </c>
      <c r="G836" s="1">
        <v>45694</v>
      </c>
      <c r="H836" t="s">
        <v>22</v>
      </c>
      <c r="I836" t="s">
        <v>39</v>
      </c>
      <c r="J836">
        <v>5</v>
      </c>
      <c r="K836" t="s">
        <v>18</v>
      </c>
      <c r="L836" t="s">
        <v>61</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929</v>
      </c>
      <c r="B837" t="s">
        <v>145</v>
      </c>
      <c r="C837">
        <v>1</v>
      </c>
      <c r="D837">
        <v>39.5</v>
      </c>
      <c r="E837">
        <v>39.5</v>
      </c>
      <c r="F837" s="1">
        <v>45692</v>
      </c>
      <c r="G837" s="1">
        <v>45693</v>
      </c>
      <c r="H837" t="s">
        <v>22</v>
      </c>
      <c r="I837" t="s">
        <v>69</v>
      </c>
      <c r="J837">
        <v>3</v>
      </c>
      <c r="K837" t="s">
        <v>18</v>
      </c>
      <c r="L837" t="s">
        <v>61</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930</v>
      </c>
      <c r="B838" t="s">
        <v>68</v>
      </c>
      <c r="C838">
        <v>3</v>
      </c>
      <c r="D838">
        <v>30.9</v>
      </c>
      <c r="E838">
        <v>92.699999999999989</v>
      </c>
      <c r="F838" s="1">
        <v>45692</v>
      </c>
      <c r="G838" s="1">
        <v>45693</v>
      </c>
      <c r="I838" t="s">
        <v>69</v>
      </c>
      <c r="J838">
        <v>5</v>
      </c>
      <c r="K838" t="s">
        <v>18</v>
      </c>
      <c r="L838" t="s">
        <v>61</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931</v>
      </c>
      <c r="B839" t="s">
        <v>21</v>
      </c>
      <c r="C839">
        <v>7</v>
      </c>
      <c r="D839">
        <v>36.4</v>
      </c>
      <c r="E839">
        <v>254.79999999999998</v>
      </c>
      <c r="F839" s="1">
        <v>45692</v>
      </c>
      <c r="G839" s="1">
        <v>45695</v>
      </c>
      <c r="H839" t="s">
        <v>26</v>
      </c>
      <c r="I839" t="s">
        <v>17</v>
      </c>
      <c r="J839">
        <v>5</v>
      </c>
      <c r="K839" t="s">
        <v>18</v>
      </c>
      <c r="L839" t="s">
        <v>61</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932</v>
      </c>
      <c r="B840" t="s">
        <v>38</v>
      </c>
      <c r="C840">
        <v>8</v>
      </c>
      <c r="D840">
        <v>105.6</v>
      </c>
      <c r="E840">
        <v>844.8</v>
      </c>
      <c r="F840" s="1">
        <v>45692</v>
      </c>
      <c r="G840" s="1">
        <v>45702</v>
      </c>
      <c r="H840" t="s">
        <v>26</v>
      </c>
      <c r="I840" t="s">
        <v>17</v>
      </c>
      <c r="J840">
        <v>4</v>
      </c>
      <c r="K840" t="s">
        <v>18</v>
      </c>
      <c r="L840" t="s">
        <v>61</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933</v>
      </c>
      <c r="B841" t="s">
        <v>43</v>
      </c>
      <c r="C841">
        <v>2</v>
      </c>
      <c r="D841">
        <v>22.1</v>
      </c>
      <c r="E841">
        <v>44.2</v>
      </c>
      <c r="F841" s="1">
        <v>45692</v>
      </c>
      <c r="G841" s="1">
        <v>45693</v>
      </c>
      <c r="H841" t="s">
        <v>26</v>
      </c>
      <c r="I841" t="s">
        <v>17</v>
      </c>
      <c r="J841">
        <v>5</v>
      </c>
      <c r="K841" t="s">
        <v>18</v>
      </c>
      <c r="L841" t="s">
        <v>102</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934</v>
      </c>
      <c r="B842" t="s">
        <v>16</v>
      </c>
      <c r="C842">
        <v>3</v>
      </c>
      <c r="D842">
        <v>22.6</v>
      </c>
      <c r="E842">
        <v>67.800000000000011</v>
      </c>
      <c r="F842" s="1">
        <v>45692</v>
      </c>
      <c r="G842" s="1">
        <v>45693</v>
      </c>
      <c r="H842" t="s">
        <v>26</v>
      </c>
      <c r="I842" t="s">
        <v>39</v>
      </c>
      <c r="J842">
        <v>4</v>
      </c>
      <c r="K842" t="s">
        <v>18</v>
      </c>
      <c r="L842" t="s">
        <v>102</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935</v>
      </c>
      <c r="B843" t="s">
        <v>53</v>
      </c>
      <c r="C843">
        <v>6</v>
      </c>
      <c r="D843">
        <v>26.3</v>
      </c>
      <c r="E843">
        <v>157.80000000000001</v>
      </c>
      <c r="F843" s="1">
        <v>45692</v>
      </c>
      <c r="G843" s="1">
        <v>45692</v>
      </c>
      <c r="H843" t="s">
        <v>26</v>
      </c>
      <c r="I843" t="s">
        <v>39</v>
      </c>
      <c r="J843">
        <v>4</v>
      </c>
      <c r="K843" t="s">
        <v>18</v>
      </c>
      <c r="L843" t="s">
        <v>71</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936</v>
      </c>
      <c r="B844" t="s">
        <v>21</v>
      </c>
      <c r="C844">
        <v>4</v>
      </c>
      <c r="D844">
        <v>37.799999999999997</v>
      </c>
      <c r="E844">
        <v>151.19999999999999</v>
      </c>
      <c r="F844" s="1">
        <v>45692</v>
      </c>
      <c r="G844" s="1">
        <v>45693</v>
      </c>
      <c r="H844" t="s">
        <v>26</v>
      </c>
      <c r="I844" t="s">
        <v>17</v>
      </c>
      <c r="J844">
        <v>5</v>
      </c>
      <c r="K844" t="s">
        <v>18</v>
      </c>
      <c r="L844" t="s">
        <v>76</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937</v>
      </c>
      <c r="B845" t="s">
        <v>38</v>
      </c>
      <c r="C845">
        <v>17</v>
      </c>
      <c r="D845">
        <v>96</v>
      </c>
      <c r="E845">
        <v>1632</v>
      </c>
      <c r="F845" s="1">
        <v>45692</v>
      </c>
      <c r="G845" s="1">
        <v>45695</v>
      </c>
      <c r="H845" t="s">
        <v>26</v>
      </c>
      <c r="I845" t="s">
        <v>69</v>
      </c>
      <c r="J845">
        <v>3</v>
      </c>
      <c r="K845" t="s">
        <v>18</v>
      </c>
      <c r="L845" t="s">
        <v>107</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938</v>
      </c>
      <c r="B846" t="s">
        <v>21</v>
      </c>
      <c r="C846">
        <v>1</v>
      </c>
      <c r="D846">
        <v>83.6</v>
      </c>
      <c r="E846">
        <v>83.6</v>
      </c>
      <c r="F846" s="1">
        <v>45692</v>
      </c>
      <c r="G846" s="1">
        <v>45695</v>
      </c>
      <c r="H846" t="s">
        <v>26</v>
      </c>
      <c r="I846" t="s">
        <v>39</v>
      </c>
      <c r="J846">
        <v>3</v>
      </c>
      <c r="K846" t="s">
        <v>18</v>
      </c>
      <c r="L846" t="s">
        <v>109</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939</v>
      </c>
      <c r="B847" t="s">
        <v>25</v>
      </c>
      <c r="C847">
        <v>6</v>
      </c>
      <c r="D847">
        <v>72.599999999999994</v>
      </c>
      <c r="E847">
        <v>435.59999999999997</v>
      </c>
      <c r="F847" s="1">
        <v>45692</v>
      </c>
      <c r="G847" s="1">
        <v>45693</v>
      </c>
      <c r="H847" t="s">
        <v>26</v>
      </c>
      <c r="I847" t="s">
        <v>17</v>
      </c>
      <c r="J847">
        <v>4</v>
      </c>
      <c r="K847" t="s">
        <v>18</v>
      </c>
      <c r="L847" t="s">
        <v>114</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940</v>
      </c>
      <c r="B848" t="s">
        <v>36</v>
      </c>
      <c r="C848">
        <v>20</v>
      </c>
      <c r="D848">
        <v>69.099999999999994</v>
      </c>
      <c r="E848">
        <v>1382</v>
      </c>
      <c r="F848" s="1">
        <v>45693</v>
      </c>
      <c r="G848" s="1">
        <v>45699</v>
      </c>
      <c r="H848" t="s">
        <v>22</v>
      </c>
      <c r="I848" t="s">
        <v>17</v>
      </c>
      <c r="J848">
        <v>5</v>
      </c>
      <c r="K848" t="s">
        <v>18</v>
      </c>
      <c r="L848" t="s">
        <v>114</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941</v>
      </c>
      <c r="B849" t="s">
        <v>31</v>
      </c>
      <c r="C849">
        <v>2</v>
      </c>
      <c r="D849">
        <v>22.6</v>
      </c>
      <c r="E849">
        <v>45.2</v>
      </c>
      <c r="F849" s="1">
        <v>45693</v>
      </c>
      <c r="G849" s="1">
        <v>45695</v>
      </c>
      <c r="H849" t="s">
        <v>26</v>
      </c>
      <c r="I849" t="s">
        <v>34</v>
      </c>
      <c r="J849">
        <v>5</v>
      </c>
      <c r="K849" t="s">
        <v>18</v>
      </c>
      <c r="L849" t="s">
        <v>114</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942</v>
      </c>
      <c r="B850" t="s">
        <v>38</v>
      </c>
      <c r="C850">
        <v>2</v>
      </c>
      <c r="D850">
        <v>45.3</v>
      </c>
      <c r="E850">
        <v>90.6</v>
      </c>
      <c r="F850" s="1">
        <v>45693</v>
      </c>
      <c r="G850" s="1">
        <v>45697</v>
      </c>
      <c r="H850" t="s">
        <v>22</v>
      </c>
      <c r="I850" t="s">
        <v>69</v>
      </c>
      <c r="J850">
        <v>5</v>
      </c>
      <c r="K850" t="s">
        <v>18</v>
      </c>
      <c r="L850" t="s">
        <v>114</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943</v>
      </c>
      <c r="B851" t="s">
        <v>25</v>
      </c>
      <c r="C851">
        <v>2</v>
      </c>
      <c r="D851">
        <v>115.1</v>
      </c>
      <c r="E851">
        <v>230.2</v>
      </c>
      <c r="F851" s="1">
        <v>45693</v>
      </c>
      <c r="G851" s="1">
        <v>45694</v>
      </c>
      <c r="H851" t="s">
        <v>26</v>
      </c>
      <c r="I851" t="s">
        <v>34</v>
      </c>
      <c r="J851">
        <v>4</v>
      </c>
      <c r="K851" t="s">
        <v>18</v>
      </c>
      <c r="L851" t="s">
        <v>23</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944</v>
      </c>
      <c r="B852" t="s">
        <v>145</v>
      </c>
      <c r="C852">
        <v>4</v>
      </c>
      <c r="D852">
        <v>79</v>
      </c>
      <c r="E852">
        <v>316</v>
      </c>
      <c r="F852" s="1">
        <v>45693</v>
      </c>
      <c r="G852" s="1">
        <v>45695</v>
      </c>
      <c r="H852" t="s">
        <v>22</v>
      </c>
      <c r="I852" t="s">
        <v>39</v>
      </c>
      <c r="J852">
        <v>2</v>
      </c>
      <c r="K852" t="s">
        <v>18</v>
      </c>
      <c r="L852" t="s">
        <v>23</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945</v>
      </c>
      <c r="B853" t="s">
        <v>38</v>
      </c>
      <c r="C853">
        <v>5</v>
      </c>
      <c r="D853">
        <v>52.8</v>
      </c>
      <c r="E853">
        <v>264</v>
      </c>
      <c r="F853" s="1">
        <v>45693</v>
      </c>
      <c r="G853" s="1">
        <v>45694</v>
      </c>
      <c r="H853" t="s">
        <v>26</v>
      </c>
      <c r="I853" t="s">
        <v>17</v>
      </c>
      <c r="J853">
        <v>4</v>
      </c>
      <c r="K853" t="s">
        <v>18</v>
      </c>
      <c r="L853" t="s">
        <v>436</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946</v>
      </c>
      <c r="B854" t="s">
        <v>43</v>
      </c>
      <c r="C854">
        <v>2</v>
      </c>
      <c r="D854">
        <v>34.1</v>
      </c>
      <c r="E854">
        <v>68.2</v>
      </c>
      <c r="F854" s="1">
        <v>45693</v>
      </c>
      <c r="G854" s="1">
        <v>45694</v>
      </c>
      <c r="H854" t="s">
        <v>22</v>
      </c>
      <c r="I854" t="s">
        <v>50</v>
      </c>
      <c r="J854">
        <v>5</v>
      </c>
      <c r="K854" t="s">
        <v>18</v>
      </c>
      <c r="L854" t="s">
        <v>586</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947</v>
      </c>
      <c r="B855" t="s">
        <v>38</v>
      </c>
      <c r="C855">
        <v>5</v>
      </c>
      <c r="D855">
        <v>107.9</v>
      </c>
      <c r="E855">
        <v>539.5</v>
      </c>
      <c r="F855" s="1">
        <v>45693</v>
      </c>
      <c r="G855" s="1">
        <v>45693</v>
      </c>
      <c r="H855" t="s">
        <v>26</v>
      </c>
      <c r="I855" t="s">
        <v>17</v>
      </c>
      <c r="J855">
        <v>5</v>
      </c>
      <c r="K855" t="s">
        <v>18</v>
      </c>
      <c r="L855" t="s">
        <v>948</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949</v>
      </c>
      <c r="B856" t="s">
        <v>43</v>
      </c>
      <c r="C856">
        <v>13</v>
      </c>
      <c r="D856">
        <v>48.5</v>
      </c>
      <c r="E856">
        <v>630.5</v>
      </c>
      <c r="F856" s="1">
        <v>45693</v>
      </c>
      <c r="G856" s="1">
        <v>45693</v>
      </c>
      <c r="H856" t="s">
        <v>22</v>
      </c>
      <c r="I856" t="s">
        <v>39</v>
      </c>
      <c r="J856">
        <v>5</v>
      </c>
      <c r="K856" t="s">
        <v>18</v>
      </c>
      <c r="L856" t="s">
        <v>32</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950</v>
      </c>
      <c r="B857" t="s">
        <v>36</v>
      </c>
      <c r="C857">
        <v>3</v>
      </c>
      <c r="D857">
        <v>34.700000000000003</v>
      </c>
      <c r="E857">
        <v>104.10000000000001</v>
      </c>
      <c r="F857" s="1">
        <v>45693</v>
      </c>
      <c r="G857" s="1">
        <v>45694</v>
      </c>
      <c r="I857" t="s">
        <v>69</v>
      </c>
      <c r="J857">
        <v>3</v>
      </c>
      <c r="K857" t="s">
        <v>18</v>
      </c>
      <c r="L857" t="s">
        <v>32</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951</v>
      </c>
      <c r="B858" t="s">
        <v>43</v>
      </c>
      <c r="C858">
        <v>1</v>
      </c>
      <c r="D858">
        <v>16.8</v>
      </c>
      <c r="E858">
        <v>16.8</v>
      </c>
      <c r="F858" s="1">
        <v>45693</v>
      </c>
      <c r="G858" s="1">
        <v>45695</v>
      </c>
      <c r="H858" t="s">
        <v>26</v>
      </c>
      <c r="I858" t="s">
        <v>50</v>
      </c>
      <c r="J858">
        <v>4</v>
      </c>
      <c r="K858" t="s">
        <v>18</v>
      </c>
      <c r="L858" t="s">
        <v>32</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952</v>
      </c>
      <c r="B859" t="s">
        <v>43</v>
      </c>
      <c r="C859">
        <v>6</v>
      </c>
      <c r="D859">
        <v>18.3</v>
      </c>
      <c r="E859">
        <v>109.80000000000001</v>
      </c>
      <c r="F859" s="1">
        <v>45693</v>
      </c>
      <c r="G859" s="1">
        <v>45696</v>
      </c>
      <c r="H859" t="s">
        <v>26</v>
      </c>
      <c r="I859" t="s">
        <v>17</v>
      </c>
      <c r="J859">
        <v>4</v>
      </c>
      <c r="K859" t="s">
        <v>18</v>
      </c>
      <c r="L859" t="s">
        <v>32</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953</v>
      </c>
      <c r="B860" t="s">
        <v>145</v>
      </c>
      <c r="C860">
        <v>3</v>
      </c>
      <c r="D860">
        <v>55.9</v>
      </c>
      <c r="E860">
        <v>167.7</v>
      </c>
      <c r="F860" s="1">
        <v>45693</v>
      </c>
      <c r="G860" s="1">
        <v>45699</v>
      </c>
      <c r="H860" t="s">
        <v>22</v>
      </c>
      <c r="I860" t="s">
        <v>50</v>
      </c>
      <c r="J860">
        <v>3</v>
      </c>
      <c r="K860" t="s">
        <v>18</v>
      </c>
      <c r="L860" t="s">
        <v>32</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954</v>
      </c>
      <c r="B861" t="s">
        <v>43</v>
      </c>
      <c r="C861">
        <v>3</v>
      </c>
      <c r="D861">
        <v>39.200000000000003</v>
      </c>
      <c r="E861">
        <v>117.60000000000001</v>
      </c>
      <c r="F861" s="1">
        <v>45693</v>
      </c>
      <c r="G861" s="1">
        <v>45695</v>
      </c>
      <c r="H861" t="s">
        <v>26</v>
      </c>
      <c r="I861" t="s">
        <v>17</v>
      </c>
      <c r="J861">
        <v>3</v>
      </c>
      <c r="K861" t="s">
        <v>18</v>
      </c>
      <c r="L861" t="s">
        <v>32</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955</v>
      </c>
      <c r="B862" t="s">
        <v>122</v>
      </c>
      <c r="C862">
        <v>4</v>
      </c>
      <c r="D862">
        <v>66.5</v>
      </c>
      <c r="E862">
        <v>266</v>
      </c>
      <c r="F862" s="1">
        <v>45693</v>
      </c>
      <c r="G862" s="1">
        <v>45695</v>
      </c>
      <c r="I862" t="s">
        <v>50</v>
      </c>
      <c r="J862">
        <v>3</v>
      </c>
      <c r="K862" t="s">
        <v>18</v>
      </c>
      <c r="L862" t="s">
        <v>32</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956</v>
      </c>
      <c r="B863" t="s">
        <v>38</v>
      </c>
      <c r="C863">
        <v>6</v>
      </c>
      <c r="D863">
        <v>52.1</v>
      </c>
      <c r="E863">
        <v>312.60000000000002</v>
      </c>
      <c r="F863" s="1">
        <v>45693</v>
      </c>
      <c r="G863" s="1">
        <v>45695</v>
      </c>
      <c r="H863" t="s">
        <v>22</v>
      </c>
      <c r="I863" t="s">
        <v>34</v>
      </c>
      <c r="J863">
        <v>3</v>
      </c>
      <c r="K863" t="s">
        <v>18</v>
      </c>
      <c r="L863" t="s">
        <v>97</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957</v>
      </c>
      <c r="B864" t="s">
        <v>43</v>
      </c>
      <c r="C864">
        <v>2</v>
      </c>
      <c r="D864">
        <v>19</v>
      </c>
      <c r="E864">
        <v>38</v>
      </c>
      <c r="F864" s="1">
        <v>45693</v>
      </c>
      <c r="G864" s="1">
        <v>45694</v>
      </c>
      <c r="H864" t="s">
        <v>22</v>
      </c>
      <c r="I864" t="s">
        <v>69</v>
      </c>
      <c r="J864">
        <v>5</v>
      </c>
      <c r="K864" t="s">
        <v>18</v>
      </c>
      <c r="L864" t="s">
        <v>54</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958</v>
      </c>
      <c r="B865" t="s">
        <v>41</v>
      </c>
      <c r="C865">
        <v>3</v>
      </c>
      <c r="D865">
        <v>84.8</v>
      </c>
      <c r="E865">
        <v>254.39999999999998</v>
      </c>
      <c r="F865" s="1">
        <v>45693</v>
      </c>
      <c r="G865" s="1">
        <v>45695</v>
      </c>
      <c r="H865" t="s">
        <v>26</v>
      </c>
      <c r="I865" t="s">
        <v>39</v>
      </c>
      <c r="J865">
        <v>4</v>
      </c>
      <c r="K865" t="s">
        <v>18</v>
      </c>
      <c r="L865" t="s">
        <v>61</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959</v>
      </c>
      <c r="B866" t="s">
        <v>25</v>
      </c>
      <c r="C866">
        <v>4</v>
      </c>
      <c r="D866">
        <v>63.9</v>
      </c>
      <c r="E866">
        <v>255.6</v>
      </c>
      <c r="F866" s="1">
        <v>45693</v>
      </c>
      <c r="G866" s="1">
        <v>45696</v>
      </c>
      <c r="H866" t="s">
        <v>26</v>
      </c>
      <c r="I866" t="s">
        <v>17</v>
      </c>
      <c r="J866">
        <v>4</v>
      </c>
      <c r="K866" t="s">
        <v>18</v>
      </c>
      <c r="L866" t="s">
        <v>61</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960</v>
      </c>
      <c r="B867" t="s">
        <v>25</v>
      </c>
      <c r="C867">
        <v>3</v>
      </c>
      <c r="D867">
        <v>65.5</v>
      </c>
      <c r="E867">
        <v>196.5</v>
      </c>
      <c r="F867" s="1">
        <v>45693</v>
      </c>
      <c r="G867" s="1">
        <v>45693</v>
      </c>
      <c r="H867" t="s">
        <v>26</v>
      </c>
      <c r="I867" t="s">
        <v>34</v>
      </c>
      <c r="J867">
        <v>3</v>
      </c>
      <c r="K867" t="s">
        <v>18</v>
      </c>
      <c r="L867" t="s">
        <v>61</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961</v>
      </c>
      <c r="B868" t="s">
        <v>68</v>
      </c>
      <c r="C868">
        <v>2</v>
      </c>
      <c r="D868">
        <v>116.2</v>
      </c>
      <c r="E868">
        <v>232.4</v>
      </c>
      <c r="F868" s="1">
        <v>45693</v>
      </c>
      <c r="G868" s="1">
        <v>45699</v>
      </c>
      <c r="H868" t="s">
        <v>22</v>
      </c>
      <c r="I868" t="s">
        <v>50</v>
      </c>
      <c r="J868">
        <v>4</v>
      </c>
      <c r="K868" t="s">
        <v>18</v>
      </c>
      <c r="L868" t="s">
        <v>102</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962</v>
      </c>
      <c r="B869" t="s">
        <v>53</v>
      </c>
      <c r="C869">
        <v>4</v>
      </c>
      <c r="D869">
        <v>22.9</v>
      </c>
      <c r="E869">
        <v>91.6</v>
      </c>
      <c r="F869" s="1">
        <v>45693</v>
      </c>
      <c r="G869" s="1">
        <v>45695</v>
      </c>
      <c r="H869" t="s">
        <v>26</v>
      </c>
      <c r="I869" t="s">
        <v>39</v>
      </c>
      <c r="J869">
        <v>3</v>
      </c>
      <c r="K869" t="s">
        <v>18</v>
      </c>
      <c r="L869" t="s">
        <v>376</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963</v>
      </c>
      <c r="B870" t="s">
        <v>53</v>
      </c>
      <c r="C870">
        <v>3</v>
      </c>
      <c r="D870">
        <v>53.7</v>
      </c>
      <c r="E870">
        <v>161.10000000000002</v>
      </c>
      <c r="F870" s="1">
        <v>45693</v>
      </c>
      <c r="G870" s="1">
        <v>45694</v>
      </c>
      <c r="H870" t="s">
        <v>22</v>
      </c>
      <c r="I870" t="s">
        <v>17</v>
      </c>
      <c r="J870">
        <v>2</v>
      </c>
      <c r="K870" t="s">
        <v>18</v>
      </c>
      <c r="L870" t="s">
        <v>107</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964</v>
      </c>
      <c r="B871" t="s">
        <v>38</v>
      </c>
      <c r="C871">
        <v>5</v>
      </c>
      <c r="D871">
        <v>43.2</v>
      </c>
      <c r="E871">
        <v>216</v>
      </c>
      <c r="F871" s="1">
        <v>45693</v>
      </c>
      <c r="G871" s="1">
        <v>45695</v>
      </c>
      <c r="H871" t="s">
        <v>26</v>
      </c>
      <c r="I871" t="s">
        <v>17</v>
      </c>
      <c r="J871">
        <v>4</v>
      </c>
      <c r="K871" t="s">
        <v>18</v>
      </c>
      <c r="L871" t="s">
        <v>109</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965</v>
      </c>
      <c r="B872" t="s">
        <v>21</v>
      </c>
      <c r="C872">
        <v>3</v>
      </c>
      <c r="D872">
        <v>84.5</v>
      </c>
      <c r="E872">
        <v>253.5</v>
      </c>
      <c r="F872" s="1">
        <v>45693</v>
      </c>
      <c r="G872" s="1">
        <v>45695</v>
      </c>
      <c r="H872" t="s">
        <v>22</v>
      </c>
      <c r="I872" t="s">
        <v>39</v>
      </c>
      <c r="J872">
        <v>5</v>
      </c>
      <c r="K872" t="s">
        <v>18</v>
      </c>
      <c r="L872" t="s">
        <v>966</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967</v>
      </c>
      <c r="B873" t="s">
        <v>29</v>
      </c>
      <c r="C873">
        <v>2</v>
      </c>
      <c r="D873">
        <v>42.2</v>
      </c>
      <c r="E873">
        <v>84.4</v>
      </c>
      <c r="F873" s="1">
        <v>45693</v>
      </c>
      <c r="G873" s="1">
        <v>45694</v>
      </c>
      <c r="H873" t="s">
        <v>26</v>
      </c>
      <c r="I873" t="s">
        <v>34</v>
      </c>
      <c r="J873">
        <v>5</v>
      </c>
      <c r="K873" t="s">
        <v>18</v>
      </c>
      <c r="L873" t="s">
        <v>23</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968</v>
      </c>
      <c r="B874" t="s">
        <v>25</v>
      </c>
      <c r="C874">
        <v>6</v>
      </c>
      <c r="D874">
        <v>94.7</v>
      </c>
      <c r="E874">
        <v>568.20000000000005</v>
      </c>
      <c r="F874" s="1">
        <v>45693</v>
      </c>
      <c r="G874" s="1">
        <v>45696</v>
      </c>
      <c r="H874" t="s">
        <v>26</v>
      </c>
      <c r="I874" t="s">
        <v>34</v>
      </c>
      <c r="J874">
        <v>5</v>
      </c>
      <c r="K874" t="s">
        <v>18</v>
      </c>
      <c r="L874" t="s">
        <v>27</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969</v>
      </c>
      <c r="B875" t="s">
        <v>43</v>
      </c>
      <c r="C875">
        <v>18</v>
      </c>
      <c r="D875">
        <v>16.7</v>
      </c>
      <c r="E875">
        <v>300.59999999999997</v>
      </c>
      <c r="F875" s="1">
        <v>45693</v>
      </c>
      <c r="G875" s="1">
        <v>45705</v>
      </c>
      <c r="H875" t="s">
        <v>26</v>
      </c>
      <c r="I875" t="s">
        <v>17</v>
      </c>
      <c r="J875">
        <v>5</v>
      </c>
      <c r="K875" t="s">
        <v>18</v>
      </c>
      <c r="L875" t="s">
        <v>27</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970</v>
      </c>
      <c r="B876" t="s">
        <v>25</v>
      </c>
      <c r="C876">
        <v>2</v>
      </c>
      <c r="D876">
        <v>83.6</v>
      </c>
      <c r="E876">
        <v>167.2</v>
      </c>
      <c r="F876" s="1">
        <v>45693</v>
      </c>
      <c r="G876" s="1">
        <v>45699</v>
      </c>
      <c r="H876" t="s">
        <v>26</v>
      </c>
      <c r="I876" t="s">
        <v>34</v>
      </c>
      <c r="J876">
        <v>4</v>
      </c>
      <c r="K876" t="s">
        <v>18</v>
      </c>
      <c r="L876" t="s">
        <v>32</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971</v>
      </c>
      <c r="B877" t="s">
        <v>41</v>
      </c>
      <c r="C877">
        <v>6</v>
      </c>
      <c r="D877">
        <v>33.6</v>
      </c>
      <c r="E877">
        <v>201.60000000000002</v>
      </c>
      <c r="F877" s="1">
        <v>45694</v>
      </c>
      <c r="G877" s="1">
        <v>45695</v>
      </c>
      <c r="H877" t="s">
        <v>26</v>
      </c>
      <c r="I877" t="s">
        <v>50</v>
      </c>
      <c r="J877">
        <v>4</v>
      </c>
      <c r="K877" t="s">
        <v>18</v>
      </c>
      <c r="L877" t="s">
        <v>32</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972</v>
      </c>
      <c r="B878" t="s">
        <v>41</v>
      </c>
      <c r="C878">
        <v>2</v>
      </c>
      <c r="D878">
        <v>64.7</v>
      </c>
      <c r="E878">
        <v>129.4</v>
      </c>
      <c r="F878" s="1">
        <v>45694</v>
      </c>
      <c r="G878" s="1">
        <v>45696</v>
      </c>
      <c r="H878" t="s">
        <v>22</v>
      </c>
      <c r="I878" t="s">
        <v>34</v>
      </c>
      <c r="J878">
        <v>5</v>
      </c>
      <c r="K878" t="s">
        <v>18</v>
      </c>
      <c r="L878" t="s">
        <v>32</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973</v>
      </c>
      <c r="B879" t="s">
        <v>16</v>
      </c>
      <c r="C879">
        <v>3</v>
      </c>
      <c r="D879">
        <v>15.7</v>
      </c>
      <c r="E879">
        <v>47.099999999999994</v>
      </c>
      <c r="F879" s="1">
        <v>45694</v>
      </c>
      <c r="G879" s="1">
        <v>45700</v>
      </c>
      <c r="H879" t="s">
        <v>26</v>
      </c>
      <c r="I879" t="s">
        <v>17</v>
      </c>
      <c r="J879">
        <v>4</v>
      </c>
      <c r="K879" t="s">
        <v>18</v>
      </c>
      <c r="L879" t="s">
        <v>32</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974</v>
      </c>
      <c r="B880" t="s">
        <v>122</v>
      </c>
      <c r="C880">
        <v>6</v>
      </c>
      <c r="D880">
        <v>49.4</v>
      </c>
      <c r="E880">
        <v>296.39999999999998</v>
      </c>
      <c r="F880" s="1">
        <v>45694</v>
      </c>
      <c r="G880" s="1">
        <v>45694</v>
      </c>
      <c r="H880" t="s">
        <v>22</v>
      </c>
      <c r="I880" t="s">
        <v>34</v>
      </c>
      <c r="J880">
        <v>4</v>
      </c>
      <c r="K880" t="s">
        <v>18</v>
      </c>
      <c r="L880" t="s">
        <v>32</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975</v>
      </c>
      <c r="B881" t="s">
        <v>53</v>
      </c>
      <c r="C881">
        <v>6</v>
      </c>
      <c r="D881">
        <v>37</v>
      </c>
      <c r="E881">
        <v>222</v>
      </c>
      <c r="F881" s="1">
        <v>45694</v>
      </c>
      <c r="G881" s="1">
        <v>45697</v>
      </c>
      <c r="H881" t="s">
        <v>26</v>
      </c>
      <c r="I881" t="s">
        <v>34</v>
      </c>
      <c r="J881">
        <v>5</v>
      </c>
      <c r="K881" t="s">
        <v>18</v>
      </c>
      <c r="L881" t="s">
        <v>32</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976</v>
      </c>
      <c r="B882" t="s">
        <v>25</v>
      </c>
      <c r="C882">
        <v>2</v>
      </c>
      <c r="D882">
        <v>83.7</v>
      </c>
      <c r="E882">
        <v>167.4</v>
      </c>
      <c r="F882" s="1">
        <v>45694</v>
      </c>
      <c r="G882" s="1">
        <v>45696</v>
      </c>
      <c r="H882" t="s">
        <v>26</v>
      </c>
      <c r="I882" t="s">
        <v>50</v>
      </c>
      <c r="J882">
        <v>5</v>
      </c>
      <c r="K882" t="s">
        <v>18</v>
      </c>
      <c r="L882" t="s">
        <v>32</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977</v>
      </c>
      <c r="B883" t="s">
        <v>21</v>
      </c>
      <c r="C883">
        <v>5</v>
      </c>
      <c r="D883">
        <v>35.1</v>
      </c>
      <c r="E883">
        <v>175.5</v>
      </c>
      <c r="F883" s="1">
        <v>45694</v>
      </c>
      <c r="G883" s="1">
        <v>45695</v>
      </c>
      <c r="H883" t="s">
        <v>26</v>
      </c>
      <c r="I883" t="s">
        <v>17</v>
      </c>
      <c r="J883">
        <v>4</v>
      </c>
      <c r="K883" t="s">
        <v>18</v>
      </c>
      <c r="L883" t="s">
        <v>32</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978</v>
      </c>
      <c r="B884" t="s">
        <v>127</v>
      </c>
      <c r="C884">
        <v>8</v>
      </c>
      <c r="D884">
        <v>74</v>
      </c>
      <c r="E884">
        <v>592</v>
      </c>
      <c r="F884" s="1">
        <v>45694</v>
      </c>
      <c r="G884" s="1">
        <v>45695</v>
      </c>
      <c r="H884" t="s">
        <v>26</v>
      </c>
      <c r="I884" t="s">
        <v>69</v>
      </c>
      <c r="J884">
        <v>4</v>
      </c>
      <c r="K884" t="s">
        <v>18</v>
      </c>
      <c r="L884" t="s">
        <v>363</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979</v>
      </c>
      <c r="B885" t="s">
        <v>38</v>
      </c>
      <c r="C885">
        <v>24</v>
      </c>
      <c r="D885">
        <v>55.5</v>
      </c>
      <c r="E885">
        <v>1332</v>
      </c>
      <c r="F885" s="1">
        <v>45694</v>
      </c>
      <c r="G885" s="1">
        <v>45697</v>
      </c>
      <c r="H885" t="s">
        <v>22</v>
      </c>
      <c r="I885" t="s">
        <v>50</v>
      </c>
      <c r="J885">
        <v>4</v>
      </c>
      <c r="K885" t="s">
        <v>18</v>
      </c>
      <c r="L885" t="s">
        <v>801</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980</v>
      </c>
      <c r="B886" t="s">
        <v>66</v>
      </c>
      <c r="C886">
        <v>2</v>
      </c>
      <c r="D886">
        <v>38.9</v>
      </c>
      <c r="E886">
        <v>77.8</v>
      </c>
      <c r="F886" s="1">
        <v>45694</v>
      </c>
      <c r="G886" s="1">
        <v>45696</v>
      </c>
      <c r="H886" t="s">
        <v>26</v>
      </c>
      <c r="I886" t="s">
        <v>34</v>
      </c>
      <c r="J886">
        <v>5</v>
      </c>
      <c r="K886" t="s">
        <v>18</v>
      </c>
      <c r="L886" t="s">
        <v>187</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981</v>
      </c>
      <c r="B887" t="s">
        <v>127</v>
      </c>
      <c r="C887">
        <v>2</v>
      </c>
      <c r="D887">
        <v>64.599999999999994</v>
      </c>
      <c r="E887">
        <v>129.19999999999999</v>
      </c>
      <c r="F887" s="1">
        <v>45694</v>
      </c>
      <c r="G887" s="1">
        <v>45701</v>
      </c>
      <c r="H887" t="s">
        <v>22</v>
      </c>
      <c r="I887" t="s">
        <v>39</v>
      </c>
      <c r="J887">
        <v>3</v>
      </c>
      <c r="K887" t="s">
        <v>18</v>
      </c>
      <c r="L887" t="s">
        <v>187</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982</v>
      </c>
      <c r="B888" t="s">
        <v>25</v>
      </c>
      <c r="C888">
        <v>3</v>
      </c>
      <c r="D888">
        <v>95.3</v>
      </c>
      <c r="E888">
        <v>285.89999999999998</v>
      </c>
      <c r="F888" s="1">
        <v>45694</v>
      </c>
      <c r="G888" s="1">
        <v>45695</v>
      </c>
      <c r="H888" t="s">
        <v>22</v>
      </c>
      <c r="I888" t="s">
        <v>17</v>
      </c>
      <c r="J888">
        <v>4</v>
      </c>
      <c r="K888" t="s">
        <v>18</v>
      </c>
      <c r="L888" t="s">
        <v>51</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983</v>
      </c>
      <c r="B889" t="s">
        <v>75</v>
      </c>
      <c r="C889">
        <v>3</v>
      </c>
      <c r="D889">
        <v>25.8</v>
      </c>
      <c r="E889">
        <v>77.400000000000006</v>
      </c>
      <c r="F889" s="1">
        <v>45694</v>
      </c>
      <c r="G889" s="1">
        <v>45695</v>
      </c>
      <c r="H889" t="s">
        <v>26</v>
      </c>
      <c r="I889" t="s">
        <v>34</v>
      </c>
      <c r="J889">
        <v>3</v>
      </c>
      <c r="K889" t="s">
        <v>18</v>
      </c>
      <c r="L889" t="s">
        <v>54</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984</v>
      </c>
      <c r="B890" t="s">
        <v>16</v>
      </c>
      <c r="C890">
        <v>2</v>
      </c>
      <c r="D890">
        <v>11.6</v>
      </c>
      <c r="E890">
        <v>23.2</v>
      </c>
      <c r="F890" s="1">
        <v>45694</v>
      </c>
      <c r="G890" s="1">
        <v>45698</v>
      </c>
      <c r="H890" t="s">
        <v>26</v>
      </c>
      <c r="I890" t="s">
        <v>34</v>
      </c>
      <c r="J890">
        <v>3</v>
      </c>
      <c r="K890" t="s">
        <v>18</v>
      </c>
      <c r="L890" t="s">
        <v>54</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985</v>
      </c>
      <c r="B891" t="s">
        <v>41</v>
      </c>
      <c r="C891">
        <v>1</v>
      </c>
      <c r="D891">
        <v>52.3</v>
      </c>
      <c r="E891">
        <v>52.3</v>
      </c>
      <c r="F891" s="1">
        <v>45694</v>
      </c>
      <c r="G891" s="1">
        <v>45695</v>
      </c>
      <c r="H891" t="s">
        <v>26</v>
      </c>
      <c r="I891" t="s">
        <v>34</v>
      </c>
      <c r="J891">
        <v>4</v>
      </c>
      <c r="K891" t="s">
        <v>18</v>
      </c>
      <c r="L891" t="s">
        <v>61</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986</v>
      </c>
      <c r="B892" t="s">
        <v>25</v>
      </c>
      <c r="C892">
        <v>10</v>
      </c>
      <c r="D892">
        <v>112.2</v>
      </c>
      <c r="E892">
        <v>1122</v>
      </c>
      <c r="F892" s="1">
        <v>45694</v>
      </c>
      <c r="G892" s="1">
        <v>45695</v>
      </c>
      <c r="H892" t="s">
        <v>26</v>
      </c>
      <c r="I892" t="s">
        <v>34</v>
      </c>
      <c r="J892">
        <v>3</v>
      </c>
      <c r="K892" t="s">
        <v>18</v>
      </c>
      <c r="L892" t="s">
        <v>61</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987</v>
      </c>
      <c r="B893" t="s">
        <v>31</v>
      </c>
      <c r="C893">
        <v>5</v>
      </c>
      <c r="D893">
        <v>34.6</v>
      </c>
      <c r="E893">
        <v>173</v>
      </c>
      <c r="F893" s="1">
        <v>45694</v>
      </c>
      <c r="G893" s="1">
        <v>45696</v>
      </c>
      <c r="H893" t="s">
        <v>22</v>
      </c>
      <c r="I893" t="s">
        <v>39</v>
      </c>
      <c r="J893">
        <v>4</v>
      </c>
      <c r="K893" t="s">
        <v>18</v>
      </c>
      <c r="L893" t="s">
        <v>61</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988</v>
      </c>
      <c r="B894" t="s">
        <v>80</v>
      </c>
      <c r="C894">
        <v>4</v>
      </c>
      <c r="D894">
        <v>20.100000000000001</v>
      </c>
      <c r="E894">
        <v>80.400000000000006</v>
      </c>
      <c r="F894" s="1">
        <v>45694</v>
      </c>
      <c r="G894" s="1">
        <v>45700</v>
      </c>
      <c r="H894" t="s">
        <v>22</v>
      </c>
      <c r="I894" t="s">
        <v>34</v>
      </c>
      <c r="J894">
        <v>5</v>
      </c>
      <c r="K894" t="s">
        <v>18</v>
      </c>
      <c r="L894" t="s">
        <v>61</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989</v>
      </c>
      <c r="B895" t="s">
        <v>25</v>
      </c>
      <c r="C895">
        <v>4</v>
      </c>
      <c r="D895">
        <v>56.4</v>
      </c>
      <c r="E895">
        <v>225.6</v>
      </c>
      <c r="F895" s="1">
        <v>45694</v>
      </c>
      <c r="G895" s="1">
        <v>45696</v>
      </c>
      <c r="H895" t="s">
        <v>26</v>
      </c>
      <c r="I895" t="s">
        <v>39</v>
      </c>
      <c r="J895">
        <v>4</v>
      </c>
      <c r="K895" t="s">
        <v>18</v>
      </c>
      <c r="L895" t="s">
        <v>73</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990</v>
      </c>
      <c r="B896" t="s">
        <v>75</v>
      </c>
      <c r="C896">
        <v>9</v>
      </c>
      <c r="D896">
        <v>55.3</v>
      </c>
      <c r="E896">
        <v>497.7</v>
      </c>
      <c r="F896" s="1">
        <v>45694</v>
      </c>
      <c r="G896" s="1">
        <v>45696</v>
      </c>
      <c r="H896" t="s">
        <v>26</v>
      </c>
      <c r="I896" t="s">
        <v>34</v>
      </c>
      <c r="J896">
        <v>2</v>
      </c>
      <c r="K896" t="s">
        <v>18</v>
      </c>
      <c r="L896" t="s">
        <v>76</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991</v>
      </c>
      <c r="B897" t="s">
        <v>25</v>
      </c>
      <c r="C897">
        <v>28</v>
      </c>
      <c r="D897">
        <v>75.5</v>
      </c>
      <c r="E897">
        <v>2114</v>
      </c>
      <c r="F897" s="1">
        <v>45694</v>
      </c>
      <c r="G897" s="1">
        <v>45695</v>
      </c>
      <c r="H897" t="s">
        <v>26</v>
      </c>
      <c r="I897" t="s">
        <v>17</v>
      </c>
      <c r="J897">
        <v>4</v>
      </c>
      <c r="K897" t="s">
        <v>18</v>
      </c>
      <c r="L897" t="s">
        <v>76</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992</v>
      </c>
      <c r="B898" t="s">
        <v>43</v>
      </c>
      <c r="C898">
        <v>1</v>
      </c>
      <c r="D898">
        <v>23.6</v>
      </c>
      <c r="E898">
        <v>23.6</v>
      </c>
      <c r="F898" s="1">
        <v>45694</v>
      </c>
      <c r="G898" s="1">
        <v>45699</v>
      </c>
      <c r="H898" t="s">
        <v>26</v>
      </c>
      <c r="I898" t="s">
        <v>17</v>
      </c>
      <c r="J898">
        <v>4</v>
      </c>
      <c r="K898" t="s">
        <v>18</v>
      </c>
      <c r="L898" t="s">
        <v>109</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993</v>
      </c>
      <c r="B899" t="s">
        <v>45</v>
      </c>
      <c r="C899">
        <v>2</v>
      </c>
      <c r="D899">
        <v>70.7</v>
      </c>
      <c r="E899">
        <v>141.4</v>
      </c>
      <c r="F899" s="1">
        <v>45694</v>
      </c>
      <c r="G899" s="1">
        <v>45696</v>
      </c>
      <c r="H899" t="s">
        <v>26</v>
      </c>
      <c r="I899" t="s">
        <v>39</v>
      </c>
      <c r="J899">
        <v>4</v>
      </c>
      <c r="K899" t="s">
        <v>18</v>
      </c>
      <c r="L899" t="s">
        <v>109</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994</v>
      </c>
      <c r="B900" t="s">
        <v>68</v>
      </c>
      <c r="C900">
        <v>2</v>
      </c>
      <c r="D900">
        <v>43.2</v>
      </c>
      <c r="E900">
        <v>86.4</v>
      </c>
      <c r="F900" s="1">
        <v>45694</v>
      </c>
      <c r="G900" s="1">
        <v>45695</v>
      </c>
      <c r="H900" t="s">
        <v>26</v>
      </c>
      <c r="I900" t="s">
        <v>39</v>
      </c>
      <c r="J900">
        <v>4</v>
      </c>
      <c r="K900" t="s">
        <v>18</v>
      </c>
      <c r="L900" t="s">
        <v>291</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995</v>
      </c>
      <c r="B901" t="s">
        <v>45</v>
      </c>
      <c r="C901">
        <v>9</v>
      </c>
      <c r="D901">
        <v>70</v>
      </c>
      <c r="E901">
        <v>630</v>
      </c>
      <c r="F901" s="1">
        <v>45694</v>
      </c>
      <c r="G901" s="1">
        <v>45695</v>
      </c>
      <c r="I901" t="s">
        <v>34</v>
      </c>
      <c r="J901">
        <v>4</v>
      </c>
      <c r="K901" t="s">
        <v>18</v>
      </c>
      <c r="L901" t="s">
        <v>996</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997</v>
      </c>
      <c r="B902" t="s">
        <v>16</v>
      </c>
      <c r="C902">
        <v>2</v>
      </c>
      <c r="D902">
        <v>20.5</v>
      </c>
      <c r="E902">
        <v>41</v>
      </c>
      <c r="F902" s="1">
        <v>45694</v>
      </c>
      <c r="G902" s="1">
        <v>45696</v>
      </c>
      <c r="H902" t="s">
        <v>26</v>
      </c>
      <c r="I902" t="s">
        <v>39</v>
      </c>
      <c r="J902">
        <v>2</v>
      </c>
      <c r="K902" t="s">
        <v>18</v>
      </c>
      <c r="L902" t="s">
        <v>81</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998</v>
      </c>
      <c r="B903" t="s">
        <v>16</v>
      </c>
      <c r="C903">
        <v>4</v>
      </c>
      <c r="D903">
        <v>29.1</v>
      </c>
      <c r="E903">
        <v>116.4</v>
      </c>
      <c r="F903" s="1">
        <v>45694</v>
      </c>
      <c r="G903" s="1">
        <v>45695</v>
      </c>
      <c r="H903" t="s">
        <v>26</v>
      </c>
      <c r="I903" t="s">
        <v>50</v>
      </c>
      <c r="J903">
        <v>4</v>
      </c>
      <c r="K903" t="s">
        <v>18</v>
      </c>
      <c r="L903" t="s">
        <v>242</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999</v>
      </c>
      <c r="B904" t="s">
        <v>38</v>
      </c>
      <c r="C904">
        <v>9</v>
      </c>
      <c r="D904">
        <v>53.6</v>
      </c>
      <c r="E904">
        <v>482.40000000000003</v>
      </c>
      <c r="F904" s="1">
        <v>45694</v>
      </c>
      <c r="G904" s="1">
        <v>45695</v>
      </c>
      <c r="H904" t="s">
        <v>22</v>
      </c>
      <c r="I904" t="s">
        <v>39</v>
      </c>
      <c r="J904">
        <v>3</v>
      </c>
      <c r="K904" t="s">
        <v>18</v>
      </c>
      <c r="L904" t="s">
        <v>32</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1000</v>
      </c>
      <c r="B905" t="s">
        <v>38</v>
      </c>
      <c r="C905">
        <v>5</v>
      </c>
      <c r="D905">
        <v>72.3</v>
      </c>
      <c r="E905">
        <v>361.5</v>
      </c>
      <c r="F905" s="1">
        <v>45694</v>
      </c>
      <c r="G905" s="1">
        <v>45696</v>
      </c>
      <c r="H905" t="s">
        <v>26</v>
      </c>
      <c r="I905" t="s">
        <v>34</v>
      </c>
      <c r="J905">
        <v>4</v>
      </c>
      <c r="K905" t="s">
        <v>18</v>
      </c>
      <c r="L905" t="s">
        <v>32</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1001</v>
      </c>
      <c r="B906" t="s">
        <v>75</v>
      </c>
      <c r="C906">
        <v>4</v>
      </c>
      <c r="D906">
        <v>22.6</v>
      </c>
      <c r="E906">
        <v>90.4</v>
      </c>
      <c r="F906" s="1">
        <v>45694</v>
      </c>
      <c r="G906" s="1">
        <v>45697</v>
      </c>
      <c r="H906" t="s">
        <v>88</v>
      </c>
      <c r="I906" t="s">
        <v>17</v>
      </c>
      <c r="J906">
        <v>3</v>
      </c>
      <c r="K906" t="s">
        <v>18</v>
      </c>
      <c r="L906" t="s">
        <v>32</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1002</v>
      </c>
      <c r="B907" t="s">
        <v>45</v>
      </c>
      <c r="C907">
        <v>2</v>
      </c>
      <c r="D907">
        <v>44.2</v>
      </c>
      <c r="E907">
        <v>88.4</v>
      </c>
      <c r="F907" s="1">
        <v>45694</v>
      </c>
      <c r="G907" s="1">
        <v>45698</v>
      </c>
      <c r="I907" t="s">
        <v>39</v>
      </c>
      <c r="J907">
        <v>2</v>
      </c>
      <c r="K907" t="s">
        <v>18</v>
      </c>
      <c r="L907" t="s">
        <v>32</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1003</v>
      </c>
      <c r="B908" t="s">
        <v>45</v>
      </c>
      <c r="C908">
        <v>3</v>
      </c>
      <c r="D908">
        <v>94.1</v>
      </c>
      <c r="E908">
        <v>282.29999999999995</v>
      </c>
      <c r="F908" s="1">
        <v>45694</v>
      </c>
      <c r="G908" s="1">
        <v>45707</v>
      </c>
      <c r="H908" t="s">
        <v>26</v>
      </c>
      <c r="I908" t="s">
        <v>39</v>
      </c>
      <c r="J908">
        <v>5</v>
      </c>
      <c r="K908" t="s">
        <v>18</v>
      </c>
      <c r="L908" t="s">
        <v>32</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1004</v>
      </c>
      <c r="B909" t="s">
        <v>43</v>
      </c>
      <c r="C909">
        <v>3</v>
      </c>
      <c r="D909">
        <v>17.899999999999999</v>
      </c>
      <c r="E909">
        <v>53.699999999999996</v>
      </c>
      <c r="F909" s="1">
        <v>45694</v>
      </c>
      <c r="G909" s="1">
        <v>45696</v>
      </c>
      <c r="H909" t="s">
        <v>22</v>
      </c>
      <c r="I909" t="s">
        <v>34</v>
      </c>
      <c r="J909">
        <v>3</v>
      </c>
      <c r="K909" t="s">
        <v>18</v>
      </c>
      <c r="L909" t="s">
        <v>32</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1005</v>
      </c>
      <c r="B910" t="s">
        <v>68</v>
      </c>
      <c r="C910">
        <v>7</v>
      </c>
      <c r="D910">
        <v>52.7</v>
      </c>
      <c r="E910">
        <v>368.90000000000003</v>
      </c>
      <c r="F910" s="1">
        <v>45694</v>
      </c>
      <c r="G910" s="1">
        <v>45695</v>
      </c>
      <c r="H910" t="s">
        <v>22</v>
      </c>
      <c r="I910" t="s">
        <v>34</v>
      </c>
      <c r="J910">
        <v>3</v>
      </c>
      <c r="K910" t="s">
        <v>18</v>
      </c>
      <c r="L910" t="s">
        <v>32</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1006</v>
      </c>
      <c r="B911" t="s">
        <v>43</v>
      </c>
      <c r="C911">
        <v>1</v>
      </c>
      <c r="D911">
        <v>36.799999999999997</v>
      </c>
      <c r="E911">
        <v>36.799999999999997</v>
      </c>
      <c r="F911" s="1">
        <v>45694</v>
      </c>
      <c r="G911" s="1">
        <v>45694</v>
      </c>
      <c r="I911" t="s">
        <v>17</v>
      </c>
      <c r="J911">
        <v>5</v>
      </c>
      <c r="K911" t="s">
        <v>18</v>
      </c>
      <c r="L911" t="s">
        <v>32</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1007</v>
      </c>
      <c r="B912" t="s">
        <v>31</v>
      </c>
      <c r="C912">
        <v>1</v>
      </c>
      <c r="D912">
        <v>52.5</v>
      </c>
      <c r="E912">
        <v>52.5</v>
      </c>
      <c r="F912" s="1">
        <v>45694</v>
      </c>
      <c r="G912" s="1">
        <v>45695</v>
      </c>
      <c r="H912" t="s">
        <v>22</v>
      </c>
      <c r="I912" t="s">
        <v>17</v>
      </c>
      <c r="J912">
        <v>3</v>
      </c>
      <c r="K912" t="s">
        <v>18</v>
      </c>
      <c r="L912" t="s">
        <v>54</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1008</v>
      </c>
      <c r="B913" t="s">
        <v>25</v>
      </c>
      <c r="C913">
        <v>2</v>
      </c>
      <c r="D913">
        <v>133.80000000000001</v>
      </c>
      <c r="E913">
        <v>267.60000000000002</v>
      </c>
      <c r="F913" s="1">
        <v>45694</v>
      </c>
      <c r="G913" s="1">
        <v>45696</v>
      </c>
      <c r="H913" t="s">
        <v>22</v>
      </c>
      <c r="I913" t="s">
        <v>17</v>
      </c>
      <c r="J913">
        <v>3</v>
      </c>
      <c r="K913" t="s">
        <v>18</v>
      </c>
      <c r="L913" t="s">
        <v>58</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1009</v>
      </c>
      <c r="B914" t="s">
        <v>38</v>
      </c>
      <c r="C914">
        <v>2</v>
      </c>
      <c r="D914">
        <v>53.2</v>
      </c>
      <c r="E914">
        <v>106.4</v>
      </c>
      <c r="F914" s="1">
        <v>45694</v>
      </c>
      <c r="G914" s="1">
        <v>45696</v>
      </c>
      <c r="H914" t="s">
        <v>22</v>
      </c>
      <c r="I914" t="s">
        <v>17</v>
      </c>
      <c r="J914">
        <v>4</v>
      </c>
      <c r="K914" t="s">
        <v>18</v>
      </c>
      <c r="L914" t="s">
        <v>102</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1010</v>
      </c>
      <c r="B915" t="s">
        <v>80</v>
      </c>
      <c r="C915">
        <v>6</v>
      </c>
      <c r="D915">
        <v>18.7</v>
      </c>
      <c r="E915">
        <v>112.19999999999999</v>
      </c>
      <c r="F915" s="1">
        <v>45694</v>
      </c>
      <c r="G915" s="1">
        <v>45696</v>
      </c>
      <c r="I915" t="s">
        <v>17</v>
      </c>
      <c r="J915">
        <v>3</v>
      </c>
      <c r="K915" t="s">
        <v>18</v>
      </c>
      <c r="L915" t="s">
        <v>73</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1011</v>
      </c>
      <c r="B916" t="s">
        <v>38</v>
      </c>
      <c r="C916">
        <v>4</v>
      </c>
      <c r="D916">
        <v>108.8</v>
      </c>
      <c r="E916">
        <v>435.2</v>
      </c>
      <c r="F916" s="1">
        <v>45694</v>
      </c>
      <c r="G916" s="1">
        <v>45695</v>
      </c>
      <c r="H916" t="s">
        <v>26</v>
      </c>
      <c r="I916" t="s">
        <v>50</v>
      </c>
      <c r="J916">
        <v>5</v>
      </c>
      <c r="K916" t="s">
        <v>18</v>
      </c>
      <c r="L916" t="s">
        <v>76</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1012</v>
      </c>
      <c r="B917" t="s">
        <v>122</v>
      </c>
      <c r="C917">
        <v>5</v>
      </c>
      <c r="D917">
        <v>38.5</v>
      </c>
      <c r="E917">
        <v>192.5</v>
      </c>
      <c r="F917" s="1">
        <v>45694</v>
      </c>
      <c r="G917" s="1">
        <v>45698</v>
      </c>
      <c r="H917" t="s">
        <v>26</v>
      </c>
      <c r="I917" t="s">
        <v>17</v>
      </c>
      <c r="J917">
        <v>3</v>
      </c>
      <c r="K917" t="s">
        <v>18</v>
      </c>
      <c r="L917" t="s">
        <v>83</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1013</v>
      </c>
      <c r="B918" t="s">
        <v>53</v>
      </c>
      <c r="C918">
        <v>10</v>
      </c>
      <c r="D918">
        <v>46.5</v>
      </c>
      <c r="E918">
        <v>465</v>
      </c>
      <c r="F918" s="1">
        <v>45694</v>
      </c>
      <c r="G918" s="1">
        <v>45696</v>
      </c>
      <c r="H918" t="s">
        <v>22</v>
      </c>
      <c r="I918" t="s">
        <v>39</v>
      </c>
      <c r="J918">
        <v>3</v>
      </c>
      <c r="K918" t="s">
        <v>18</v>
      </c>
      <c r="L918" t="s">
        <v>27</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1014</v>
      </c>
      <c r="B919" t="s">
        <v>25</v>
      </c>
      <c r="C919">
        <v>3</v>
      </c>
      <c r="D919">
        <v>75.8</v>
      </c>
      <c r="E919">
        <v>227.39999999999998</v>
      </c>
      <c r="F919" s="1">
        <v>45694</v>
      </c>
      <c r="G919" s="1">
        <v>45698</v>
      </c>
      <c r="H919" t="s">
        <v>26</v>
      </c>
      <c r="I919" t="s">
        <v>34</v>
      </c>
      <c r="J919">
        <v>2</v>
      </c>
      <c r="K919" t="s">
        <v>18</v>
      </c>
      <c r="L919" t="s">
        <v>586</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1015</v>
      </c>
      <c r="B920" t="s">
        <v>43</v>
      </c>
      <c r="C920">
        <v>1</v>
      </c>
      <c r="D920">
        <v>20.9</v>
      </c>
      <c r="E920">
        <v>20.9</v>
      </c>
      <c r="F920" s="1">
        <v>45694</v>
      </c>
      <c r="G920" s="1">
        <v>45698</v>
      </c>
      <c r="H920" t="s">
        <v>22</v>
      </c>
      <c r="I920" t="s">
        <v>17</v>
      </c>
      <c r="J920">
        <v>4</v>
      </c>
      <c r="K920" t="s">
        <v>18</v>
      </c>
      <c r="L920" t="s">
        <v>146</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1016</v>
      </c>
      <c r="B921" t="s">
        <v>145</v>
      </c>
      <c r="C921">
        <v>3</v>
      </c>
      <c r="D921">
        <v>47.4</v>
      </c>
      <c r="E921">
        <v>142.19999999999999</v>
      </c>
      <c r="F921" s="1">
        <v>45694</v>
      </c>
      <c r="G921" s="1">
        <v>45697</v>
      </c>
      <c r="H921" t="s">
        <v>26</v>
      </c>
      <c r="I921" t="s">
        <v>17</v>
      </c>
      <c r="J921">
        <v>4</v>
      </c>
      <c r="K921" t="s">
        <v>18</v>
      </c>
      <c r="L921" t="s">
        <v>32</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1017</v>
      </c>
      <c r="B922" t="s">
        <v>45</v>
      </c>
      <c r="C922">
        <v>2</v>
      </c>
      <c r="D922">
        <v>53.8</v>
      </c>
      <c r="E922">
        <v>107.6</v>
      </c>
      <c r="F922" s="1">
        <v>45694</v>
      </c>
      <c r="G922" s="1">
        <v>45695</v>
      </c>
      <c r="I922" t="s">
        <v>17</v>
      </c>
      <c r="J922">
        <v>3</v>
      </c>
      <c r="K922" t="s">
        <v>18</v>
      </c>
      <c r="L922" t="s">
        <v>32</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1018</v>
      </c>
      <c r="B923" t="s">
        <v>43</v>
      </c>
      <c r="C923">
        <v>3</v>
      </c>
      <c r="D923">
        <v>24.6</v>
      </c>
      <c r="E923">
        <v>73.800000000000011</v>
      </c>
      <c r="F923" s="1">
        <v>45694</v>
      </c>
      <c r="G923" s="1">
        <v>45696</v>
      </c>
      <c r="H923" t="s">
        <v>88</v>
      </c>
      <c r="I923" t="s">
        <v>34</v>
      </c>
      <c r="J923">
        <v>5</v>
      </c>
      <c r="K923" t="s">
        <v>18</v>
      </c>
      <c r="L923" t="s">
        <v>32</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1019</v>
      </c>
      <c r="B924" t="s">
        <v>45</v>
      </c>
      <c r="C924">
        <v>3</v>
      </c>
      <c r="D924">
        <v>70.900000000000006</v>
      </c>
      <c r="E924">
        <v>212.70000000000002</v>
      </c>
      <c r="F924" s="1">
        <v>45694</v>
      </c>
      <c r="G924" s="1">
        <v>45699</v>
      </c>
      <c r="H924" t="s">
        <v>26</v>
      </c>
      <c r="I924" t="s">
        <v>39</v>
      </c>
      <c r="J924">
        <v>5</v>
      </c>
      <c r="K924" t="s">
        <v>18</v>
      </c>
      <c r="L924" t="s">
        <v>32</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1020</v>
      </c>
      <c r="B925" t="s">
        <v>134</v>
      </c>
      <c r="C925">
        <v>3</v>
      </c>
      <c r="D925">
        <v>31.9</v>
      </c>
      <c r="E925">
        <v>95.699999999999989</v>
      </c>
      <c r="F925" s="1">
        <v>45694</v>
      </c>
      <c r="G925" s="1">
        <v>45696</v>
      </c>
      <c r="H925" t="s">
        <v>26</v>
      </c>
      <c r="I925" t="s">
        <v>39</v>
      </c>
      <c r="J925">
        <v>5</v>
      </c>
      <c r="K925" t="s">
        <v>18</v>
      </c>
      <c r="L925" t="s">
        <v>32</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1021</v>
      </c>
      <c r="B926" t="s">
        <v>16</v>
      </c>
      <c r="C926">
        <v>2</v>
      </c>
      <c r="D926">
        <v>20.399999999999999</v>
      </c>
      <c r="E926">
        <v>40.799999999999997</v>
      </c>
      <c r="F926" s="1">
        <v>45694</v>
      </c>
      <c r="G926" s="1">
        <v>45698</v>
      </c>
      <c r="H926" t="s">
        <v>22</v>
      </c>
      <c r="I926" t="s">
        <v>50</v>
      </c>
      <c r="J926">
        <v>5</v>
      </c>
      <c r="K926" t="s">
        <v>18</v>
      </c>
      <c r="L926" t="s">
        <v>32</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1022</v>
      </c>
      <c r="B927" t="s">
        <v>43</v>
      </c>
      <c r="C927">
        <v>2</v>
      </c>
      <c r="D927">
        <v>18.600000000000001</v>
      </c>
      <c r="E927">
        <v>37.200000000000003</v>
      </c>
      <c r="F927" s="1">
        <v>45694</v>
      </c>
      <c r="G927" s="1">
        <v>45696</v>
      </c>
      <c r="I927" t="s">
        <v>17</v>
      </c>
      <c r="J927">
        <v>3</v>
      </c>
      <c r="K927" t="s">
        <v>18</v>
      </c>
      <c r="L927" t="s">
        <v>32</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1023</v>
      </c>
      <c r="B928" t="s">
        <v>31</v>
      </c>
      <c r="C928">
        <v>5</v>
      </c>
      <c r="D928">
        <v>48.3</v>
      </c>
      <c r="E928">
        <v>241.5</v>
      </c>
      <c r="F928" s="1">
        <v>45694</v>
      </c>
      <c r="G928" s="1">
        <v>45696</v>
      </c>
      <c r="H928" t="s">
        <v>26</v>
      </c>
      <c r="I928" t="s">
        <v>34</v>
      </c>
      <c r="J928">
        <v>4</v>
      </c>
      <c r="K928" t="s">
        <v>18</v>
      </c>
      <c r="L928" t="s">
        <v>32</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1024</v>
      </c>
      <c r="B929" t="s">
        <v>16</v>
      </c>
      <c r="C929">
        <v>4</v>
      </c>
      <c r="D929">
        <v>27.7</v>
      </c>
      <c r="E929">
        <v>110.8</v>
      </c>
      <c r="F929" s="1">
        <v>45694</v>
      </c>
      <c r="G929" s="1">
        <v>45696</v>
      </c>
      <c r="H929" t="s">
        <v>26</v>
      </c>
      <c r="I929" t="s">
        <v>17</v>
      </c>
      <c r="J929">
        <v>4</v>
      </c>
      <c r="K929" t="s">
        <v>18</v>
      </c>
      <c r="L929" t="s">
        <v>32</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1025</v>
      </c>
      <c r="B930" t="s">
        <v>31</v>
      </c>
      <c r="C930">
        <v>5</v>
      </c>
      <c r="D930">
        <v>22.5</v>
      </c>
      <c r="E930">
        <v>112.5</v>
      </c>
      <c r="F930" s="1">
        <v>45694</v>
      </c>
      <c r="G930" s="1">
        <v>45696</v>
      </c>
      <c r="H930" t="s">
        <v>26</v>
      </c>
      <c r="I930" t="s">
        <v>69</v>
      </c>
      <c r="J930">
        <v>5</v>
      </c>
      <c r="K930" t="s">
        <v>18</v>
      </c>
      <c r="L930" t="s">
        <v>32</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1026</v>
      </c>
      <c r="B931" t="s">
        <v>134</v>
      </c>
      <c r="C931">
        <v>5</v>
      </c>
      <c r="D931">
        <v>21.6</v>
      </c>
      <c r="E931">
        <v>108</v>
      </c>
      <c r="F931" s="1">
        <v>45694</v>
      </c>
      <c r="G931" s="1">
        <v>45702</v>
      </c>
      <c r="H931" t="s">
        <v>26</v>
      </c>
      <c r="I931" t="s">
        <v>17</v>
      </c>
      <c r="J931">
        <v>3</v>
      </c>
      <c r="K931" t="s">
        <v>18</v>
      </c>
      <c r="L931" t="s">
        <v>32</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1027</v>
      </c>
      <c r="B932" t="s">
        <v>53</v>
      </c>
      <c r="C932">
        <v>7</v>
      </c>
      <c r="D932">
        <v>26.3</v>
      </c>
      <c r="E932">
        <v>184.1</v>
      </c>
      <c r="F932" s="1">
        <v>45694</v>
      </c>
      <c r="G932" s="1">
        <v>45694</v>
      </c>
      <c r="H932" t="s">
        <v>26</v>
      </c>
      <c r="I932" t="s">
        <v>39</v>
      </c>
      <c r="J932">
        <v>3</v>
      </c>
      <c r="K932" t="s">
        <v>18</v>
      </c>
      <c r="L932" t="s">
        <v>32</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1028</v>
      </c>
      <c r="B933" t="s">
        <v>38</v>
      </c>
      <c r="C933">
        <v>7</v>
      </c>
      <c r="D933">
        <v>103</v>
      </c>
      <c r="E933">
        <v>721</v>
      </c>
      <c r="F933" s="1">
        <v>45695</v>
      </c>
      <c r="G933" s="1">
        <v>45696</v>
      </c>
      <c r="H933" t="s">
        <v>22</v>
      </c>
      <c r="I933" t="s">
        <v>17</v>
      </c>
      <c r="J933">
        <v>5</v>
      </c>
      <c r="K933" t="s">
        <v>18</v>
      </c>
      <c r="L933" t="s">
        <v>54</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1029</v>
      </c>
      <c r="B934" t="s">
        <v>36</v>
      </c>
      <c r="C934">
        <v>15</v>
      </c>
      <c r="D934">
        <v>46.6</v>
      </c>
      <c r="E934">
        <v>699</v>
      </c>
      <c r="F934" s="1">
        <v>45695</v>
      </c>
      <c r="G934" s="1">
        <v>45696</v>
      </c>
      <c r="H934" t="s">
        <v>26</v>
      </c>
      <c r="I934" t="s">
        <v>17</v>
      </c>
      <c r="J934">
        <v>3</v>
      </c>
      <c r="K934" t="s">
        <v>18</v>
      </c>
      <c r="L934" t="s">
        <v>54</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1030</v>
      </c>
      <c r="B935" t="s">
        <v>16</v>
      </c>
      <c r="C935">
        <v>5</v>
      </c>
      <c r="D935">
        <v>32.200000000000003</v>
      </c>
      <c r="E935">
        <v>161</v>
      </c>
      <c r="F935" s="1">
        <v>45695</v>
      </c>
      <c r="G935" s="1">
        <v>45698</v>
      </c>
      <c r="H935" t="s">
        <v>26</v>
      </c>
      <c r="I935" t="s">
        <v>17</v>
      </c>
      <c r="J935">
        <v>5</v>
      </c>
      <c r="K935" t="s">
        <v>18</v>
      </c>
      <c r="L935" t="s">
        <v>341</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1031</v>
      </c>
      <c r="B936" t="s">
        <v>43</v>
      </c>
      <c r="C936">
        <v>3</v>
      </c>
      <c r="D936">
        <v>22</v>
      </c>
      <c r="E936">
        <v>66</v>
      </c>
      <c r="F936" s="1">
        <v>45695</v>
      </c>
      <c r="G936" s="1">
        <v>45702</v>
      </c>
      <c r="H936" t="s">
        <v>22</v>
      </c>
      <c r="I936" t="s">
        <v>34</v>
      </c>
      <c r="J936">
        <v>4</v>
      </c>
      <c r="K936" t="s">
        <v>18</v>
      </c>
      <c r="L936" t="s">
        <v>58</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1032</v>
      </c>
      <c r="B937" t="s">
        <v>16</v>
      </c>
      <c r="C937">
        <v>2</v>
      </c>
      <c r="D937">
        <v>25.2</v>
      </c>
      <c r="E937">
        <v>50.4</v>
      </c>
      <c r="F937" s="1">
        <v>45695</v>
      </c>
      <c r="G937" s="1">
        <v>45699</v>
      </c>
      <c r="H937" t="s">
        <v>26</v>
      </c>
      <c r="I937" t="s">
        <v>17</v>
      </c>
      <c r="J937">
        <v>4</v>
      </c>
      <c r="K937" t="s">
        <v>18</v>
      </c>
      <c r="L937" t="s">
        <v>58</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1033</v>
      </c>
      <c r="B938" t="s">
        <v>21</v>
      </c>
      <c r="C938">
        <v>6</v>
      </c>
      <c r="D938">
        <v>68.7</v>
      </c>
      <c r="E938">
        <v>412.20000000000005</v>
      </c>
      <c r="F938" s="1">
        <v>45695</v>
      </c>
      <c r="G938" s="1">
        <v>45697</v>
      </c>
      <c r="H938" t="s">
        <v>22</v>
      </c>
      <c r="I938" t="s">
        <v>69</v>
      </c>
      <c r="J938">
        <v>4</v>
      </c>
      <c r="K938" t="s">
        <v>18</v>
      </c>
      <c r="L938" t="s">
        <v>61</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1034</v>
      </c>
      <c r="B939" t="s">
        <v>16</v>
      </c>
      <c r="C939">
        <v>3</v>
      </c>
      <c r="D939">
        <v>22.2</v>
      </c>
      <c r="E939">
        <v>66.599999999999994</v>
      </c>
      <c r="F939" s="1">
        <v>45695</v>
      </c>
      <c r="G939" s="1">
        <v>45698</v>
      </c>
      <c r="H939" t="s">
        <v>22</v>
      </c>
      <c r="I939" t="s">
        <v>39</v>
      </c>
      <c r="J939">
        <v>5</v>
      </c>
      <c r="K939" t="s">
        <v>18</v>
      </c>
      <c r="L939" t="s">
        <v>61</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1035</v>
      </c>
      <c r="B940" t="s">
        <v>21</v>
      </c>
      <c r="C940">
        <v>7</v>
      </c>
      <c r="D940">
        <v>36</v>
      </c>
      <c r="E940">
        <v>252</v>
      </c>
      <c r="F940" s="1">
        <v>45695</v>
      </c>
      <c r="G940" s="1">
        <v>45696</v>
      </c>
      <c r="H940" t="s">
        <v>26</v>
      </c>
      <c r="I940" t="s">
        <v>34</v>
      </c>
      <c r="J940">
        <v>4</v>
      </c>
      <c r="K940" t="s">
        <v>18</v>
      </c>
      <c r="L940" t="s">
        <v>61</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1036</v>
      </c>
      <c r="B941" t="s">
        <v>145</v>
      </c>
      <c r="C941">
        <v>1</v>
      </c>
      <c r="D941">
        <v>50.6</v>
      </c>
      <c r="E941">
        <v>50.6</v>
      </c>
      <c r="F941" s="1">
        <v>45695</v>
      </c>
      <c r="G941" s="1">
        <v>45697</v>
      </c>
      <c r="H941" t="s">
        <v>26</v>
      </c>
      <c r="I941" t="s">
        <v>17</v>
      </c>
      <c r="J941">
        <v>3</v>
      </c>
      <c r="K941" t="s">
        <v>18</v>
      </c>
      <c r="L941" t="s">
        <v>61</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1037</v>
      </c>
      <c r="B942" t="s">
        <v>122</v>
      </c>
      <c r="C942">
        <v>2</v>
      </c>
      <c r="D942">
        <v>44.9</v>
      </c>
      <c r="E942">
        <v>89.8</v>
      </c>
      <c r="F942" s="1">
        <v>45695</v>
      </c>
      <c r="G942" s="1">
        <v>45697</v>
      </c>
      <c r="H942" t="s">
        <v>22</v>
      </c>
      <c r="I942" t="s">
        <v>17</v>
      </c>
      <c r="J942">
        <v>3</v>
      </c>
      <c r="K942" t="s">
        <v>18</v>
      </c>
      <c r="L942" t="s">
        <v>61</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1038</v>
      </c>
      <c r="B943" t="s">
        <v>38</v>
      </c>
      <c r="C943">
        <v>3</v>
      </c>
      <c r="D943">
        <v>71.599999999999994</v>
      </c>
      <c r="E943">
        <v>214.79999999999998</v>
      </c>
      <c r="F943" s="1">
        <v>45695</v>
      </c>
      <c r="G943" s="1">
        <v>45699</v>
      </c>
      <c r="H943" t="s">
        <v>22</v>
      </c>
      <c r="I943" t="s">
        <v>34</v>
      </c>
      <c r="J943">
        <v>5</v>
      </c>
      <c r="K943" t="s">
        <v>18</v>
      </c>
      <c r="L943" t="s">
        <v>73</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1039</v>
      </c>
      <c r="B944" t="s">
        <v>38</v>
      </c>
      <c r="C944">
        <v>6</v>
      </c>
      <c r="D944">
        <v>51.5</v>
      </c>
      <c r="E944">
        <v>309</v>
      </c>
      <c r="F944" s="1">
        <v>45695</v>
      </c>
      <c r="G944" s="1">
        <v>45697</v>
      </c>
      <c r="I944" t="s">
        <v>69</v>
      </c>
      <c r="J944">
        <v>4</v>
      </c>
      <c r="K944" t="s">
        <v>18</v>
      </c>
      <c r="L944" t="s">
        <v>76</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1040</v>
      </c>
      <c r="B945" t="s">
        <v>41</v>
      </c>
      <c r="C945">
        <v>5</v>
      </c>
      <c r="D945">
        <v>55.5</v>
      </c>
      <c r="E945">
        <v>277.5</v>
      </c>
      <c r="F945" s="1">
        <v>45695</v>
      </c>
      <c r="G945" s="1">
        <v>45696</v>
      </c>
      <c r="H945" t="s">
        <v>22</v>
      </c>
      <c r="I945" t="s">
        <v>34</v>
      </c>
      <c r="J945">
        <v>3</v>
      </c>
      <c r="K945" t="s">
        <v>18</v>
      </c>
      <c r="L945" t="s">
        <v>76</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1041</v>
      </c>
      <c r="B946" t="s">
        <v>38</v>
      </c>
      <c r="C946">
        <v>1</v>
      </c>
      <c r="D946">
        <v>51.7</v>
      </c>
      <c r="E946">
        <v>51.7</v>
      </c>
      <c r="F946" s="1">
        <v>45695</v>
      </c>
      <c r="G946" s="1">
        <v>45709</v>
      </c>
      <c r="H946" t="s">
        <v>22</v>
      </c>
      <c r="I946" t="s">
        <v>39</v>
      </c>
      <c r="J946">
        <v>4</v>
      </c>
      <c r="K946" t="s">
        <v>18</v>
      </c>
      <c r="L946" t="s">
        <v>109</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1042</v>
      </c>
      <c r="B947" t="s">
        <v>43</v>
      </c>
      <c r="C947">
        <v>21</v>
      </c>
      <c r="D947">
        <v>45.5</v>
      </c>
      <c r="E947">
        <v>955.5</v>
      </c>
      <c r="F947" s="1">
        <v>45695</v>
      </c>
      <c r="G947" s="1">
        <v>45696</v>
      </c>
      <c r="H947" t="s">
        <v>26</v>
      </c>
      <c r="I947" t="s">
        <v>50</v>
      </c>
      <c r="J947">
        <v>5</v>
      </c>
      <c r="K947" t="s">
        <v>18</v>
      </c>
      <c r="L947" t="s">
        <v>109</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1043</v>
      </c>
      <c r="B948" t="s">
        <v>43</v>
      </c>
      <c r="C948">
        <v>2</v>
      </c>
      <c r="D948">
        <v>33.799999999999997</v>
      </c>
      <c r="E948">
        <v>67.599999999999994</v>
      </c>
      <c r="F948" s="1">
        <v>45695</v>
      </c>
      <c r="G948" s="1">
        <v>45701</v>
      </c>
      <c r="H948" t="s">
        <v>26</v>
      </c>
      <c r="I948" t="s">
        <v>50</v>
      </c>
      <c r="J948">
        <v>4</v>
      </c>
      <c r="K948" t="s">
        <v>18</v>
      </c>
      <c r="L948" t="s">
        <v>112</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1044</v>
      </c>
      <c r="B949" t="s">
        <v>29</v>
      </c>
      <c r="C949">
        <v>3</v>
      </c>
      <c r="D949">
        <v>76.5</v>
      </c>
      <c r="E949">
        <v>229.5</v>
      </c>
      <c r="F949" s="1">
        <v>45695</v>
      </c>
      <c r="G949" s="1">
        <v>45696</v>
      </c>
      <c r="H949" t="s">
        <v>26</v>
      </c>
      <c r="I949" t="s">
        <v>17</v>
      </c>
      <c r="J949">
        <v>3</v>
      </c>
      <c r="K949" t="s">
        <v>18</v>
      </c>
      <c r="L949" t="s">
        <v>114</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1045</v>
      </c>
      <c r="B950" t="s">
        <v>45</v>
      </c>
      <c r="C950">
        <v>3</v>
      </c>
      <c r="D950">
        <v>42.6</v>
      </c>
      <c r="E950">
        <v>127.80000000000001</v>
      </c>
      <c r="F950" s="1">
        <v>45695</v>
      </c>
      <c r="G950" s="1">
        <v>45701</v>
      </c>
      <c r="H950" t="s">
        <v>26</v>
      </c>
      <c r="I950" t="s">
        <v>39</v>
      </c>
      <c r="J950">
        <v>5</v>
      </c>
      <c r="K950" t="s">
        <v>18</v>
      </c>
      <c r="L950" t="s">
        <v>27</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1046</v>
      </c>
      <c r="B951" t="s">
        <v>38</v>
      </c>
      <c r="C951">
        <v>3</v>
      </c>
      <c r="D951">
        <v>44.1</v>
      </c>
      <c r="E951">
        <v>132.30000000000001</v>
      </c>
      <c r="F951" s="1">
        <v>45695</v>
      </c>
      <c r="G951" s="1">
        <v>45697</v>
      </c>
      <c r="H951" t="s">
        <v>26</v>
      </c>
      <c r="I951" t="s">
        <v>34</v>
      </c>
      <c r="J951">
        <v>3</v>
      </c>
      <c r="K951" t="s">
        <v>18</v>
      </c>
      <c r="L951" t="s">
        <v>146</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1047</v>
      </c>
      <c r="B952" t="s">
        <v>43</v>
      </c>
      <c r="C952">
        <v>2</v>
      </c>
      <c r="D952">
        <v>40.9</v>
      </c>
      <c r="E952">
        <v>81.8</v>
      </c>
      <c r="F952" s="1">
        <v>45695</v>
      </c>
      <c r="G952" s="1">
        <v>45699</v>
      </c>
      <c r="H952" t="s">
        <v>22</v>
      </c>
      <c r="I952" t="s">
        <v>17</v>
      </c>
      <c r="J952">
        <v>4</v>
      </c>
      <c r="K952" t="s">
        <v>18</v>
      </c>
      <c r="L952" t="s">
        <v>32</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1048</v>
      </c>
      <c r="B953" t="s">
        <v>45</v>
      </c>
      <c r="C953">
        <v>3</v>
      </c>
      <c r="D953">
        <v>49.1</v>
      </c>
      <c r="E953">
        <v>147.30000000000001</v>
      </c>
      <c r="F953" s="1">
        <v>45695</v>
      </c>
      <c r="G953" s="1">
        <v>45699</v>
      </c>
      <c r="H953" t="s">
        <v>26</v>
      </c>
      <c r="I953" t="s">
        <v>50</v>
      </c>
      <c r="J953">
        <v>3</v>
      </c>
      <c r="K953" t="s">
        <v>18</v>
      </c>
      <c r="L953" t="s">
        <v>32</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1049</v>
      </c>
      <c r="B954" t="s">
        <v>145</v>
      </c>
      <c r="C954">
        <v>1</v>
      </c>
      <c r="D954">
        <v>85.3</v>
      </c>
      <c r="E954">
        <v>85.3</v>
      </c>
      <c r="F954" s="1">
        <v>45695</v>
      </c>
      <c r="G954" s="1">
        <v>45699</v>
      </c>
      <c r="H954" t="s">
        <v>22</v>
      </c>
      <c r="I954" t="s">
        <v>34</v>
      </c>
      <c r="J954">
        <v>3</v>
      </c>
      <c r="K954" t="s">
        <v>18</v>
      </c>
      <c r="L954" t="s">
        <v>32</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1050</v>
      </c>
      <c r="B955" t="s">
        <v>38</v>
      </c>
      <c r="C955">
        <v>4</v>
      </c>
      <c r="D955">
        <v>43.1</v>
      </c>
      <c r="E955">
        <v>172.4</v>
      </c>
      <c r="F955" s="1">
        <v>45696</v>
      </c>
      <c r="G955" s="1">
        <v>45699</v>
      </c>
      <c r="H955" t="s">
        <v>22</v>
      </c>
      <c r="I955" t="s">
        <v>17</v>
      </c>
      <c r="J955">
        <v>4</v>
      </c>
      <c r="K955" t="s">
        <v>18</v>
      </c>
      <c r="L955" t="s">
        <v>32</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1051</v>
      </c>
      <c r="B956" t="s">
        <v>31</v>
      </c>
      <c r="C956">
        <v>4</v>
      </c>
      <c r="D956">
        <v>46.2</v>
      </c>
      <c r="E956">
        <v>184.8</v>
      </c>
      <c r="F956" s="1">
        <v>45696</v>
      </c>
      <c r="G956" s="1">
        <v>45697</v>
      </c>
      <c r="H956" t="s">
        <v>22</v>
      </c>
      <c r="I956" t="s">
        <v>39</v>
      </c>
      <c r="J956">
        <v>4</v>
      </c>
      <c r="K956" t="s">
        <v>18</v>
      </c>
      <c r="L956" t="s">
        <v>32</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1052</v>
      </c>
      <c r="B957" t="s">
        <v>21</v>
      </c>
      <c r="C957">
        <v>1</v>
      </c>
      <c r="D957">
        <v>74.400000000000006</v>
      </c>
      <c r="E957">
        <v>74.400000000000006</v>
      </c>
      <c r="F957" s="1">
        <v>45696</v>
      </c>
      <c r="G957" s="1">
        <v>45698</v>
      </c>
      <c r="H957" t="s">
        <v>22</v>
      </c>
      <c r="I957" t="s">
        <v>69</v>
      </c>
      <c r="J957">
        <v>5</v>
      </c>
      <c r="K957" t="s">
        <v>18</v>
      </c>
      <c r="L957" t="s">
        <v>32</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1053</v>
      </c>
      <c r="B958" t="s">
        <v>134</v>
      </c>
      <c r="C958">
        <v>2</v>
      </c>
      <c r="D958">
        <v>51.2</v>
      </c>
      <c r="E958">
        <v>102.4</v>
      </c>
      <c r="F958" s="1">
        <v>45696</v>
      </c>
      <c r="G958" s="1">
        <v>45697</v>
      </c>
      <c r="H958" t="s">
        <v>22</v>
      </c>
      <c r="I958" t="s">
        <v>34</v>
      </c>
      <c r="J958">
        <v>4</v>
      </c>
      <c r="K958" t="s">
        <v>18</v>
      </c>
      <c r="L958" t="s">
        <v>32</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1054</v>
      </c>
      <c r="B959" t="s">
        <v>80</v>
      </c>
      <c r="C959">
        <v>4</v>
      </c>
      <c r="D959">
        <v>11.8</v>
      </c>
      <c r="E959">
        <v>47.2</v>
      </c>
      <c r="F959" s="1">
        <v>45696</v>
      </c>
      <c r="G959" s="1">
        <v>45696</v>
      </c>
      <c r="H959" t="s">
        <v>22</v>
      </c>
      <c r="I959" t="s">
        <v>39</v>
      </c>
      <c r="J959">
        <v>4</v>
      </c>
      <c r="K959" t="s">
        <v>18</v>
      </c>
      <c r="L959" t="s">
        <v>32</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1055</v>
      </c>
      <c r="B960" t="s">
        <v>53</v>
      </c>
      <c r="C960">
        <v>27</v>
      </c>
      <c r="D960">
        <v>40.799999999999997</v>
      </c>
      <c r="E960">
        <v>1101.5999999999999</v>
      </c>
      <c r="F960" s="1">
        <v>45696</v>
      </c>
      <c r="G960" s="1">
        <v>45697</v>
      </c>
      <c r="H960" t="s">
        <v>26</v>
      </c>
      <c r="I960" t="s">
        <v>50</v>
      </c>
      <c r="J960">
        <v>5</v>
      </c>
      <c r="K960" t="s">
        <v>18</v>
      </c>
      <c r="L960" t="s">
        <v>32</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1056</v>
      </c>
      <c r="B961" t="s">
        <v>43</v>
      </c>
      <c r="C961">
        <v>1</v>
      </c>
      <c r="D961">
        <v>24.7</v>
      </c>
      <c r="E961">
        <v>24.7</v>
      </c>
      <c r="F961" s="1">
        <v>45696</v>
      </c>
      <c r="G961" s="1">
        <v>45698</v>
      </c>
      <c r="H961" t="s">
        <v>26</v>
      </c>
      <c r="I961" t="s">
        <v>39</v>
      </c>
      <c r="J961">
        <v>3</v>
      </c>
      <c r="K961" t="s">
        <v>18</v>
      </c>
      <c r="L961" t="s">
        <v>32</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1057</v>
      </c>
      <c r="B962" t="s">
        <v>43</v>
      </c>
      <c r="C962">
        <v>7</v>
      </c>
      <c r="D962">
        <v>22.1</v>
      </c>
      <c r="E962">
        <v>154.70000000000002</v>
      </c>
      <c r="F962" s="1">
        <v>45696</v>
      </c>
      <c r="G962" s="1">
        <v>45696</v>
      </c>
      <c r="H962" t="s">
        <v>26</v>
      </c>
      <c r="I962" t="s">
        <v>39</v>
      </c>
      <c r="J962">
        <v>2</v>
      </c>
      <c r="K962" t="s">
        <v>18</v>
      </c>
      <c r="L962" t="s">
        <v>32</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1058</v>
      </c>
      <c r="B963" t="s">
        <v>43</v>
      </c>
      <c r="C963">
        <v>1</v>
      </c>
      <c r="D963">
        <v>18.100000000000001</v>
      </c>
      <c r="E963">
        <v>18.100000000000001</v>
      </c>
      <c r="F963" s="1">
        <v>45696</v>
      </c>
      <c r="G963" s="1">
        <v>45700</v>
      </c>
      <c r="H963" t="s">
        <v>22</v>
      </c>
      <c r="I963" t="s">
        <v>50</v>
      </c>
      <c r="J963">
        <v>5</v>
      </c>
      <c r="K963" t="s">
        <v>18</v>
      </c>
      <c r="L963" t="s">
        <v>32</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1059</v>
      </c>
      <c r="B964" t="s">
        <v>134</v>
      </c>
      <c r="C964">
        <v>2</v>
      </c>
      <c r="D964">
        <v>58.8</v>
      </c>
      <c r="E964">
        <v>117.6</v>
      </c>
      <c r="F964" s="1">
        <v>45696</v>
      </c>
      <c r="G964" s="1">
        <v>45699</v>
      </c>
      <c r="H964" t="s">
        <v>26</v>
      </c>
      <c r="I964" t="s">
        <v>17</v>
      </c>
      <c r="J964">
        <v>4</v>
      </c>
      <c r="K964" t="s">
        <v>18</v>
      </c>
      <c r="L964" t="s">
        <v>187</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1060</v>
      </c>
      <c r="B965" t="s">
        <v>145</v>
      </c>
      <c r="C965">
        <v>2</v>
      </c>
      <c r="D965">
        <v>30.8</v>
      </c>
      <c r="E965">
        <v>61.6</v>
      </c>
      <c r="F965" s="1">
        <v>45696</v>
      </c>
      <c r="G965" s="1">
        <v>45697</v>
      </c>
      <c r="H965" t="s">
        <v>26</v>
      </c>
      <c r="I965" t="s">
        <v>17</v>
      </c>
      <c r="J965">
        <v>4</v>
      </c>
      <c r="K965" t="s">
        <v>18</v>
      </c>
      <c r="L965" t="s">
        <v>54</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1061</v>
      </c>
      <c r="B966" t="s">
        <v>16</v>
      </c>
      <c r="C966">
        <v>2</v>
      </c>
      <c r="D966">
        <v>12</v>
      </c>
      <c r="E966">
        <v>24</v>
      </c>
      <c r="F966" s="1">
        <v>45696</v>
      </c>
      <c r="G966" s="1">
        <v>45700</v>
      </c>
      <c r="H966" t="s">
        <v>26</v>
      </c>
      <c r="I966" t="s">
        <v>17</v>
      </c>
      <c r="J966">
        <v>4</v>
      </c>
      <c r="K966" t="s">
        <v>18</v>
      </c>
      <c r="L966" t="s">
        <v>54</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1062</v>
      </c>
      <c r="B967" t="s">
        <v>16</v>
      </c>
      <c r="C967">
        <v>4</v>
      </c>
      <c r="D967">
        <v>13.6</v>
      </c>
      <c r="E967">
        <v>54.4</v>
      </c>
      <c r="F967" s="1">
        <v>45696</v>
      </c>
      <c r="G967" s="1">
        <v>45699</v>
      </c>
      <c r="H967" t="s">
        <v>22</v>
      </c>
      <c r="I967" t="s">
        <v>39</v>
      </c>
      <c r="J967">
        <v>4</v>
      </c>
      <c r="K967" t="s">
        <v>18</v>
      </c>
      <c r="L967" t="s">
        <v>54</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1063</v>
      </c>
      <c r="B968" t="s">
        <v>16</v>
      </c>
      <c r="C968">
        <v>1</v>
      </c>
      <c r="D968">
        <v>17.899999999999999</v>
      </c>
      <c r="E968">
        <v>17.899999999999999</v>
      </c>
      <c r="F968" s="1">
        <v>45696</v>
      </c>
      <c r="G968" s="1">
        <v>45697</v>
      </c>
      <c r="H968" t="s">
        <v>22</v>
      </c>
      <c r="I968" t="s">
        <v>50</v>
      </c>
      <c r="J968">
        <v>4</v>
      </c>
      <c r="K968" t="s">
        <v>18</v>
      </c>
      <c r="L968" t="s">
        <v>54</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1064</v>
      </c>
      <c r="B969" t="s">
        <v>45</v>
      </c>
      <c r="C969">
        <v>2</v>
      </c>
      <c r="D969">
        <v>38.6</v>
      </c>
      <c r="E969">
        <v>77.2</v>
      </c>
      <c r="F969" s="1">
        <v>45696</v>
      </c>
      <c r="G969" s="1">
        <v>45700</v>
      </c>
      <c r="H969" t="s">
        <v>26</v>
      </c>
      <c r="I969" t="s">
        <v>69</v>
      </c>
      <c r="J969">
        <v>4</v>
      </c>
      <c r="K969" t="s">
        <v>18</v>
      </c>
      <c r="L969" t="s">
        <v>58</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1065</v>
      </c>
      <c r="B970" t="s">
        <v>36</v>
      </c>
      <c r="C970">
        <v>5</v>
      </c>
      <c r="D970">
        <v>32.700000000000003</v>
      </c>
      <c r="E970">
        <v>163.5</v>
      </c>
      <c r="F970" s="1">
        <v>45696</v>
      </c>
      <c r="G970" s="1">
        <v>45697</v>
      </c>
      <c r="H970" t="s">
        <v>22</v>
      </c>
      <c r="I970" t="s">
        <v>39</v>
      </c>
      <c r="J970">
        <v>5</v>
      </c>
      <c r="K970" t="s">
        <v>18</v>
      </c>
      <c r="L970" t="s">
        <v>61</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1066</v>
      </c>
      <c r="B971" t="s">
        <v>29</v>
      </c>
      <c r="C971">
        <v>2</v>
      </c>
      <c r="D971">
        <v>111.4</v>
      </c>
      <c r="E971">
        <v>222.8</v>
      </c>
      <c r="F971" s="1">
        <v>45696</v>
      </c>
      <c r="G971" s="1">
        <v>45697</v>
      </c>
      <c r="H971" t="s">
        <v>26</v>
      </c>
      <c r="I971" t="s">
        <v>34</v>
      </c>
      <c r="J971">
        <v>4</v>
      </c>
      <c r="K971" t="s">
        <v>18</v>
      </c>
      <c r="L971" t="s">
        <v>61</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1067</v>
      </c>
      <c r="B972" t="s">
        <v>25</v>
      </c>
      <c r="C972">
        <v>6</v>
      </c>
      <c r="D972">
        <v>80.3</v>
      </c>
      <c r="E972">
        <v>481.79999999999995</v>
      </c>
      <c r="F972" s="1">
        <v>45696</v>
      </c>
      <c r="G972" s="1">
        <v>45698</v>
      </c>
      <c r="H972" t="s">
        <v>26</v>
      </c>
      <c r="I972" t="s">
        <v>34</v>
      </c>
      <c r="J972">
        <v>4</v>
      </c>
      <c r="K972" t="s">
        <v>18</v>
      </c>
      <c r="L972" t="s">
        <v>61</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1068</v>
      </c>
      <c r="B973" t="s">
        <v>38</v>
      </c>
      <c r="C973">
        <v>2</v>
      </c>
      <c r="D973">
        <v>58.9</v>
      </c>
      <c r="E973">
        <v>117.8</v>
      </c>
      <c r="F973" s="1">
        <v>45696</v>
      </c>
      <c r="G973" s="1">
        <v>45697</v>
      </c>
      <c r="H973" t="s">
        <v>22</v>
      </c>
      <c r="I973" t="s">
        <v>34</v>
      </c>
      <c r="J973">
        <v>4</v>
      </c>
      <c r="K973" t="s">
        <v>18</v>
      </c>
      <c r="L973" t="s">
        <v>61</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1069</v>
      </c>
      <c r="B974" t="s">
        <v>38</v>
      </c>
      <c r="C974">
        <v>3</v>
      </c>
      <c r="D974">
        <v>51.9</v>
      </c>
      <c r="E974">
        <v>155.69999999999999</v>
      </c>
      <c r="F974" s="1">
        <v>45696</v>
      </c>
      <c r="G974" s="1">
        <v>45698</v>
      </c>
      <c r="H974" t="s">
        <v>26</v>
      </c>
      <c r="I974" t="s">
        <v>34</v>
      </c>
      <c r="J974">
        <v>2</v>
      </c>
      <c r="K974" t="s">
        <v>18</v>
      </c>
      <c r="L974" t="s">
        <v>61</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1070</v>
      </c>
      <c r="B975" t="s">
        <v>25</v>
      </c>
      <c r="C975">
        <v>3</v>
      </c>
      <c r="D975">
        <v>50.3</v>
      </c>
      <c r="E975">
        <v>150.89999999999998</v>
      </c>
      <c r="F975" s="1">
        <v>45696</v>
      </c>
      <c r="G975" s="1">
        <v>45697</v>
      </c>
      <c r="H975" t="s">
        <v>22</v>
      </c>
      <c r="I975" t="s">
        <v>39</v>
      </c>
      <c r="J975">
        <v>4</v>
      </c>
      <c r="K975" t="s">
        <v>18</v>
      </c>
      <c r="L975" t="s">
        <v>102</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1071</v>
      </c>
      <c r="B976" t="s">
        <v>66</v>
      </c>
      <c r="C976">
        <v>6</v>
      </c>
      <c r="D976">
        <v>45</v>
      </c>
      <c r="E976">
        <v>270</v>
      </c>
      <c r="F976" s="1">
        <v>45696</v>
      </c>
      <c r="G976" s="1">
        <v>45702</v>
      </c>
      <c r="H976" t="s">
        <v>26</v>
      </c>
      <c r="I976" t="s">
        <v>50</v>
      </c>
      <c r="J976">
        <v>4</v>
      </c>
      <c r="K976" t="s">
        <v>18</v>
      </c>
      <c r="L976" t="s">
        <v>71</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1072</v>
      </c>
      <c r="B977" t="s">
        <v>53</v>
      </c>
      <c r="C977">
        <v>6</v>
      </c>
      <c r="D977">
        <v>44.7</v>
      </c>
      <c r="E977">
        <v>268.20000000000005</v>
      </c>
      <c r="F977" s="1">
        <v>45696</v>
      </c>
      <c r="G977" s="1">
        <v>45698</v>
      </c>
      <c r="H977" t="s">
        <v>26</v>
      </c>
      <c r="I977" t="s">
        <v>39</v>
      </c>
      <c r="J977">
        <v>4</v>
      </c>
      <c r="K977" t="s">
        <v>18</v>
      </c>
      <c r="L977" t="s">
        <v>76</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1073</v>
      </c>
      <c r="B978" t="s">
        <v>145</v>
      </c>
      <c r="C978">
        <v>15</v>
      </c>
      <c r="D978">
        <v>33</v>
      </c>
      <c r="E978">
        <v>495</v>
      </c>
      <c r="F978" s="1">
        <v>45696</v>
      </c>
      <c r="G978" s="1">
        <v>45697</v>
      </c>
      <c r="H978" t="s">
        <v>26</v>
      </c>
      <c r="I978" t="s">
        <v>39</v>
      </c>
      <c r="J978">
        <v>4</v>
      </c>
      <c r="K978" t="s">
        <v>18</v>
      </c>
      <c r="L978" t="s">
        <v>76</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1074</v>
      </c>
      <c r="B979" t="s">
        <v>21</v>
      </c>
      <c r="C979">
        <v>5</v>
      </c>
      <c r="D979">
        <v>44.9</v>
      </c>
      <c r="E979">
        <v>224.5</v>
      </c>
      <c r="F979" s="1">
        <v>45696</v>
      </c>
      <c r="G979" s="1">
        <v>45699</v>
      </c>
      <c r="H979" t="s">
        <v>26</v>
      </c>
      <c r="I979" t="s">
        <v>39</v>
      </c>
      <c r="J979">
        <v>5</v>
      </c>
      <c r="K979" t="s">
        <v>18</v>
      </c>
      <c r="L979" t="s">
        <v>107</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1075</v>
      </c>
      <c r="B980" t="s">
        <v>53</v>
      </c>
      <c r="C980">
        <v>2</v>
      </c>
      <c r="D980">
        <v>34.6</v>
      </c>
      <c r="E980">
        <v>69.2</v>
      </c>
      <c r="F980" s="1">
        <v>45696</v>
      </c>
      <c r="G980" s="1">
        <v>45700</v>
      </c>
      <c r="H980" t="s">
        <v>26</v>
      </c>
      <c r="I980" t="s">
        <v>17</v>
      </c>
      <c r="J980">
        <v>3</v>
      </c>
      <c r="K980" t="s">
        <v>18</v>
      </c>
      <c r="L980" t="s">
        <v>109</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1076</v>
      </c>
      <c r="B981" t="s">
        <v>41</v>
      </c>
      <c r="C981">
        <v>7</v>
      </c>
      <c r="D981">
        <v>47.1</v>
      </c>
      <c r="E981">
        <v>329.7</v>
      </c>
      <c r="F981" s="1">
        <v>45696</v>
      </c>
      <c r="G981" s="1">
        <v>45701</v>
      </c>
      <c r="H981" t="s">
        <v>26</v>
      </c>
      <c r="I981" t="s">
        <v>17</v>
      </c>
      <c r="J981">
        <v>4</v>
      </c>
      <c r="K981" t="s">
        <v>18</v>
      </c>
      <c r="L981" t="s">
        <v>81</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1077</v>
      </c>
      <c r="B982" t="s">
        <v>31</v>
      </c>
      <c r="C982">
        <v>5</v>
      </c>
      <c r="D982">
        <v>26.1</v>
      </c>
      <c r="E982">
        <v>130.5</v>
      </c>
      <c r="F982" s="1">
        <v>45696</v>
      </c>
      <c r="G982" s="1">
        <v>45701</v>
      </c>
      <c r="H982" t="s">
        <v>22</v>
      </c>
      <c r="I982" t="s">
        <v>17</v>
      </c>
      <c r="J982">
        <v>5</v>
      </c>
      <c r="K982" t="s">
        <v>18</v>
      </c>
      <c r="L982" t="s">
        <v>114</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1078</v>
      </c>
      <c r="B983" t="s">
        <v>68</v>
      </c>
      <c r="C983">
        <v>5</v>
      </c>
      <c r="D983">
        <v>66.8</v>
      </c>
      <c r="E983">
        <v>334</v>
      </c>
      <c r="F983" s="1">
        <v>45696</v>
      </c>
      <c r="G983" s="1">
        <v>45699</v>
      </c>
      <c r="H983" t="s">
        <v>26</v>
      </c>
      <c r="I983" t="s">
        <v>17</v>
      </c>
      <c r="J983">
        <v>4</v>
      </c>
      <c r="K983" t="s">
        <v>18</v>
      </c>
      <c r="L983" t="s">
        <v>114</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1079</v>
      </c>
      <c r="B984" t="s">
        <v>25</v>
      </c>
      <c r="C984">
        <v>2</v>
      </c>
      <c r="D984">
        <v>167.9</v>
      </c>
      <c r="E984">
        <v>335.8</v>
      </c>
      <c r="F984" s="1">
        <v>45696</v>
      </c>
      <c r="G984" s="1">
        <v>45697</v>
      </c>
      <c r="H984" t="s">
        <v>26</v>
      </c>
      <c r="I984" t="s">
        <v>50</v>
      </c>
      <c r="J984">
        <v>5</v>
      </c>
      <c r="K984" t="s">
        <v>18</v>
      </c>
      <c r="L984" t="s">
        <v>114</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1080</v>
      </c>
      <c r="B985" t="s">
        <v>53</v>
      </c>
      <c r="C985">
        <v>9</v>
      </c>
      <c r="D985">
        <v>34.6</v>
      </c>
      <c r="E985">
        <v>311.40000000000003</v>
      </c>
      <c r="F985" s="1">
        <v>45696</v>
      </c>
      <c r="G985" s="1">
        <v>45697</v>
      </c>
      <c r="H985" t="s">
        <v>26</v>
      </c>
      <c r="I985" t="s">
        <v>39</v>
      </c>
      <c r="J985">
        <v>3</v>
      </c>
      <c r="K985" t="s">
        <v>18</v>
      </c>
      <c r="L985" t="s">
        <v>114</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1081</v>
      </c>
      <c r="B986" t="s">
        <v>43</v>
      </c>
      <c r="C986">
        <v>3</v>
      </c>
      <c r="D986">
        <v>35.1</v>
      </c>
      <c r="E986">
        <v>105.30000000000001</v>
      </c>
      <c r="F986" s="1">
        <v>45697</v>
      </c>
      <c r="G986" s="1">
        <v>45701</v>
      </c>
      <c r="H986" t="s">
        <v>22</v>
      </c>
      <c r="I986" t="s">
        <v>69</v>
      </c>
      <c r="J986">
        <v>5</v>
      </c>
      <c r="K986" t="s">
        <v>18</v>
      </c>
      <c r="L986" t="s">
        <v>23</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1082</v>
      </c>
      <c r="B987" t="s">
        <v>38</v>
      </c>
      <c r="C987">
        <v>4</v>
      </c>
      <c r="D987">
        <v>104.5</v>
      </c>
      <c r="E987">
        <v>418</v>
      </c>
      <c r="F987" s="1">
        <v>45697</v>
      </c>
      <c r="G987" s="1">
        <v>45698</v>
      </c>
      <c r="H987" t="s">
        <v>22</v>
      </c>
      <c r="I987" t="s">
        <v>34</v>
      </c>
      <c r="J987">
        <v>3</v>
      </c>
      <c r="K987" t="s">
        <v>18</v>
      </c>
      <c r="L987" t="s">
        <v>23</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1083</v>
      </c>
      <c r="B988" t="s">
        <v>43</v>
      </c>
      <c r="C988">
        <v>1</v>
      </c>
      <c r="D988">
        <v>37.9</v>
      </c>
      <c r="E988">
        <v>37.9</v>
      </c>
      <c r="F988" s="1">
        <v>45697</v>
      </c>
      <c r="G988" s="1">
        <v>45699</v>
      </c>
      <c r="I988" t="s">
        <v>34</v>
      </c>
      <c r="J988">
        <v>5</v>
      </c>
      <c r="K988" t="s">
        <v>18</v>
      </c>
      <c r="L988" t="s">
        <v>27</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1084</v>
      </c>
      <c r="B989" t="s">
        <v>31</v>
      </c>
      <c r="C989">
        <v>3</v>
      </c>
      <c r="D989">
        <v>25.5</v>
      </c>
      <c r="E989">
        <v>76.5</v>
      </c>
      <c r="F989" s="1">
        <v>45697</v>
      </c>
      <c r="G989" s="1">
        <v>45700</v>
      </c>
      <c r="H989" t="s">
        <v>22</v>
      </c>
      <c r="I989" t="s">
        <v>50</v>
      </c>
      <c r="J989">
        <v>4</v>
      </c>
      <c r="K989" t="s">
        <v>18</v>
      </c>
      <c r="L989" t="s">
        <v>27</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1085</v>
      </c>
      <c r="B990" t="s">
        <v>16</v>
      </c>
      <c r="C990">
        <v>3</v>
      </c>
      <c r="D990">
        <v>32</v>
      </c>
      <c r="E990">
        <v>96</v>
      </c>
      <c r="F990" s="1">
        <v>45697</v>
      </c>
      <c r="G990" s="1">
        <v>45701</v>
      </c>
      <c r="H990" t="s">
        <v>26</v>
      </c>
      <c r="I990" t="s">
        <v>34</v>
      </c>
      <c r="J990">
        <v>4</v>
      </c>
      <c r="K990" t="s">
        <v>18</v>
      </c>
      <c r="L990" t="s">
        <v>146</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1086</v>
      </c>
      <c r="B991" t="s">
        <v>21</v>
      </c>
      <c r="C991">
        <v>1</v>
      </c>
      <c r="D991">
        <v>47.1</v>
      </c>
      <c r="E991">
        <v>47.1</v>
      </c>
      <c r="F991" s="1">
        <v>45697</v>
      </c>
      <c r="G991" s="1">
        <v>45698</v>
      </c>
      <c r="H991" t="s">
        <v>26</v>
      </c>
      <c r="I991" t="s">
        <v>17</v>
      </c>
      <c r="J991">
        <v>4</v>
      </c>
      <c r="K991" t="s">
        <v>18</v>
      </c>
      <c r="L991" t="s">
        <v>333</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1087</v>
      </c>
      <c r="B992" t="s">
        <v>38</v>
      </c>
      <c r="C992">
        <v>2</v>
      </c>
      <c r="D992">
        <v>50.6</v>
      </c>
      <c r="E992">
        <v>101.2</v>
      </c>
      <c r="F992" s="1">
        <v>45697</v>
      </c>
      <c r="G992" s="1">
        <v>45703</v>
      </c>
      <c r="I992" t="s">
        <v>17</v>
      </c>
      <c r="J992">
        <v>4</v>
      </c>
      <c r="K992" t="s">
        <v>18</v>
      </c>
      <c r="L992" t="s">
        <v>32</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1088</v>
      </c>
      <c r="B993" t="s">
        <v>38</v>
      </c>
      <c r="C993">
        <v>5</v>
      </c>
      <c r="D993">
        <v>81.7</v>
      </c>
      <c r="E993">
        <v>408.5</v>
      </c>
      <c r="F993" s="1">
        <v>45697</v>
      </c>
      <c r="G993" s="1">
        <v>45698</v>
      </c>
      <c r="H993" t="s">
        <v>26</v>
      </c>
      <c r="I993" t="s">
        <v>34</v>
      </c>
      <c r="J993">
        <v>5</v>
      </c>
      <c r="K993" t="s">
        <v>18</v>
      </c>
      <c r="L993" t="s">
        <v>32</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1089</v>
      </c>
      <c r="B994" t="s">
        <v>36</v>
      </c>
      <c r="C994">
        <v>2</v>
      </c>
      <c r="D994">
        <v>50.7</v>
      </c>
      <c r="E994">
        <v>101.4</v>
      </c>
      <c r="F994" s="1">
        <v>45697</v>
      </c>
      <c r="G994" s="1">
        <v>45698</v>
      </c>
      <c r="H994" t="s">
        <v>88</v>
      </c>
      <c r="I994" t="s">
        <v>39</v>
      </c>
      <c r="J994">
        <v>5</v>
      </c>
      <c r="K994" t="s">
        <v>18</v>
      </c>
      <c r="L994" t="s">
        <v>32</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1090</v>
      </c>
      <c r="B995" t="s">
        <v>25</v>
      </c>
      <c r="C995">
        <v>19</v>
      </c>
      <c r="D995">
        <v>67.3</v>
      </c>
      <c r="E995">
        <v>1278.7</v>
      </c>
      <c r="F995" s="1">
        <v>45697</v>
      </c>
      <c r="G995" s="1">
        <v>45701</v>
      </c>
      <c r="H995" t="s">
        <v>26</v>
      </c>
      <c r="I995" t="s">
        <v>39</v>
      </c>
      <c r="J995">
        <v>4</v>
      </c>
      <c r="K995" t="s">
        <v>18</v>
      </c>
      <c r="L995" t="s">
        <v>32</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1091</v>
      </c>
      <c r="B996" t="s">
        <v>25</v>
      </c>
      <c r="C996">
        <v>4</v>
      </c>
      <c r="D996">
        <v>64.8</v>
      </c>
      <c r="E996">
        <v>259.2</v>
      </c>
      <c r="F996" s="1">
        <v>45697</v>
      </c>
      <c r="G996" s="1">
        <v>45700</v>
      </c>
      <c r="H996" t="s">
        <v>26</v>
      </c>
      <c r="I996" t="s">
        <v>50</v>
      </c>
      <c r="J996">
        <v>4</v>
      </c>
      <c r="K996" t="s">
        <v>18</v>
      </c>
      <c r="L996" t="s">
        <v>32</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1092</v>
      </c>
      <c r="B997" t="s">
        <v>36</v>
      </c>
      <c r="C997">
        <v>22</v>
      </c>
      <c r="D997">
        <v>61.3</v>
      </c>
      <c r="E997">
        <v>1348.6</v>
      </c>
      <c r="F997" s="1">
        <v>45697</v>
      </c>
      <c r="G997" s="1">
        <v>45698</v>
      </c>
      <c r="H997" t="s">
        <v>26</v>
      </c>
      <c r="I997" t="s">
        <v>17</v>
      </c>
      <c r="J997">
        <v>5</v>
      </c>
      <c r="K997" t="s">
        <v>18</v>
      </c>
      <c r="L997" t="s">
        <v>32</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1093</v>
      </c>
      <c r="B998" t="s">
        <v>80</v>
      </c>
      <c r="C998">
        <v>1</v>
      </c>
      <c r="D998">
        <v>32.9</v>
      </c>
      <c r="E998">
        <v>32.9</v>
      </c>
      <c r="F998" s="1">
        <v>45697</v>
      </c>
      <c r="G998" s="1">
        <v>45700</v>
      </c>
      <c r="H998" t="s">
        <v>26</v>
      </c>
      <c r="I998" t="s">
        <v>69</v>
      </c>
      <c r="J998">
        <v>4</v>
      </c>
      <c r="K998" t="s">
        <v>18</v>
      </c>
      <c r="L998" t="s">
        <v>32</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1094</v>
      </c>
      <c r="B999" t="s">
        <v>38</v>
      </c>
      <c r="C999">
        <v>2</v>
      </c>
      <c r="D999">
        <v>100.8</v>
      </c>
      <c r="E999">
        <v>201.6</v>
      </c>
      <c r="F999" s="1">
        <v>45697</v>
      </c>
      <c r="G999" s="1">
        <v>45700</v>
      </c>
      <c r="H999" t="s">
        <v>26</v>
      </c>
      <c r="I999" t="s">
        <v>17</v>
      </c>
      <c r="J999">
        <v>4</v>
      </c>
      <c r="K999" t="s">
        <v>18</v>
      </c>
      <c r="L999" t="s">
        <v>32</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1095</v>
      </c>
      <c r="B1000" t="s">
        <v>43</v>
      </c>
      <c r="C1000">
        <v>4</v>
      </c>
      <c r="D1000">
        <v>25.1</v>
      </c>
      <c r="E1000">
        <v>100.4</v>
      </c>
      <c r="F1000" s="1">
        <v>45697</v>
      </c>
      <c r="G1000" s="1">
        <v>45699</v>
      </c>
      <c r="H1000" t="s">
        <v>26</v>
      </c>
      <c r="I1000" t="s">
        <v>34</v>
      </c>
      <c r="J1000">
        <v>4</v>
      </c>
      <c r="K1000" t="s">
        <v>18</v>
      </c>
      <c r="L1000" t="s">
        <v>32</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1096</v>
      </c>
      <c r="B1001" t="s">
        <v>134</v>
      </c>
      <c r="C1001">
        <v>1</v>
      </c>
      <c r="D1001">
        <v>48.5</v>
      </c>
      <c r="E1001">
        <v>48.5</v>
      </c>
      <c r="F1001" s="1">
        <v>45697</v>
      </c>
      <c r="G1001" s="1">
        <v>45698</v>
      </c>
      <c r="H1001" t="s">
        <v>26</v>
      </c>
      <c r="I1001" t="s">
        <v>17</v>
      </c>
      <c r="J1001">
        <v>3</v>
      </c>
      <c r="K1001" t="s">
        <v>18</v>
      </c>
      <c r="L1001" t="s">
        <v>32</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1097</v>
      </c>
      <c r="B1002" t="s">
        <v>41</v>
      </c>
      <c r="C1002">
        <v>2</v>
      </c>
      <c r="D1002">
        <v>33.6</v>
      </c>
      <c r="E1002">
        <v>67.2</v>
      </c>
      <c r="F1002" s="1">
        <v>45697</v>
      </c>
      <c r="G1002" s="1">
        <v>45701</v>
      </c>
      <c r="H1002" t="s">
        <v>26</v>
      </c>
      <c r="I1002" t="s">
        <v>39</v>
      </c>
      <c r="J1002">
        <v>5</v>
      </c>
      <c r="K1002" t="s">
        <v>18</v>
      </c>
      <c r="L1002" t="s">
        <v>32</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1098</v>
      </c>
      <c r="B1003" t="s">
        <v>43</v>
      </c>
      <c r="C1003">
        <v>1</v>
      </c>
      <c r="D1003">
        <v>39.299999999999997</v>
      </c>
      <c r="E1003">
        <v>39.299999999999997</v>
      </c>
      <c r="F1003" s="1">
        <v>45697</v>
      </c>
      <c r="G1003" s="1">
        <v>45708</v>
      </c>
      <c r="H1003" t="s">
        <v>26</v>
      </c>
      <c r="I1003" t="s">
        <v>34</v>
      </c>
      <c r="J1003">
        <v>3</v>
      </c>
      <c r="K1003" t="s">
        <v>18</v>
      </c>
      <c r="L1003" t="s">
        <v>801</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1099</v>
      </c>
      <c r="B1004" t="s">
        <v>31</v>
      </c>
      <c r="C1004">
        <v>10</v>
      </c>
      <c r="D1004">
        <v>48.8</v>
      </c>
      <c r="E1004">
        <v>488</v>
      </c>
      <c r="F1004" s="1">
        <v>45697</v>
      </c>
      <c r="G1004" s="1">
        <v>45699</v>
      </c>
      <c r="H1004" t="s">
        <v>26</v>
      </c>
      <c r="I1004" t="s">
        <v>50</v>
      </c>
      <c r="J1004">
        <v>3</v>
      </c>
      <c r="K1004" t="s">
        <v>18</v>
      </c>
      <c r="L1004" t="s">
        <v>187</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1100</v>
      </c>
      <c r="B1005" t="s">
        <v>38</v>
      </c>
      <c r="C1005">
        <v>8</v>
      </c>
      <c r="D1005">
        <v>72.8</v>
      </c>
      <c r="E1005">
        <v>582.4</v>
      </c>
      <c r="F1005" s="1">
        <v>45697</v>
      </c>
      <c r="G1005" s="1">
        <v>45699</v>
      </c>
      <c r="H1005" t="s">
        <v>22</v>
      </c>
      <c r="I1005" t="s">
        <v>34</v>
      </c>
      <c r="J1005">
        <v>5</v>
      </c>
      <c r="K1005" t="s">
        <v>18</v>
      </c>
      <c r="L1005" t="s">
        <v>51</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1101</v>
      </c>
      <c r="B1006" t="s">
        <v>53</v>
      </c>
      <c r="C1006">
        <v>8</v>
      </c>
      <c r="D1006">
        <v>46.2</v>
      </c>
      <c r="E1006">
        <v>369.6</v>
      </c>
      <c r="F1006" s="1">
        <v>45697</v>
      </c>
      <c r="G1006" s="1">
        <v>45698</v>
      </c>
      <c r="H1006" t="s">
        <v>22</v>
      </c>
      <c r="I1006" t="s">
        <v>50</v>
      </c>
      <c r="J1006">
        <v>2</v>
      </c>
      <c r="K1006" t="s">
        <v>18</v>
      </c>
      <c r="L1006" t="s">
        <v>51</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1102</v>
      </c>
      <c r="B1007" t="s">
        <v>31</v>
      </c>
      <c r="C1007">
        <v>2</v>
      </c>
      <c r="D1007">
        <v>20.7</v>
      </c>
      <c r="E1007">
        <v>41.4</v>
      </c>
      <c r="F1007" s="1">
        <v>45697</v>
      </c>
      <c r="G1007" s="1">
        <v>45698</v>
      </c>
      <c r="H1007" t="s">
        <v>26</v>
      </c>
      <c r="I1007" t="s">
        <v>39</v>
      </c>
      <c r="J1007">
        <v>1</v>
      </c>
      <c r="K1007" t="s">
        <v>18</v>
      </c>
      <c r="L1007" t="s">
        <v>54</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1103</v>
      </c>
      <c r="B1008" t="s">
        <v>16</v>
      </c>
      <c r="C1008">
        <v>1</v>
      </c>
      <c r="D1008">
        <v>35.700000000000003</v>
      </c>
      <c r="E1008">
        <v>35.700000000000003</v>
      </c>
      <c r="F1008" s="1">
        <v>45697</v>
      </c>
      <c r="G1008" s="1">
        <v>45699</v>
      </c>
      <c r="H1008" t="s">
        <v>26</v>
      </c>
      <c r="I1008" t="s">
        <v>50</v>
      </c>
      <c r="J1008">
        <v>4</v>
      </c>
      <c r="K1008" t="s">
        <v>18</v>
      </c>
      <c r="L1008" t="s">
        <v>54</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1104</v>
      </c>
      <c r="B1009" t="s">
        <v>25</v>
      </c>
      <c r="C1009">
        <v>16</v>
      </c>
      <c r="D1009">
        <v>166.2</v>
      </c>
      <c r="E1009">
        <v>2659.2</v>
      </c>
      <c r="F1009" s="1">
        <v>45697</v>
      </c>
      <c r="G1009" s="1">
        <v>45699</v>
      </c>
      <c r="I1009" t="s">
        <v>39</v>
      </c>
      <c r="J1009">
        <v>4</v>
      </c>
      <c r="K1009" t="s">
        <v>18</v>
      </c>
      <c r="L1009" t="s">
        <v>58</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1105</v>
      </c>
      <c r="B1010" t="s">
        <v>38</v>
      </c>
      <c r="C1010">
        <v>4</v>
      </c>
      <c r="D1010">
        <v>85.8</v>
      </c>
      <c r="E1010">
        <v>343.2</v>
      </c>
      <c r="F1010" s="1">
        <v>45697</v>
      </c>
      <c r="G1010" s="1">
        <v>45698</v>
      </c>
      <c r="H1010" t="s">
        <v>26</v>
      </c>
      <c r="I1010" t="s">
        <v>34</v>
      </c>
      <c r="J1010">
        <v>3</v>
      </c>
      <c r="K1010" t="s">
        <v>18</v>
      </c>
      <c r="L1010" t="s">
        <v>58</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1106</v>
      </c>
      <c r="B1011" t="s">
        <v>43</v>
      </c>
      <c r="C1011">
        <v>3</v>
      </c>
      <c r="D1011">
        <v>26</v>
      </c>
      <c r="E1011">
        <v>78</v>
      </c>
      <c r="F1011" s="1">
        <v>45697</v>
      </c>
      <c r="G1011" s="1">
        <v>45699</v>
      </c>
      <c r="H1011" t="s">
        <v>88</v>
      </c>
      <c r="I1011" t="s">
        <v>34</v>
      </c>
      <c r="J1011">
        <v>4</v>
      </c>
      <c r="K1011" t="s">
        <v>18</v>
      </c>
      <c r="L1011" t="s">
        <v>58</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1107</v>
      </c>
      <c r="B1012" t="s">
        <v>25</v>
      </c>
      <c r="C1012">
        <v>13</v>
      </c>
      <c r="D1012">
        <v>116.6</v>
      </c>
      <c r="E1012">
        <v>1515.8</v>
      </c>
      <c r="F1012" s="1">
        <v>45697</v>
      </c>
      <c r="G1012" s="1">
        <v>45700</v>
      </c>
      <c r="H1012" t="s">
        <v>26</v>
      </c>
      <c r="I1012" t="s">
        <v>17</v>
      </c>
      <c r="J1012">
        <v>4</v>
      </c>
      <c r="K1012" t="s">
        <v>18</v>
      </c>
      <c r="L1012" t="s">
        <v>61</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1108</v>
      </c>
      <c r="B1013" t="s">
        <v>45</v>
      </c>
      <c r="C1013">
        <v>7</v>
      </c>
      <c r="D1013">
        <v>53.9</v>
      </c>
      <c r="E1013">
        <v>377.3</v>
      </c>
      <c r="F1013" s="1">
        <v>45697</v>
      </c>
      <c r="G1013" s="1">
        <v>45700</v>
      </c>
      <c r="H1013" t="s">
        <v>88</v>
      </c>
      <c r="I1013" t="s">
        <v>17</v>
      </c>
      <c r="J1013">
        <v>5</v>
      </c>
      <c r="K1013" t="s">
        <v>18</v>
      </c>
      <c r="L1013" t="s">
        <v>61</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1109</v>
      </c>
      <c r="B1014" t="s">
        <v>68</v>
      </c>
      <c r="C1014">
        <v>5</v>
      </c>
      <c r="D1014">
        <v>72.3</v>
      </c>
      <c r="E1014">
        <v>361.5</v>
      </c>
      <c r="F1014" s="1">
        <v>45697</v>
      </c>
      <c r="G1014" s="1">
        <v>45699</v>
      </c>
      <c r="I1014" t="s">
        <v>39</v>
      </c>
      <c r="J1014">
        <v>5</v>
      </c>
      <c r="K1014" t="s">
        <v>18</v>
      </c>
      <c r="L1014" t="s">
        <v>61</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1110</v>
      </c>
      <c r="B1015" t="s">
        <v>36</v>
      </c>
      <c r="C1015">
        <v>2</v>
      </c>
      <c r="D1015">
        <v>31.4</v>
      </c>
      <c r="E1015">
        <v>62.8</v>
      </c>
      <c r="F1015" s="1">
        <v>45697</v>
      </c>
      <c r="G1015" s="1">
        <v>45699</v>
      </c>
      <c r="H1015" t="s">
        <v>26</v>
      </c>
      <c r="I1015" t="s">
        <v>17</v>
      </c>
      <c r="J1015">
        <v>4</v>
      </c>
      <c r="K1015" t="s">
        <v>18</v>
      </c>
      <c r="L1015" t="s">
        <v>61</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1111</v>
      </c>
      <c r="B1016" t="s">
        <v>75</v>
      </c>
      <c r="C1016">
        <v>2</v>
      </c>
      <c r="D1016">
        <v>53.1</v>
      </c>
      <c r="E1016">
        <v>106.2</v>
      </c>
      <c r="F1016" s="1">
        <v>45697</v>
      </c>
      <c r="G1016" s="1">
        <v>45700</v>
      </c>
      <c r="H1016" t="s">
        <v>22</v>
      </c>
      <c r="I1016" t="s">
        <v>34</v>
      </c>
      <c r="J1016">
        <v>4</v>
      </c>
      <c r="K1016" t="s">
        <v>18</v>
      </c>
      <c r="L1016" t="s">
        <v>61</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1112</v>
      </c>
      <c r="B1017" t="s">
        <v>25</v>
      </c>
      <c r="C1017">
        <v>4</v>
      </c>
      <c r="D1017">
        <v>56.2</v>
      </c>
      <c r="E1017">
        <v>224.8</v>
      </c>
      <c r="F1017" s="1">
        <v>45697</v>
      </c>
      <c r="G1017" s="1">
        <v>45698</v>
      </c>
      <c r="H1017" t="s">
        <v>26</v>
      </c>
      <c r="I1017" t="s">
        <v>17</v>
      </c>
      <c r="J1017">
        <v>4</v>
      </c>
      <c r="K1017" t="s">
        <v>18</v>
      </c>
      <c r="L1017" t="s">
        <v>61</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1113</v>
      </c>
      <c r="B1018" t="s">
        <v>21</v>
      </c>
      <c r="C1018">
        <v>10</v>
      </c>
      <c r="D1018">
        <v>77.3</v>
      </c>
      <c r="E1018">
        <v>773</v>
      </c>
      <c r="F1018" s="1">
        <v>45697</v>
      </c>
      <c r="G1018" s="1">
        <v>45698</v>
      </c>
      <c r="H1018" t="s">
        <v>26</v>
      </c>
      <c r="I1018" t="s">
        <v>39</v>
      </c>
      <c r="J1018">
        <v>4</v>
      </c>
      <c r="K1018" t="s">
        <v>18</v>
      </c>
      <c r="L1018" t="s">
        <v>76</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1114</v>
      </c>
      <c r="B1019" t="s">
        <v>38</v>
      </c>
      <c r="C1019">
        <v>13</v>
      </c>
      <c r="D1019">
        <v>57.8</v>
      </c>
      <c r="E1019">
        <v>751.4</v>
      </c>
      <c r="F1019" s="1">
        <v>45697</v>
      </c>
      <c r="G1019" s="1">
        <v>45698</v>
      </c>
      <c r="I1019" t="s">
        <v>17</v>
      </c>
      <c r="J1019">
        <v>4</v>
      </c>
      <c r="K1019" t="s">
        <v>18</v>
      </c>
      <c r="L1019" t="s">
        <v>1115</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1116</v>
      </c>
      <c r="B1020" t="s">
        <v>68</v>
      </c>
      <c r="C1020">
        <v>15</v>
      </c>
      <c r="D1020">
        <v>42.1</v>
      </c>
      <c r="E1020">
        <v>631.5</v>
      </c>
      <c r="F1020" s="1">
        <v>45697</v>
      </c>
      <c r="G1020" s="1">
        <v>45699</v>
      </c>
      <c r="H1020" t="s">
        <v>26</v>
      </c>
      <c r="I1020" t="s">
        <v>34</v>
      </c>
      <c r="J1020">
        <v>3</v>
      </c>
      <c r="K1020" t="s">
        <v>18</v>
      </c>
      <c r="L1020" t="s">
        <v>1115</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1117</v>
      </c>
      <c r="B1021" t="s">
        <v>43</v>
      </c>
      <c r="C1021">
        <v>9</v>
      </c>
      <c r="D1021">
        <v>22.8</v>
      </c>
      <c r="E1021">
        <v>205.20000000000002</v>
      </c>
      <c r="F1021" s="1">
        <v>45697</v>
      </c>
      <c r="G1021" s="1">
        <v>45701</v>
      </c>
      <c r="H1021" t="s">
        <v>22</v>
      </c>
      <c r="I1021" t="s">
        <v>39</v>
      </c>
      <c r="J1021">
        <v>5</v>
      </c>
      <c r="K1021" t="s">
        <v>18</v>
      </c>
      <c r="L1021" t="s">
        <v>109</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1118</v>
      </c>
      <c r="B1022" t="s">
        <v>25</v>
      </c>
      <c r="C1022">
        <v>3</v>
      </c>
      <c r="D1022">
        <v>171.1</v>
      </c>
      <c r="E1022">
        <v>513.29999999999995</v>
      </c>
      <c r="F1022" s="1">
        <v>45698</v>
      </c>
      <c r="G1022" s="1">
        <v>45705</v>
      </c>
      <c r="H1022" t="s">
        <v>26</v>
      </c>
      <c r="I1022" t="s">
        <v>39</v>
      </c>
      <c r="J1022">
        <v>3</v>
      </c>
      <c r="K1022" t="s">
        <v>18</v>
      </c>
      <c r="L1022" t="s">
        <v>109</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1119</v>
      </c>
      <c r="B1023" t="s">
        <v>43</v>
      </c>
      <c r="C1023">
        <v>1</v>
      </c>
      <c r="D1023">
        <v>28</v>
      </c>
      <c r="E1023">
        <v>28</v>
      </c>
      <c r="F1023" s="1">
        <v>45698</v>
      </c>
      <c r="G1023" s="1">
        <v>45700</v>
      </c>
      <c r="H1023" t="s">
        <v>22</v>
      </c>
      <c r="I1023" t="s">
        <v>39</v>
      </c>
      <c r="J1023">
        <v>5</v>
      </c>
      <c r="K1023" t="s">
        <v>18</v>
      </c>
      <c r="L1023" t="s">
        <v>114</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1120</v>
      </c>
      <c r="B1024" t="s">
        <v>38</v>
      </c>
      <c r="C1024">
        <v>7</v>
      </c>
      <c r="D1024">
        <v>50.2</v>
      </c>
      <c r="E1024">
        <v>351.40000000000003</v>
      </c>
      <c r="F1024" s="1">
        <v>45698</v>
      </c>
      <c r="G1024" s="1">
        <v>45700</v>
      </c>
      <c r="H1024" t="s">
        <v>22</v>
      </c>
      <c r="I1024" t="s">
        <v>39</v>
      </c>
      <c r="J1024">
        <v>4</v>
      </c>
      <c r="K1024" t="s">
        <v>18</v>
      </c>
      <c r="L1024" t="s">
        <v>114</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1121</v>
      </c>
      <c r="B1025" t="s">
        <v>38</v>
      </c>
      <c r="C1025">
        <v>2</v>
      </c>
      <c r="D1025">
        <v>56</v>
      </c>
      <c r="E1025">
        <v>112</v>
      </c>
      <c r="F1025" s="1">
        <v>45698</v>
      </c>
      <c r="G1025" s="1">
        <v>45698</v>
      </c>
      <c r="H1025" t="s">
        <v>22</v>
      </c>
      <c r="I1025" t="s">
        <v>17</v>
      </c>
      <c r="J1025">
        <v>5</v>
      </c>
      <c r="K1025" t="s">
        <v>18</v>
      </c>
      <c r="L1025" t="s">
        <v>146</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1122</v>
      </c>
      <c r="B1026" t="s">
        <v>21</v>
      </c>
      <c r="C1026">
        <v>2</v>
      </c>
      <c r="D1026">
        <v>38.299999999999997</v>
      </c>
      <c r="E1026">
        <v>76.599999999999994</v>
      </c>
      <c r="F1026" s="1">
        <v>45698</v>
      </c>
      <c r="G1026" s="1">
        <v>45699</v>
      </c>
      <c r="H1026" t="s">
        <v>26</v>
      </c>
      <c r="I1026" t="s">
        <v>34</v>
      </c>
      <c r="J1026">
        <v>4</v>
      </c>
      <c r="K1026" t="s">
        <v>18</v>
      </c>
      <c r="L1026" t="s">
        <v>32</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1123</v>
      </c>
      <c r="B1027" t="s">
        <v>16</v>
      </c>
      <c r="C1027">
        <v>5</v>
      </c>
      <c r="D1027">
        <v>22.3</v>
      </c>
      <c r="E1027">
        <v>111.5</v>
      </c>
      <c r="F1027" s="1">
        <v>45698</v>
      </c>
      <c r="G1027" s="1">
        <v>45702</v>
      </c>
      <c r="H1027" t="s">
        <v>26</v>
      </c>
      <c r="I1027" t="s">
        <v>39</v>
      </c>
      <c r="J1027">
        <v>3</v>
      </c>
      <c r="K1027" t="s">
        <v>18</v>
      </c>
      <c r="L1027" t="s">
        <v>32</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1124</v>
      </c>
      <c r="B1028" t="s">
        <v>16</v>
      </c>
      <c r="C1028">
        <v>3</v>
      </c>
      <c r="D1028">
        <v>22.3</v>
      </c>
      <c r="E1028">
        <v>66.900000000000006</v>
      </c>
      <c r="F1028" s="1">
        <v>45698</v>
      </c>
      <c r="G1028" s="1">
        <v>45701</v>
      </c>
      <c r="H1028" t="s">
        <v>26</v>
      </c>
      <c r="I1028" t="s">
        <v>39</v>
      </c>
      <c r="J1028">
        <v>4</v>
      </c>
      <c r="K1028" t="s">
        <v>18</v>
      </c>
      <c r="L1028" t="s">
        <v>32</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1125</v>
      </c>
      <c r="B1029" t="s">
        <v>21</v>
      </c>
      <c r="C1029">
        <v>1</v>
      </c>
      <c r="D1029">
        <v>32.9</v>
      </c>
      <c r="E1029">
        <v>32.9</v>
      </c>
      <c r="F1029" s="1">
        <v>45698</v>
      </c>
      <c r="G1029" s="1">
        <v>45703</v>
      </c>
      <c r="H1029" t="s">
        <v>26</v>
      </c>
      <c r="I1029" t="s">
        <v>17</v>
      </c>
      <c r="J1029">
        <v>4</v>
      </c>
      <c r="K1029" t="s">
        <v>18</v>
      </c>
      <c r="L1029" t="s">
        <v>32</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1126</v>
      </c>
      <c r="B1030" t="s">
        <v>53</v>
      </c>
      <c r="C1030">
        <v>3</v>
      </c>
      <c r="D1030">
        <v>31.9</v>
      </c>
      <c r="E1030">
        <v>95.699999999999989</v>
      </c>
      <c r="F1030" s="1">
        <v>45698</v>
      </c>
      <c r="G1030" s="1">
        <v>45703</v>
      </c>
      <c r="H1030" t="s">
        <v>26</v>
      </c>
      <c r="I1030" t="s">
        <v>17</v>
      </c>
      <c r="J1030">
        <v>4</v>
      </c>
      <c r="K1030" t="s">
        <v>18</v>
      </c>
      <c r="L1030" t="s">
        <v>32</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1127</v>
      </c>
      <c r="B1031" t="s">
        <v>38</v>
      </c>
      <c r="C1031">
        <v>2</v>
      </c>
      <c r="D1031">
        <v>94</v>
      </c>
      <c r="E1031">
        <v>188</v>
      </c>
      <c r="F1031" s="1">
        <v>45698</v>
      </c>
      <c r="G1031" s="1">
        <v>45699</v>
      </c>
      <c r="H1031" t="s">
        <v>22</v>
      </c>
      <c r="I1031" t="s">
        <v>39</v>
      </c>
      <c r="J1031">
        <v>5</v>
      </c>
      <c r="K1031" t="s">
        <v>18</v>
      </c>
      <c r="L1031" t="s">
        <v>32</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1128</v>
      </c>
      <c r="B1032" t="s">
        <v>53</v>
      </c>
      <c r="C1032">
        <v>2</v>
      </c>
      <c r="D1032">
        <v>30.7</v>
      </c>
      <c r="E1032">
        <v>61.4</v>
      </c>
      <c r="F1032" s="1">
        <v>45698</v>
      </c>
      <c r="G1032" s="1">
        <v>45699</v>
      </c>
      <c r="H1032" t="s">
        <v>26</v>
      </c>
      <c r="I1032" t="s">
        <v>17</v>
      </c>
      <c r="J1032">
        <v>3</v>
      </c>
      <c r="K1032" t="s">
        <v>18</v>
      </c>
      <c r="L1032" t="s">
        <v>32</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1129</v>
      </c>
      <c r="B1033" t="s">
        <v>36</v>
      </c>
      <c r="C1033">
        <v>5</v>
      </c>
      <c r="D1033">
        <v>90.5</v>
      </c>
      <c r="E1033">
        <v>452.5</v>
      </c>
      <c r="F1033" s="1">
        <v>45698</v>
      </c>
      <c r="G1033" s="1">
        <v>45705</v>
      </c>
      <c r="H1033" t="s">
        <v>22</v>
      </c>
      <c r="I1033" t="s">
        <v>17</v>
      </c>
      <c r="J1033">
        <v>5</v>
      </c>
      <c r="K1033" t="s">
        <v>18</v>
      </c>
      <c r="L1033" t="s">
        <v>32</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1130</v>
      </c>
      <c r="B1034" t="s">
        <v>43</v>
      </c>
      <c r="C1034">
        <v>5</v>
      </c>
      <c r="D1034">
        <v>25.3</v>
      </c>
      <c r="E1034">
        <v>126.5</v>
      </c>
      <c r="F1034" s="1">
        <v>45698</v>
      </c>
      <c r="G1034" s="1">
        <v>45702</v>
      </c>
      <c r="H1034" t="s">
        <v>26</v>
      </c>
      <c r="I1034" t="s">
        <v>17</v>
      </c>
      <c r="J1034">
        <v>5</v>
      </c>
      <c r="K1034" t="s">
        <v>18</v>
      </c>
      <c r="L1034" t="s">
        <v>32</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1131</v>
      </c>
      <c r="B1035" t="s">
        <v>38</v>
      </c>
      <c r="C1035">
        <v>3</v>
      </c>
      <c r="D1035">
        <v>58.1</v>
      </c>
      <c r="E1035">
        <v>174.3</v>
      </c>
      <c r="F1035" s="1">
        <v>45698</v>
      </c>
      <c r="G1035" s="1">
        <v>45702</v>
      </c>
      <c r="I1035" t="s">
        <v>17</v>
      </c>
      <c r="J1035">
        <v>5</v>
      </c>
      <c r="K1035" t="s">
        <v>18</v>
      </c>
      <c r="L1035" t="s">
        <v>32</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1132</v>
      </c>
      <c r="B1036" t="s">
        <v>25</v>
      </c>
      <c r="C1036">
        <v>3</v>
      </c>
      <c r="D1036">
        <v>74.900000000000006</v>
      </c>
      <c r="E1036">
        <v>224.70000000000002</v>
      </c>
      <c r="F1036" s="1">
        <v>45698</v>
      </c>
      <c r="G1036" s="1">
        <v>45699</v>
      </c>
      <c r="H1036" t="s">
        <v>26</v>
      </c>
      <c r="I1036" t="s">
        <v>69</v>
      </c>
      <c r="J1036">
        <v>4</v>
      </c>
      <c r="K1036" t="s">
        <v>18</v>
      </c>
      <c r="L1036" t="s">
        <v>32</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1133</v>
      </c>
      <c r="B1037" t="s">
        <v>31</v>
      </c>
      <c r="C1037">
        <v>2</v>
      </c>
      <c r="D1037">
        <v>32.5</v>
      </c>
      <c r="E1037">
        <v>65</v>
      </c>
      <c r="F1037" s="1">
        <v>45698</v>
      </c>
      <c r="G1037" s="1">
        <v>45699</v>
      </c>
      <c r="H1037" t="s">
        <v>22</v>
      </c>
      <c r="I1037" t="s">
        <v>39</v>
      </c>
      <c r="J1037">
        <v>5</v>
      </c>
      <c r="K1037" t="s">
        <v>18</v>
      </c>
      <c r="L1037" t="s">
        <v>544</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1134</v>
      </c>
      <c r="B1038" t="s">
        <v>31</v>
      </c>
      <c r="C1038">
        <v>5</v>
      </c>
      <c r="D1038">
        <v>62</v>
      </c>
      <c r="E1038">
        <v>310</v>
      </c>
      <c r="F1038" s="1">
        <v>45698</v>
      </c>
      <c r="G1038" s="1">
        <v>45699</v>
      </c>
      <c r="H1038" t="s">
        <v>22</v>
      </c>
      <c r="I1038" t="s">
        <v>69</v>
      </c>
      <c r="J1038">
        <v>5</v>
      </c>
      <c r="K1038" t="s">
        <v>18</v>
      </c>
      <c r="L1038" t="s">
        <v>187</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1135</v>
      </c>
      <c r="B1039" t="s">
        <v>75</v>
      </c>
      <c r="C1039">
        <v>6</v>
      </c>
      <c r="D1039">
        <v>28.9</v>
      </c>
      <c r="E1039">
        <v>173.39999999999998</v>
      </c>
      <c r="F1039" s="1">
        <v>45698</v>
      </c>
      <c r="G1039" s="1">
        <v>45701</v>
      </c>
      <c r="H1039" t="s">
        <v>26</v>
      </c>
      <c r="I1039" t="s">
        <v>17</v>
      </c>
      <c r="J1039">
        <v>3</v>
      </c>
      <c r="K1039" t="s">
        <v>18</v>
      </c>
      <c r="L1039" t="s">
        <v>54</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1136</v>
      </c>
      <c r="B1040" t="s">
        <v>38</v>
      </c>
      <c r="C1040">
        <v>8</v>
      </c>
      <c r="D1040">
        <v>42.8</v>
      </c>
      <c r="E1040">
        <v>342.4</v>
      </c>
      <c r="F1040" s="1">
        <v>45698</v>
      </c>
      <c r="G1040" s="1">
        <v>45700</v>
      </c>
      <c r="H1040" t="s">
        <v>26</v>
      </c>
      <c r="I1040" t="s">
        <v>17</v>
      </c>
      <c r="J1040">
        <v>5</v>
      </c>
      <c r="K1040" t="s">
        <v>18</v>
      </c>
      <c r="L1040" t="s">
        <v>54</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1137</v>
      </c>
      <c r="B1041" t="s">
        <v>43</v>
      </c>
      <c r="C1041">
        <v>8</v>
      </c>
      <c r="D1041">
        <v>39.4</v>
      </c>
      <c r="E1041">
        <v>315.2</v>
      </c>
      <c r="F1041" s="1">
        <v>45698</v>
      </c>
      <c r="G1041" s="1">
        <v>45700</v>
      </c>
      <c r="H1041" t="s">
        <v>22</v>
      </c>
      <c r="I1041" t="s">
        <v>17</v>
      </c>
      <c r="J1041">
        <v>4</v>
      </c>
      <c r="K1041" t="s">
        <v>18</v>
      </c>
      <c r="L1041" t="s">
        <v>341</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1138</v>
      </c>
      <c r="B1042" t="s">
        <v>145</v>
      </c>
      <c r="C1042">
        <v>3</v>
      </c>
      <c r="D1042">
        <v>66.400000000000006</v>
      </c>
      <c r="E1042">
        <v>199.20000000000002</v>
      </c>
      <c r="F1042" s="1">
        <v>45698</v>
      </c>
      <c r="G1042" s="1">
        <v>45699</v>
      </c>
      <c r="I1042" t="s">
        <v>39</v>
      </c>
      <c r="J1042">
        <v>3</v>
      </c>
      <c r="K1042" t="s">
        <v>18</v>
      </c>
      <c r="L1042" t="s">
        <v>58</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1139</v>
      </c>
      <c r="B1043" t="s">
        <v>134</v>
      </c>
      <c r="C1043">
        <v>4</v>
      </c>
      <c r="D1043">
        <v>35.9</v>
      </c>
      <c r="E1043">
        <v>143.6</v>
      </c>
      <c r="F1043" s="1">
        <v>45698</v>
      </c>
      <c r="G1043" s="1">
        <v>45705</v>
      </c>
      <c r="H1043" t="s">
        <v>26</v>
      </c>
      <c r="I1043" t="s">
        <v>34</v>
      </c>
      <c r="J1043">
        <v>4</v>
      </c>
      <c r="K1043" t="s">
        <v>18</v>
      </c>
      <c r="L1043" t="s">
        <v>58</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1140</v>
      </c>
      <c r="B1044" t="s">
        <v>16</v>
      </c>
      <c r="C1044">
        <v>4</v>
      </c>
      <c r="D1044">
        <v>26.9</v>
      </c>
      <c r="E1044">
        <v>107.6</v>
      </c>
      <c r="F1044" s="1">
        <v>45698</v>
      </c>
      <c r="G1044" s="1">
        <v>45699</v>
      </c>
      <c r="H1044" t="s">
        <v>22</v>
      </c>
      <c r="I1044" t="s">
        <v>34</v>
      </c>
      <c r="J1044">
        <v>4</v>
      </c>
      <c r="K1044" t="s">
        <v>18</v>
      </c>
      <c r="L1044" t="s">
        <v>58</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1141</v>
      </c>
      <c r="B1045" t="s">
        <v>25</v>
      </c>
      <c r="C1045">
        <v>1</v>
      </c>
      <c r="D1045">
        <v>55.1</v>
      </c>
      <c r="E1045">
        <v>55.1</v>
      </c>
      <c r="F1045" s="1">
        <v>45698</v>
      </c>
      <c r="G1045" s="1">
        <v>45699</v>
      </c>
      <c r="H1045" t="s">
        <v>26</v>
      </c>
      <c r="I1045" t="s">
        <v>17</v>
      </c>
      <c r="J1045">
        <v>4</v>
      </c>
      <c r="K1045" t="s">
        <v>18</v>
      </c>
      <c r="L1045" t="s">
        <v>58</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1142</v>
      </c>
      <c r="B1046" t="s">
        <v>31</v>
      </c>
      <c r="C1046">
        <v>2</v>
      </c>
      <c r="D1046">
        <v>23.9</v>
      </c>
      <c r="E1046">
        <v>47.8</v>
      </c>
      <c r="F1046" s="1">
        <v>45698</v>
      </c>
      <c r="G1046" s="1">
        <v>45699</v>
      </c>
      <c r="H1046" t="s">
        <v>22</v>
      </c>
      <c r="I1046" t="s">
        <v>17</v>
      </c>
      <c r="J1046">
        <v>5</v>
      </c>
      <c r="K1046" t="s">
        <v>18</v>
      </c>
      <c r="L1046" t="s">
        <v>61</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1143</v>
      </c>
      <c r="B1047" t="s">
        <v>45</v>
      </c>
      <c r="C1047">
        <v>13</v>
      </c>
      <c r="D1047">
        <v>21.1</v>
      </c>
      <c r="E1047">
        <v>274.3</v>
      </c>
      <c r="F1047" s="1">
        <v>45698</v>
      </c>
      <c r="G1047" s="1">
        <v>45706</v>
      </c>
      <c r="H1047" t="s">
        <v>26</v>
      </c>
      <c r="I1047" t="s">
        <v>17</v>
      </c>
      <c r="J1047">
        <v>3</v>
      </c>
      <c r="K1047" t="s">
        <v>18</v>
      </c>
      <c r="L1047" t="s">
        <v>61</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1144</v>
      </c>
      <c r="B1048" t="s">
        <v>43</v>
      </c>
      <c r="C1048">
        <v>5</v>
      </c>
      <c r="D1048">
        <v>33.799999999999997</v>
      </c>
      <c r="E1048">
        <v>169</v>
      </c>
      <c r="F1048" s="1">
        <v>45698</v>
      </c>
      <c r="G1048" s="1">
        <v>45700</v>
      </c>
      <c r="H1048" t="s">
        <v>26</v>
      </c>
      <c r="I1048" t="s">
        <v>17</v>
      </c>
      <c r="J1048">
        <v>4</v>
      </c>
      <c r="K1048" t="s">
        <v>18</v>
      </c>
      <c r="L1048" t="s">
        <v>61</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1145</v>
      </c>
      <c r="B1049" t="s">
        <v>25</v>
      </c>
      <c r="C1049">
        <v>4</v>
      </c>
      <c r="D1049">
        <v>56.1</v>
      </c>
      <c r="E1049">
        <v>224.4</v>
      </c>
      <c r="F1049" s="1">
        <v>45698</v>
      </c>
      <c r="G1049" s="1">
        <v>45698</v>
      </c>
      <c r="H1049" t="s">
        <v>26</v>
      </c>
      <c r="I1049" t="s">
        <v>50</v>
      </c>
      <c r="J1049">
        <v>5</v>
      </c>
      <c r="K1049" t="s">
        <v>18</v>
      </c>
      <c r="L1049" t="s">
        <v>71</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1146</v>
      </c>
      <c r="B1050" t="s">
        <v>29</v>
      </c>
      <c r="C1050">
        <v>1</v>
      </c>
      <c r="D1050">
        <v>58.5</v>
      </c>
      <c r="E1050">
        <v>58.5</v>
      </c>
      <c r="F1050" s="1">
        <v>45699</v>
      </c>
      <c r="G1050" s="1">
        <v>45703</v>
      </c>
      <c r="H1050" t="s">
        <v>26</v>
      </c>
      <c r="I1050" t="s">
        <v>34</v>
      </c>
      <c r="J1050">
        <v>5</v>
      </c>
      <c r="K1050" t="s">
        <v>18</v>
      </c>
      <c r="L1050" t="s">
        <v>71</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1147</v>
      </c>
      <c r="B1051" t="s">
        <v>38</v>
      </c>
      <c r="C1051">
        <v>1</v>
      </c>
      <c r="D1051">
        <v>84.2</v>
      </c>
      <c r="E1051">
        <v>84.2</v>
      </c>
      <c r="F1051" s="1">
        <v>45699</v>
      </c>
      <c r="G1051" s="1">
        <v>45701</v>
      </c>
      <c r="H1051" t="s">
        <v>22</v>
      </c>
      <c r="I1051" t="s">
        <v>50</v>
      </c>
      <c r="J1051">
        <v>4</v>
      </c>
      <c r="K1051" t="s">
        <v>18</v>
      </c>
      <c r="L1051" t="s">
        <v>76</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1148</v>
      </c>
      <c r="B1052" t="s">
        <v>66</v>
      </c>
      <c r="C1052">
        <v>4</v>
      </c>
      <c r="D1052">
        <v>52</v>
      </c>
      <c r="E1052">
        <v>208</v>
      </c>
      <c r="F1052" s="1">
        <v>45699</v>
      </c>
      <c r="G1052" s="1">
        <v>45702</v>
      </c>
      <c r="H1052" t="s">
        <v>22</v>
      </c>
      <c r="I1052" t="s">
        <v>17</v>
      </c>
      <c r="J1052">
        <v>4</v>
      </c>
      <c r="K1052" t="s">
        <v>18</v>
      </c>
      <c r="L1052" t="s">
        <v>76</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1149</v>
      </c>
      <c r="B1053" t="s">
        <v>31</v>
      </c>
      <c r="C1053">
        <v>5</v>
      </c>
      <c r="D1053">
        <v>31.5</v>
      </c>
      <c r="E1053">
        <v>157.5</v>
      </c>
      <c r="F1053" s="1">
        <v>45699</v>
      </c>
      <c r="G1053" s="1">
        <v>45700</v>
      </c>
      <c r="H1053" t="s">
        <v>26</v>
      </c>
      <c r="I1053" t="s">
        <v>17</v>
      </c>
      <c r="J1053">
        <v>5</v>
      </c>
      <c r="K1053" t="s">
        <v>18</v>
      </c>
      <c r="L1053" t="s">
        <v>76</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1150</v>
      </c>
      <c r="B1054" t="s">
        <v>127</v>
      </c>
      <c r="C1054">
        <v>3</v>
      </c>
      <c r="D1054">
        <v>46.2</v>
      </c>
      <c r="E1054">
        <v>138.60000000000002</v>
      </c>
      <c r="F1054" s="1">
        <v>45699</v>
      </c>
      <c r="G1054" s="1">
        <v>45700</v>
      </c>
      <c r="H1054" t="s">
        <v>22</v>
      </c>
      <c r="I1054" t="s">
        <v>17</v>
      </c>
      <c r="J1054">
        <v>4</v>
      </c>
      <c r="K1054" t="s">
        <v>18</v>
      </c>
      <c r="L1054" t="s">
        <v>1115</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1151</v>
      </c>
      <c r="B1055" t="s">
        <v>25</v>
      </c>
      <c r="C1055">
        <v>6</v>
      </c>
      <c r="D1055">
        <v>135</v>
      </c>
      <c r="E1055">
        <v>810</v>
      </c>
      <c r="F1055" s="1">
        <v>45699</v>
      </c>
      <c r="G1055" s="1">
        <v>45700</v>
      </c>
      <c r="H1055" t="s">
        <v>26</v>
      </c>
      <c r="I1055" t="s">
        <v>34</v>
      </c>
      <c r="J1055">
        <v>5</v>
      </c>
      <c r="K1055" t="s">
        <v>18</v>
      </c>
      <c r="L1055" t="s">
        <v>107</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1152</v>
      </c>
      <c r="B1056" t="s">
        <v>68</v>
      </c>
      <c r="C1056">
        <v>3</v>
      </c>
      <c r="D1056">
        <v>92.2</v>
      </c>
      <c r="E1056">
        <v>276.60000000000002</v>
      </c>
      <c r="F1056" s="1">
        <v>45699</v>
      </c>
      <c r="G1056" s="1">
        <v>45703</v>
      </c>
      <c r="H1056" t="s">
        <v>22</v>
      </c>
      <c r="I1056" t="s">
        <v>17</v>
      </c>
      <c r="J1056">
        <v>4</v>
      </c>
      <c r="K1056" t="s">
        <v>18</v>
      </c>
      <c r="L1056" t="s">
        <v>114</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1153</v>
      </c>
      <c r="B1057" t="s">
        <v>43</v>
      </c>
      <c r="C1057">
        <v>1</v>
      </c>
      <c r="D1057">
        <v>36.6</v>
      </c>
      <c r="E1057">
        <v>36.6</v>
      </c>
      <c r="F1057" s="1">
        <v>45699</v>
      </c>
      <c r="G1057" s="1">
        <v>45701</v>
      </c>
      <c r="H1057" t="s">
        <v>22</v>
      </c>
      <c r="I1057" t="s">
        <v>39</v>
      </c>
      <c r="J1057">
        <v>5</v>
      </c>
      <c r="K1057" t="s">
        <v>18</v>
      </c>
      <c r="L1057" t="s">
        <v>114</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1154</v>
      </c>
      <c r="B1058" t="s">
        <v>45</v>
      </c>
      <c r="C1058">
        <v>2</v>
      </c>
      <c r="D1058">
        <v>50.6</v>
      </c>
      <c r="E1058">
        <v>101.2</v>
      </c>
      <c r="F1058" s="1">
        <v>45699</v>
      </c>
      <c r="G1058" s="1">
        <v>45702</v>
      </c>
      <c r="H1058" t="s">
        <v>26</v>
      </c>
      <c r="I1058" t="s">
        <v>17</v>
      </c>
      <c r="J1058">
        <v>4</v>
      </c>
      <c r="K1058" t="s">
        <v>18</v>
      </c>
      <c r="L1058" t="s">
        <v>27</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1155</v>
      </c>
      <c r="B1059" t="s">
        <v>145</v>
      </c>
      <c r="C1059">
        <v>7</v>
      </c>
      <c r="D1059">
        <v>56.7</v>
      </c>
      <c r="E1059">
        <v>396.90000000000003</v>
      </c>
      <c r="F1059" s="1">
        <v>45699</v>
      </c>
      <c r="G1059" s="1">
        <v>45702</v>
      </c>
      <c r="H1059" t="s">
        <v>26</v>
      </c>
      <c r="I1059" t="s">
        <v>17</v>
      </c>
      <c r="J1059">
        <v>4</v>
      </c>
      <c r="K1059" t="s">
        <v>18</v>
      </c>
      <c r="L1059" t="s">
        <v>27</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1156</v>
      </c>
      <c r="B1060" t="s">
        <v>45</v>
      </c>
      <c r="C1060">
        <v>13</v>
      </c>
      <c r="D1060">
        <v>22.9</v>
      </c>
      <c r="E1060">
        <v>297.7</v>
      </c>
      <c r="F1060" s="1">
        <v>45699</v>
      </c>
      <c r="G1060" s="1">
        <v>45700</v>
      </c>
      <c r="H1060" t="s">
        <v>26</v>
      </c>
      <c r="I1060" t="s">
        <v>17</v>
      </c>
      <c r="J1060">
        <v>3</v>
      </c>
      <c r="K1060" t="s">
        <v>18</v>
      </c>
      <c r="L1060" t="s">
        <v>586</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1157</v>
      </c>
      <c r="B1061" t="s">
        <v>122</v>
      </c>
      <c r="C1061">
        <v>19</v>
      </c>
      <c r="D1061">
        <v>53.6</v>
      </c>
      <c r="E1061">
        <v>1018.4</v>
      </c>
      <c r="F1061" s="1">
        <v>45699</v>
      </c>
      <c r="G1061" s="1">
        <v>45700</v>
      </c>
      <c r="H1061" t="s">
        <v>22</v>
      </c>
      <c r="I1061" t="s">
        <v>17</v>
      </c>
      <c r="J1061">
        <v>4</v>
      </c>
      <c r="K1061" t="s">
        <v>18</v>
      </c>
      <c r="L1061" t="s">
        <v>146</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1158</v>
      </c>
      <c r="B1062" t="s">
        <v>145</v>
      </c>
      <c r="C1062">
        <v>2</v>
      </c>
      <c r="D1062">
        <v>30.2</v>
      </c>
      <c r="E1062">
        <v>60.4</v>
      </c>
      <c r="F1062" s="1">
        <v>45699</v>
      </c>
      <c r="G1062" s="1">
        <v>45701</v>
      </c>
      <c r="I1062" t="s">
        <v>39</v>
      </c>
      <c r="J1062">
        <v>5</v>
      </c>
      <c r="K1062" t="s">
        <v>18</v>
      </c>
      <c r="L1062" t="s">
        <v>32</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1159</v>
      </c>
      <c r="B1063" t="s">
        <v>122</v>
      </c>
      <c r="C1063">
        <v>6</v>
      </c>
      <c r="D1063">
        <v>83.4</v>
      </c>
      <c r="E1063">
        <v>500.40000000000003</v>
      </c>
      <c r="F1063" s="1">
        <v>45699</v>
      </c>
      <c r="G1063" s="1">
        <v>45700</v>
      </c>
      <c r="H1063" t="s">
        <v>22</v>
      </c>
      <c r="I1063" t="s">
        <v>34</v>
      </c>
      <c r="J1063">
        <v>5</v>
      </c>
      <c r="K1063" t="s">
        <v>18</v>
      </c>
      <c r="L1063" t="s">
        <v>32</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1160</v>
      </c>
      <c r="B1064" t="s">
        <v>75</v>
      </c>
      <c r="C1064">
        <v>12</v>
      </c>
      <c r="D1064">
        <v>16.600000000000001</v>
      </c>
      <c r="E1064">
        <v>199.20000000000002</v>
      </c>
      <c r="F1064" s="1">
        <v>45699</v>
      </c>
      <c r="G1064" s="1">
        <v>45701</v>
      </c>
      <c r="H1064" t="s">
        <v>22</v>
      </c>
      <c r="I1064" t="s">
        <v>34</v>
      </c>
      <c r="J1064">
        <v>4</v>
      </c>
      <c r="K1064" t="s">
        <v>18</v>
      </c>
      <c r="L1064" t="s">
        <v>32</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1161</v>
      </c>
      <c r="B1065" t="s">
        <v>43</v>
      </c>
      <c r="C1065">
        <v>17</v>
      </c>
      <c r="D1065">
        <v>21.9</v>
      </c>
      <c r="E1065">
        <v>372.29999999999995</v>
      </c>
      <c r="F1065" s="1">
        <v>45699</v>
      </c>
      <c r="G1065" s="1">
        <v>45701</v>
      </c>
      <c r="H1065" t="s">
        <v>26</v>
      </c>
      <c r="I1065" t="s">
        <v>69</v>
      </c>
      <c r="J1065">
        <v>3</v>
      </c>
      <c r="K1065" t="s">
        <v>18</v>
      </c>
      <c r="L1065" t="s">
        <v>32</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1162</v>
      </c>
      <c r="B1066" t="s">
        <v>43</v>
      </c>
      <c r="C1066">
        <v>28</v>
      </c>
      <c r="D1066">
        <v>33.799999999999997</v>
      </c>
      <c r="E1066">
        <v>946.39999999999986</v>
      </c>
      <c r="F1066" s="1">
        <v>45699</v>
      </c>
      <c r="G1066" s="1">
        <v>45701</v>
      </c>
      <c r="H1066" t="s">
        <v>22</v>
      </c>
      <c r="I1066" t="s">
        <v>39</v>
      </c>
      <c r="J1066">
        <v>2</v>
      </c>
      <c r="K1066" t="s">
        <v>18</v>
      </c>
      <c r="L1066" t="s">
        <v>32</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1163</v>
      </c>
      <c r="B1067" t="s">
        <v>145</v>
      </c>
      <c r="C1067">
        <v>2</v>
      </c>
      <c r="D1067">
        <v>53.2</v>
      </c>
      <c r="E1067">
        <v>106.4</v>
      </c>
      <c r="F1067" s="1">
        <v>45699</v>
      </c>
      <c r="G1067" s="1">
        <v>45699</v>
      </c>
      <c r="H1067" t="s">
        <v>22</v>
      </c>
      <c r="I1067" t="s">
        <v>34</v>
      </c>
      <c r="J1067">
        <v>4</v>
      </c>
      <c r="K1067" t="s">
        <v>18</v>
      </c>
      <c r="L1067" t="s">
        <v>32</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1164</v>
      </c>
      <c r="B1068" t="s">
        <v>25</v>
      </c>
      <c r="C1068">
        <v>2</v>
      </c>
      <c r="D1068">
        <v>176.7</v>
      </c>
      <c r="E1068">
        <v>353.4</v>
      </c>
      <c r="F1068" s="1">
        <v>45699</v>
      </c>
      <c r="G1068" s="1">
        <v>45702</v>
      </c>
      <c r="H1068" t="s">
        <v>26</v>
      </c>
      <c r="I1068" t="s">
        <v>39</v>
      </c>
      <c r="J1068">
        <v>4</v>
      </c>
      <c r="K1068" t="s">
        <v>18</v>
      </c>
      <c r="L1068" t="s">
        <v>32</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1165</v>
      </c>
      <c r="B1069" t="s">
        <v>68</v>
      </c>
      <c r="C1069">
        <v>3</v>
      </c>
      <c r="D1069">
        <v>54</v>
      </c>
      <c r="E1069">
        <v>162</v>
      </c>
      <c r="F1069" s="1">
        <v>45699</v>
      </c>
      <c r="G1069" s="1">
        <v>45702</v>
      </c>
      <c r="H1069" t="s">
        <v>22</v>
      </c>
      <c r="I1069" t="s">
        <v>17</v>
      </c>
      <c r="J1069">
        <v>3</v>
      </c>
      <c r="K1069" t="s">
        <v>18</v>
      </c>
      <c r="L1069" t="s">
        <v>32</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1166</v>
      </c>
      <c r="B1070" t="s">
        <v>45</v>
      </c>
      <c r="C1070">
        <v>2</v>
      </c>
      <c r="D1070">
        <v>70.099999999999994</v>
      </c>
      <c r="E1070">
        <v>140.19999999999999</v>
      </c>
      <c r="F1070" s="1">
        <v>45699</v>
      </c>
      <c r="G1070" s="1">
        <v>45707</v>
      </c>
      <c r="H1070" t="s">
        <v>26</v>
      </c>
      <c r="I1070" t="s">
        <v>50</v>
      </c>
      <c r="J1070">
        <v>5</v>
      </c>
      <c r="K1070" t="s">
        <v>18</v>
      </c>
      <c r="L1070" t="s">
        <v>32</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1167</v>
      </c>
      <c r="B1071" t="s">
        <v>43</v>
      </c>
      <c r="C1071">
        <v>1</v>
      </c>
      <c r="D1071">
        <v>26.5</v>
      </c>
      <c r="E1071">
        <v>26.5</v>
      </c>
      <c r="F1071" s="1">
        <v>45699</v>
      </c>
      <c r="G1071" s="1">
        <v>45701</v>
      </c>
      <c r="H1071" t="s">
        <v>26</v>
      </c>
      <c r="I1071" t="s">
        <v>34</v>
      </c>
      <c r="J1071">
        <v>4</v>
      </c>
      <c r="K1071" t="s">
        <v>18</v>
      </c>
      <c r="L1071" t="s">
        <v>32</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1168</v>
      </c>
      <c r="B1072" t="s">
        <v>41</v>
      </c>
      <c r="C1072">
        <v>5</v>
      </c>
      <c r="D1072">
        <v>89</v>
      </c>
      <c r="E1072">
        <v>445</v>
      </c>
      <c r="F1072" s="1">
        <v>45699</v>
      </c>
      <c r="G1072" s="1">
        <v>45701</v>
      </c>
      <c r="H1072" t="s">
        <v>22</v>
      </c>
      <c r="I1072" t="s">
        <v>39</v>
      </c>
      <c r="J1072">
        <v>2</v>
      </c>
      <c r="K1072" t="s">
        <v>18</v>
      </c>
      <c r="L1072" t="s">
        <v>32</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1169</v>
      </c>
      <c r="B1073" t="s">
        <v>21</v>
      </c>
      <c r="C1073">
        <v>6</v>
      </c>
      <c r="D1073">
        <v>47</v>
      </c>
      <c r="E1073">
        <v>282</v>
      </c>
      <c r="F1073" s="1">
        <v>45699</v>
      </c>
      <c r="G1073" s="1">
        <v>45702</v>
      </c>
      <c r="H1073" t="s">
        <v>26</v>
      </c>
      <c r="I1073" t="s">
        <v>50</v>
      </c>
      <c r="J1073">
        <v>4</v>
      </c>
      <c r="K1073" t="s">
        <v>18</v>
      </c>
      <c r="L1073" t="s">
        <v>185</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1170</v>
      </c>
      <c r="B1074" t="s">
        <v>29</v>
      </c>
      <c r="C1074">
        <v>2</v>
      </c>
      <c r="D1074">
        <v>55.2</v>
      </c>
      <c r="E1074">
        <v>110.4</v>
      </c>
      <c r="F1074" s="1">
        <v>45699</v>
      </c>
      <c r="G1074" s="1">
        <v>45702</v>
      </c>
      <c r="H1074" t="s">
        <v>22</v>
      </c>
      <c r="I1074" t="s">
        <v>34</v>
      </c>
      <c r="J1074">
        <v>3</v>
      </c>
      <c r="K1074" t="s">
        <v>18</v>
      </c>
      <c r="L1074" t="s">
        <v>54</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1171</v>
      </c>
      <c r="B1075" t="s">
        <v>43</v>
      </c>
      <c r="C1075">
        <v>42</v>
      </c>
      <c r="D1075">
        <v>33.299999999999997</v>
      </c>
      <c r="E1075">
        <v>1398.6</v>
      </c>
      <c r="F1075" s="1">
        <v>45699</v>
      </c>
      <c r="G1075" s="1">
        <v>45713</v>
      </c>
      <c r="H1075" t="s">
        <v>22</v>
      </c>
      <c r="I1075" t="s">
        <v>34</v>
      </c>
      <c r="J1075">
        <v>5</v>
      </c>
      <c r="K1075" t="s">
        <v>18</v>
      </c>
      <c r="L1075" t="s">
        <v>54</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1172</v>
      </c>
      <c r="B1076" t="s">
        <v>25</v>
      </c>
      <c r="C1076">
        <v>4</v>
      </c>
      <c r="D1076">
        <v>110.9</v>
      </c>
      <c r="E1076">
        <v>443.6</v>
      </c>
      <c r="F1076" s="1">
        <v>45700</v>
      </c>
      <c r="G1076" s="1">
        <v>45700</v>
      </c>
      <c r="H1076" t="s">
        <v>22</v>
      </c>
      <c r="I1076" t="s">
        <v>39</v>
      </c>
      <c r="J1076">
        <v>2</v>
      </c>
      <c r="K1076" t="s">
        <v>18</v>
      </c>
      <c r="L1076" t="s">
        <v>54</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1173</v>
      </c>
      <c r="B1077" t="s">
        <v>25</v>
      </c>
      <c r="C1077">
        <v>6</v>
      </c>
      <c r="D1077">
        <v>67.3</v>
      </c>
      <c r="E1077">
        <v>403.79999999999995</v>
      </c>
      <c r="F1077" s="1">
        <v>45700</v>
      </c>
      <c r="G1077" s="1">
        <v>45701</v>
      </c>
      <c r="H1077" t="s">
        <v>22</v>
      </c>
      <c r="I1077" t="s">
        <v>17</v>
      </c>
      <c r="J1077">
        <v>4</v>
      </c>
      <c r="K1077" t="s">
        <v>18</v>
      </c>
      <c r="L1077" t="s">
        <v>61</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1174</v>
      </c>
      <c r="B1078" t="s">
        <v>38</v>
      </c>
      <c r="C1078">
        <v>3</v>
      </c>
      <c r="D1078">
        <v>69.7</v>
      </c>
      <c r="E1078">
        <v>209.10000000000002</v>
      </c>
      <c r="F1078" s="1">
        <v>45700</v>
      </c>
      <c r="G1078" s="1">
        <v>45701</v>
      </c>
      <c r="H1078" t="s">
        <v>22</v>
      </c>
      <c r="I1078" t="s">
        <v>39</v>
      </c>
      <c r="J1078">
        <v>3</v>
      </c>
      <c r="K1078" t="s">
        <v>18</v>
      </c>
      <c r="L1078" t="s">
        <v>61</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1175</v>
      </c>
      <c r="B1079" t="s">
        <v>36</v>
      </c>
      <c r="C1079">
        <v>1</v>
      </c>
      <c r="D1079">
        <v>39.1</v>
      </c>
      <c r="E1079">
        <v>39.1</v>
      </c>
      <c r="F1079" s="1">
        <v>45700</v>
      </c>
      <c r="G1079" s="1">
        <v>45705</v>
      </c>
      <c r="H1079" t="s">
        <v>22</v>
      </c>
      <c r="I1079" t="s">
        <v>17</v>
      </c>
      <c r="J1079">
        <v>3</v>
      </c>
      <c r="K1079" t="s">
        <v>18</v>
      </c>
      <c r="L1079" t="s">
        <v>102</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1176</v>
      </c>
      <c r="B1080" t="s">
        <v>25</v>
      </c>
      <c r="C1080">
        <v>3</v>
      </c>
      <c r="D1080">
        <v>208.6</v>
      </c>
      <c r="E1080">
        <v>625.79999999999995</v>
      </c>
      <c r="F1080" s="1">
        <v>45700</v>
      </c>
      <c r="G1080" s="1">
        <v>45700</v>
      </c>
      <c r="H1080" t="s">
        <v>22</v>
      </c>
      <c r="I1080" t="s">
        <v>69</v>
      </c>
      <c r="J1080">
        <v>5</v>
      </c>
      <c r="K1080" t="s">
        <v>18</v>
      </c>
      <c r="L1080" t="s">
        <v>102</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1177</v>
      </c>
      <c r="B1081" t="s">
        <v>122</v>
      </c>
      <c r="C1081">
        <v>3</v>
      </c>
      <c r="D1081">
        <v>27.8</v>
      </c>
      <c r="E1081">
        <v>83.4</v>
      </c>
      <c r="F1081" s="1">
        <v>45700</v>
      </c>
      <c r="G1081" s="1">
        <v>45701</v>
      </c>
      <c r="H1081" t="s">
        <v>22</v>
      </c>
      <c r="I1081" t="s">
        <v>50</v>
      </c>
      <c r="J1081">
        <v>3</v>
      </c>
      <c r="K1081" t="s">
        <v>18</v>
      </c>
      <c r="L1081" t="s">
        <v>76</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1178</v>
      </c>
      <c r="B1082" t="s">
        <v>53</v>
      </c>
      <c r="C1082">
        <v>5</v>
      </c>
      <c r="D1082">
        <v>29.4</v>
      </c>
      <c r="E1082">
        <v>147</v>
      </c>
      <c r="F1082" s="1">
        <v>45700</v>
      </c>
      <c r="G1082" s="1">
        <v>45702</v>
      </c>
      <c r="H1082" t="s">
        <v>26</v>
      </c>
      <c r="I1082" t="s">
        <v>17</v>
      </c>
      <c r="J1082">
        <v>4</v>
      </c>
      <c r="K1082" t="s">
        <v>18</v>
      </c>
      <c r="L1082" t="s">
        <v>76</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1179</v>
      </c>
      <c r="B1083" t="s">
        <v>45</v>
      </c>
      <c r="C1083">
        <v>2</v>
      </c>
      <c r="D1083">
        <v>29.2</v>
      </c>
      <c r="E1083">
        <v>58.4</v>
      </c>
      <c r="F1083" s="1">
        <v>45700</v>
      </c>
      <c r="G1083" s="1">
        <v>45702</v>
      </c>
      <c r="H1083" t="s">
        <v>26</v>
      </c>
      <c r="I1083" t="s">
        <v>34</v>
      </c>
      <c r="J1083">
        <v>5</v>
      </c>
      <c r="K1083" t="s">
        <v>18</v>
      </c>
      <c r="L1083" t="s">
        <v>112</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1180</v>
      </c>
      <c r="B1084" t="s">
        <v>53</v>
      </c>
      <c r="C1084">
        <v>5</v>
      </c>
      <c r="D1084">
        <v>26.5</v>
      </c>
      <c r="E1084">
        <v>132.5</v>
      </c>
      <c r="F1084" s="1">
        <v>45700</v>
      </c>
      <c r="G1084" s="1">
        <v>45702</v>
      </c>
      <c r="H1084" t="s">
        <v>26</v>
      </c>
      <c r="I1084" t="s">
        <v>17</v>
      </c>
      <c r="J1084">
        <v>4</v>
      </c>
      <c r="K1084" t="s">
        <v>18</v>
      </c>
      <c r="L1084" t="s">
        <v>996</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1181</v>
      </c>
      <c r="B1085" t="s">
        <v>36</v>
      </c>
      <c r="C1085">
        <v>1</v>
      </c>
      <c r="D1085">
        <v>30.3</v>
      </c>
      <c r="E1085">
        <v>30.3</v>
      </c>
      <c r="F1085" s="1">
        <v>45700</v>
      </c>
      <c r="G1085" s="1">
        <v>45701</v>
      </c>
      <c r="H1085" t="s">
        <v>26</v>
      </c>
      <c r="I1085" t="s">
        <v>69</v>
      </c>
      <c r="J1085">
        <v>3</v>
      </c>
      <c r="K1085" t="s">
        <v>18</v>
      </c>
      <c r="L1085" t="s">
        <v>81</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1182</v>
      </c>
      <c r="B1086" t="s">
        <v>127</v>
      </c>
      <c r="C1086">
        <v>12</v>
      </c>
      <c r="D1086">
        <v>39.700000000000003</v>
      </c>
      <c r="E1086">
        <v>476.40000000000003</v>
      </c>
      <c r="F1086" s="1">
        <v>45700</v>
      </c>
      <c r="G1086" s="1">
        <v>45701</v>
      </c>
      <c r="H1086" t="s">
        <v>26</v>
      </c>
      <c r="I1086" t="s">
        <v>17</v>
      </c>
      <c r="J1086">
        <v>4</v>
      </c>
      <c r="K1086" t="s">
        <v>18</v>
      </c>
      <c r="L1086" t="s">
        <v>114</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1183</v>
      </c>
      <c r="B1087" t="s">
        <v>41</v>
      </c>
      <c r="C1087">
        <v>10</v>
      </c>
      <c r="D1087">
        <v>58.9</v>
      </c>
      <c r="E1087">
        <v>589</v>
      </c>
      <c r="F1087" s="1">
        <v>45700</v>
      </c>
      <c r="G1087" s="1">
        <v>45702</v>
      </c>
      <c r="H1087" t="s">
        <v>26</v>
      </c>
      <c r="I1087" t="s">
        <v>34</v>
      </c>
      <c r="J1087">
        <v>2</v>
      </c>
      <c r="K1087" t="s">
        <v>18</v>
      </c>
      <c r="L1087" t="s">
        <v>114</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1184</v>
      </c>
      <c r="B1088" t="s">
        <v>25</v>
      </c>
      <c r="C1088">
        <v>2</v>
      </c>
      <c r="D1088">
        <v>174.1</v>
      </c>
      <c r="E1088">
        <v>348.2</v>
      </c>
      <c r="F1088" s="1">
        <v>45700</v>
      </c>
      <c r="G1088" s="1">
        <v>45702</v>
      </c>
      <c r="H1088" t="s">
        <v>26</v>
      </c>
      <c r="I1088" t="s">
        <v>17</v>
      </c>
      <c r="J1088">
        <v>3</v>
      </c>
      <c r="K1088" t="s">
        <v>18</v>
      </c>
      <c r="L1088" t="s">
        <v>640</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1185</v>
      </c>
      <c r="B1089" t="s">
        <v>38</v>
      </c>
      <c r="C1089">
        <v>2</v>
      </c>
      <c r="D1089">
        <v>70.8</v>
      </c>
      <c r="E1089">
        <v>141.6</v>
      </c>
      <c r="F1089" s="1">
        <v>45700</v>
      </c>
      <c r="G1089" s="1">
        <v>45703</v>
      </c>
      <c r="H1089" t="s">
        <v>22</v>
      </c>
      <c r="I1089" t="s">
        <v>39</v>
      </c>
      <c r="J1089">
        <v>4</v>
      </c>
      <c r="K1089" t="s">
        <v>18</v>
      </c>
      <c r="L1089" t="s">
        <v>146</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1186</v>
      </c>
      <c r="B1090" t="s">
        <v>41</v>
      </c>
      <c r="C1090">
        <v>2</v>
      </c>
      <c r="D1090">
        <v>57.4</v>
      </c>
      <c r="E1090">
        <v>114.8</v>
      </c>
      <c r="F1090" s="1">
        <v>45700</v>
      </c>
      <c r="G1090" s="1">
        <v>45702</v>
      </c>
      <c r="H1090" t="s">
        <v>26</v>
      </c>
      <c r="I1090" t="s">
        <v>34</v>
      </c>
      <c r="J1090">
        <v>3</v>
      </c>
      <c r="K1090" t="s">
        <v>18</v>
      </c>
      <c r="L1090" t="s">
        <v>333</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1187</v>
      </c>
      <c r="B1091" t="s">
        <v>16</v>
      </c>
      <c r="C1091">
        <v>2</v>
      </c>
      <c r="D1091">
        <v>28.5</v>
      </c>
      <c r="E1091">
        <v>57</v>
      </c>
      <c r="F1091" s="1">
        <v>45700</v>
      </c>
      <c r="G1091" s="1">
        <v>45702</v>
      </c>
      <c r="H1091" t="s">
        <v>22</v>
      </c>
      <c r="I1091" t="s">
        <v>50</v>
      </c>
      <c r="J1091">
        <v>3</v>
      </c>
      <c r="K1091" t="s">
        <v>18</v>
      </c>
      <c r="L1091" t="s">
        <v>32</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1188</v>
      </c>
      <c r="B1092" t="s">
        <v>25</v>
      </c>
      <c r="C1092">
        <v>20</v>
      </c>
      <c r="D1092">
        <v>106.6</v>
      </c>
      <c r="E1092">
        <v>2132</v>
      </c>
      <c r="F1092" s="1">
        <v>45700</v>
      </c>
      <c r="G1092" s="1">
        <v>45701</v>
      </c>
      <c r="I1092" t="s">
        <v>34</v>
      </c>
      <c r="J1092">
        <v>2</v>
      </c>
      <c r="K1092" t="s">
        <v>18</v>
      </c>
      <c r="L1092" t="s">
        <v>32</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1189</v>
      </c>
      <c r="B1093" t="s">
        <v>25</v>
      </c>
      <c r="C1093">
        <v>3</v>
      </c>
      <c r="D1093">
        <v>119.7</v>
      </c>
      <c r="E1093">
        <v>359.1</v>
      </c>
      <c r="F1093" s="1">
        <v>45700</v>
      </c>
      <c r="G1093" s="1">
        <v>45701</v>
      </c>
      <c r="H1093" t="s">
        <v>26</v>
      </c>
      <c r="I1093" t="s">
        <v>34</v>
      </c>
      <c r="J1093">
        <v>2</v>
      </c>
      <c r="K1093" t="s">
        <v>18</v>
      </c>
      <c r="L1093" t="s">
        <v>32</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1190</v>
      </c>
      <c r="B1094" t="s">
        <v>145</v>
      </c>
      <c r="C1094">
        <v>1</v>
      </c>
      <c r="D1094">
        <v>73.3</v>
      </c>
      <c r="E1094">
        <v>73.3</v>
      </c>
      <c r="F1094" s="1">
        <v>45700</v>
      </c>
      <c r="G1094" s="1">
        <v>45705</v>
      </c>
      <c r="H1094" t="s">
        <v>26</v>
      </c>
      <c r="I1094" t="s">
        <v>17</v>
      </c>
      <c r="J1094">
        <v>5</v>
      </c>
      <c r="K1094" t="s">
        <v>18</v>
      </c>
      <c r="L1094" t="s">
        <v>32</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1191</v>
      </c>
      <c r="B1095" t="s">
        <v>16</v>
      </c>
      <c r="C1095">
        <v>2</v>
      </c>
      <c r="D1095">
        <v>25.8</v>
      </c>
      <c r="E1095">
        <v>51.6</v>
      </c>
      <c r="F1095" s="1">
        <v>45700</v>
      </c>
      <c r="G1095" s="1">
        <v>45714</v>
      </c>
      <c r="H1095" t="s">
        <v>22</v>
      </c>
      <c r="I1095" t="s">
        <v>39</v>
      </c>
      <c r="J1095">
        <v>4</v>
      </c>
      <c r="K1095" t="s">
        <v>18</v>
      </c>
      <c r="L1095" t="s">
        <v>32</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1192</v>
      </c>
      <c r="B1096" t="s">
        <v>134</v>
      </c>
      <c r="C1096">
        <v>3</v>
      </c>
      <c r="D1096">
        <v>49.1</v>
      </c>
      <c r="E1096">
        <v>147.30000000000001</v>
      </c>
      <c r="F1096" s="1">
        <v>45700</v>
      </c>
      <c r="G1096" s="1">
        <v>45702</v>
      </c>
      <c r="H1096" t="s">
        <v>26</v>
      </c>
      <c r="I1096" t="s">
        <v>17</v>
      </c>
      <c r="J1096">
        <v>4</v>
      </c>
      <c r="K1096" t="s">
        <v>18</v>
      </c>
      <c r="L1096" t="s">
        <v>185</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1193</v>
      </c>
      <c r="B1097" t="s">
        <v>21</v>
      </c>
      <c r="C1097">
        <v>1</v>
      </c>
      <c r="D1097">
        <v>44.9</v>
      </c>
      <c r="E1097">
        <v>44.9</v>
      </c>
      <c r="F1097" s="1">
        <v>45700</v>
      </c>
      <c r="G1097" s="1">
        <v>45703</v>
      </c>
      <c r="H1097" t="s">
        <v>26</v>
      </c>
      <c r="I1097" t="s">
        <v>50</v>
      </c>
      <c r="J1097">
        <v>5</v>
      </c>
      <c r="K1097" t="s">
        <v>18</v>
      </c>
      <c r="L1097" t="s">
        <v>54</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1194</v>
      </c>
      <c r="B1098" t="s">
        <v>122</v>
      </c>
      <c r="C1098">
        <v>7</v>
      </c>
      <c r="D1098">
        <v>29.9</v>
      </c>
      <c r="E1098">
        <v>209.29999999999998</v>
      </c>
      <c r="F1098" s="1">
        <v>45700</v>
      </c>
      <c r="G1098" s="1">
        <v>45701</v>
      </c>
      <c r="H1098" t="s">
        <v>26</v>
      </c>
      <c r="I1098" t="s">
        <v>17</v>
      </c>
      <c r="J1098">
        <v>4</v>
      </c>
      <c r="K1098" t="s">
        <v>18</v>
      </c>
      <c r="L1098" t="s">
        <v>54</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1195</v>
      </c>
      <c r="B1099" t="s">
        <v>41</v>
      </c>
      <c r="C1099">
        <v>2</v>
      </c>
      <c r="D1099">
        <v>54.3</v>
      </c>
      <c r="E1099">
        <v>108.6</v>
      </c>
      <c r="F1099" s="1">
        <v>45701</v>
      </c>
      <c r="G1099" s="1">
        <v>45702</v>
      </c>
      <c r="H1099" t="s">
        <v>22</v>
      </c>
      <c r="I1099" t="s">
        <v>50</v>
      </c>
      <c r="J1099">
        <v>4</v>
      </c>
      <c r="K1099" t="s">
        <v>18</v>
      </c>
      <c r="L1099" t="s">
        <v>341</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1196</v>
      </c>
      <c r="B1100" t="s">
        <v>45</v>
      </c>
      <c r="C1100">
        <v>4</v>
      </c>
      <c r="D1100">
        <v>57</v>
      </c>
      <c r="E1100">
        <v>228</v>
      </c>
      <c r="F1100" s="1">
        <v>45701</v>
      </c>
      <c r="G1100" s="1">
        <v>45703</v>
      </c>
      <c r="H1100" t="s">
        <v>26</v>
      </c>
      <c r="I1100" t="s">
        <v>17</v>
      </c>
      <c r="J1100">
        <v>4</v>
      </c>
      <c r="K1100" t="s">
        <v>18</v>
      </c>
      <c r="L1100" t="s">
        <v>61</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1197</v>
      </c>
      <c r="B1101" t="s">
        <v>25</v>
      </c>
      <c r="C1101">
        <v>1</v>
      </c>
      <c r="D1101">
        <v>139.19999999999999</v>
      </c>
      <c r="E1101">
        <v>139.19999999999999</v>
      </c>
      <c r="F1101" s="1">
        <v>45701</v>
      </c>
      <c r="G1101" s="1">
        <v>45702</v>
      </c>
      <c r="H1101" t="s">
        <v>26</v>
      </c>
      <c r="I1101" t="s">
        <v>50</v>
      </c>
      <c r="J1101">
        <v>5</v>
      </c>
      <c r="K1101" t="s">
        <v>18</v>
      </c>
      <c r="L1101" t="s">
        <v>61</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1198</v>
      </c>
      <c r="B1102" t="s">
        <v>53</v>
      </c>
      <c r="C1102">
        <v>1</v>
      </c>
      <c r="D1102">
        <v>33</v>
      </c>
      <c r="E1102">
        <v>33</v>
      </c>
      <c r="F1102" s="1">
        <v>45701</v>
      </c>
      <c r="G1102" s="1">
        <v>45704</v>
      </c>
      <c r="H1102" t="s">
        <v>26</v>
      </c>
      <c r="I1102" t="s">
        <v>17</v>
      </c>
      <c r="J1102">
        <v>5</v>
      </c>
      <c r="K1102" t="s">
        <v>18</v>
      </c>
      <c r="L1102" t="s">
        <v>61</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1199</v>
      </c>
      <c r="B1103" t="s">
        <v>66</v>
      </c>
      <c r="C1103">
        <v>6</v>
      </c>
      <c r="D1103">
        <v>80.2</v>
      </c>
      <c r="E1103">
        <v>481.20000000000005</v>
      </c>
      <c r="F1103" s="1">
        <v>45701</v>
      </c>
      <c r="G1103" s="1">
        <v>45703</v>
      </c>
      <c r="H1103" t="s">
        <v>22</v>
      </c>
      <c r="I1103" t="s">
        <v>34</v>
      </c>
      <c r="J1103">
        <v>2</v>
      </c>
      <c r="K1103" t="s">
        <v>18</v>
      </c>
      <c r="L1103" t="s">
        <v>61</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1200</v>
      </c>
      <c r="B1104" t="s">
        <v>145</v>
      </c>
      <c r="C1104">
        <v>8</v>
      </c>
      <c r="D1104">
        <v>49</v>
      </c>
      <c r="E1104">
        <v>392</v>
      </c>
      <c r="F1104" s="1">
        <v>45701</v>
      </c>
      <c r="G1104" s="1">
        <v>45702</v>
      </c>
      <c r="I1104" t="s">
        <v>39</v>
      </c>
      <c r="J1104">
        <v>3</v>
      </c>
      <c r="K1104" t="s">
        <v>18</v>
      </c>
      <c r="L1104" t="s">
        <v>71</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1201</v>
      </c>
      <c r="B1105" t="s">
        <v>21</v>
      </c>
      <c r="C1105">
        <v>4</v>
      </c>
      <c r="D1105">
        <v>104.4</v>
      </c>
      <c r="E1105">
        <v>417.6</v>
      </c>
      <c r="F1105" s="1">
        <v>45701</v>
      </c>
      <c r="G1105" s="1">
        <v>45701</v>
      </c>
      <c r="H1105" t="s">
        <v>26</v>
      </c>
      <c r="I1105" t="s">
        <v>17</v>
      </c>
      <c r="J1105">
        <v>4</v>
      </c>
      <c r="K1105" t="s">
        <v>18</v>
      </c>
      <c r="L1105" t="s">
        <v>71</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1202</v>
      </c>
      <c r="B1106" t="s">
        <v>29</v>
      </c>
      <c r="C1106">
        <v>1</v>
      </c>
      <c r="D1106">
        <v>41.6</v>
      </c>
      <c r="E1106">
        <v>41.6</v>
      </c>
      <c r="F1106" s="1">
        <v>45701</v>
      </c>
      <c r="G1106" s="1">
        <v>45704</v>
      </c>
      <c r="H1106" t="s">
        <v>22</v>
      </c>
      <c r="I1106" t="s">
        <v>50</v>
      </c>
      <c r="J1106">
        <v>4</v>
      </c>
      <c r="K1106" t="s">
        <v>18</v>
      </c>
      <c r="L1106" t="s">
        <v>76</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1203</v>
      </c>
      <c r="B1107" t="s">
        <v>170</v>
      </c>
      <c r="C1107">
        <v>2</v>
      </c>
      <c r="D1107">
        <v>16.399999999999999</v>
      </c>
      <c r="E1107">
        <v>32.799999999999997</v>
      </c>
      <c r="F1107" s="1">
        <v>45701</v>
      </c>
      <c r="G1107" s="1">
        <v>45702</v>
      </c>
      <c r="H1107" t="s">
        <v>88</v>
      </c>
      <c r="I1107" t="s">
        <v>17</v>
      </c>
      <c r="J1107">
        <v>5</v>
      </c>
      <c r="K1107" t="s">
        <v>18</v>
      </c>
      <c r="L1107" t="s">
        <v>76</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1204</v>
      </c>
      <c r="B1108" t="s">
        <v>43</v>
      </c>
      <c r="C1108">
        <v>2</v>
      </c>
      <c r="D1108">
        <v>22</v>
      </c>
      <c r="E1108">
        <v>44</v>
      </c>
      <c r="F1108" s="1">
        <v>45701</v>
      </c>
      <c r="G1108" s="1">
        <v>45702</v>
      </c>
      <c r="H1108" t="s">
        <v>22</v>
      </c>
      <c r="I1108" t="s">
        <v>39</v>
      </c>
      <c r="J1108">
        <v>5</v>
      </c>
      <c r="K1108" t="s">
        <v>18</v>
      </c>
      <c r="L1108" t="s">
        <v>1115</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1205</v>
      </c>
      <c r="B1109" t="s">
        <v>122</v>
      </c>
      <c r="C1109">
        <v>2</v>
      </c>
      <c r="D1109">
        <v>33.6</v>
      </c>
      <c r="E1109">
        <v>67.2</v>
      </c>
      <c r="F1109" s="1">
        <v>45701</v>
      </c>
      <c r="G1109" s="1">
        <v>45706</v>
      </c>
      <c r="H1109" t="s">
        <v>26</v>
      </c>
      <c r="I1109" t="s">
        <v>17</v>
      </c>
      <c r="J1109">
        <v>4</v>
      </c>
      <c r="K1109" t="s">
        <v>18</v>
      </c>
      <c r="L1109" t="s">
        <v>114</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1206</v>
      </c>
      <c r="B1110" t="s">
        <v>66</v>
      </c>
      <c r="C1110">
        <v>6</v>
      </c>
      <c r="D1110">
        <v>43</v>
      </c>
      <c r="E1110">
        <v>258</v>
      </c>
      <c r="F1110" s="1">
        <v>45701</v>
      </c>
      <c r="G1110" s="1">
        <v>45702</v>
      </c>
      <c r="H1110" t="s">
        <v>26</v>
      </c>
      <c r="I1110" t="s">
        <v>39</v>
      </c>
      <c r="J1110">
        <v>4</v>
      </c>
      <c r="K1110" t="s">
        <v>18</v>
      </c>
      <c r="L1110" t="s">
        <v>114</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1207</v>
      </c>
      <c r="B1111" t="s">
        <v>38</v>
      </c>
      <c r="C1111">
        <v>5</v>
      </c>
      <c r="D1111">
        <v>108.8</v>
      </c>
      <c r="E1111">
        <v>544</v>
      </c>
      <c r="F1111" s="1">
        <v>45701</v>
      </c>
      <c r="G1111" s="1">
        <v>45704</v>
      </c>
      <c r="H1111" t="s">
        <v>26</v>
      </c>
      <c r="I1111" t="s">
        <v>69</v>
      </c>
      <c r="J1111">
        <v>5</v>
      </c>
      <c r="K1111" t="s">
        <v>18</v>
      </c>
      <c r="L1111" t="s">
        <v>114</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1208</v>
      </c>
      <c r="B1112" t="s">
        <v>16</v>
      </c>
      <c r="C1112">
        <v>9</v>
      </c>
      <c r="D1112">
        <v>29.3</v>
      </c>
      <c r="E1112">
        <v>263.7</v>
      </c>
      <c r="F1112" s="1">
        <v>45701</v>
      </c>
      <c r="G1112" s="1">
        <v>45703</v>
      </c>
      <c r="H1112" t="s">
        <v>22</v>
      </c>
      <c r="I1112" t="s">
        <v>69</v>
      </c>
      <c r="J1112">
        <v>5</v>
      </c>
      <c r="K1112" t="s">
        <v>18</v>
      </c>
      <c r="L1112" t="s">
        <v>114</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1209</v>
      </c>
      <c r="B1113" t="s">
        <v>25</v>
      </c>
      <c r="C1113">
        <v>1</v>
      </c>
      <c r="D1113">
        <v>122.7</v>
      </c>
      <c r="E1113">
        <v>122.7</v>
      </c>
      <c r="F1113" s="1">
        <v>45701</v>
      </c>
      <c r="G1113" s="1">
        <v>45704</v>
      </c>
      <c r="H1113" t="s">
        <v>88</v>
      </c>
      <c r="I1113" t="s">
        <v>17</v>
      </c>
      <c r="J1113">
        <v>5</v>
      </c>
      <c r="K1113" t="s">
        <v>18</v>
      </c>
      <c r="L1113" t="s">
        <v>23</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1210</v>
      </c>
      <c r="B1114" t="s">
        <v>31</v>
      </c>
      <c r="C1114">
        <v>7</v>
      </c>
      <c r="D1114">
        <v>22.9</v>
      </c>
      <c r="E1114">
        <v>160.29999999999998</v>
      </c>
      <c r="F1114" s="1">
        <v>45701</v>
      </c>
      <c r="G1114" s="1">
        <v>45702</v>
      </c>
      <c r="H1114" t="s">
        <v>26</v>
      </c>
      <c r="I1114" t="s">
        <v>17</v>
      </c>
      <c r="J1114">
        <v>4</v>
      </c>
      <c r="K1114" t="s">
        <v>18</v>
      </c>
      <c r="L1114" t="s">
        <v>436</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1211</v>
      </c>
      <c r="B1115" t="s">
        <v>43</v>
      </c>
      <c r="C1115">
        <v>10</v>
      </c>
      <c r="D1115">
        <v>25.5</v>
      </c>
      <c r="E1115">
        <v>255</v>
      </c>
      <c r="F1115" s="1">
        <v>45701</v>
      </c>
      <c r="G1115" s="1">
        <v>45708</v>
      </c>
      <c r="H1115" t="s">
        <v>26</v>
      </c>
      <c r="I1115" t="s">
        <v>17</v>
      </c>
      <c r="J1115">
        <v>4</v>
      </c>
      <c r="K1115" t="s">
        <v>18</v>
      </c>
      <c r="L1115" t="s">
        <v>330</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1212</v>
      </c>
      <c r="B1116" t="s">
        <v>134</v>
      </c>
      <c r="C1116">
        <v>3</v>
      </c>
      <c r="D1116">
        <v>23.4</v>
      </c>
      <c r="E1116">
        <v>70.199999999999989</v>
      </c>
      <c r="F1116" s="1">
        <v>45701</v>
      </c>
      <c r="G1116" s="1">
        <v>45705</v>
      </c>
      <c r="H1116" t="s">
        <v>26</v>
      </c>
      <c r="I1116" t="s">
        <v>17</v>
      </c>
      <c r="J1116">
        <v>5</v>
      </c>
      <c r="K1116" t="s">
        <v>18</v>
      </c>
      <c r="L1116" t="s">
        <v>32</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1213</v>
      </c>
      <c r="B1117" t="s">
        <v>36</v>
      </c>
      <c r="C1117">
        <v>8</v>
      </c>
      <c r="D1117">
        <v>27.4</v>
      </c>
      <c r="E1117">
        <v>219.2</v>
      </c>
      <c r="F1117" s="1">
        <v>45701</v>
      </c>
      <c r="G1117" s="1">
        <v>45704</v>
      </c>
      <c r="H1117" t="s">
        <v>26</v>
      </c>
      <c r="I1117" t="s">
        <v>39</v>
      </c>
      <c r="J1117">
        <v>4</v>
      </c>
      <c r="K1117" t="s">
        <v>18</v>
      </c>
      <c r="L1117" t="s">
        <v>32</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1214</v>
      </c>
      <c r="B1118" t="s">
        <v>36</v>
      </c>
      <c r="C1118">
        <v>5</v>
      </c>
      <c r="D1118">
        <v>68.400000000000006</v>
      </c>
      <c r="E1118">
        <v>342</v>
      </c>
      <c r="F1118" s="1">
        <v>45701</v>
      </c>
      <c r="G1118" s="1">
        <v>45702</v>
      </c>
      <c r="H1118" t="s">
        <v>26</v>
      </c>
      <c r="I1118" t="s">
        <v>17</v>
      </c>
      <c r="J1118">
        <v>4</v>
      </c>
      <c r="K1118" t="s">
        <v>18</v>
      </c>
      <c r="L1118" t="s">
        <v>32</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1215</v>
      </c>
      <c r="B1119" t="s">
        <v>38</v>
      </c>
      <c r="C1119">
        <v>1</v>
      </c>
      <c r="D1119">
        <v>51.9</v>
      </c>
      <c r="E1119">
        <v>51.9</v>
      </c>
      <c r="F1119" s="1">
        <v>45701</v>
      </c>
      <c r="G1119" s="1">
        <v>45701</v>
      </c>
      <c r="H1119" t="s">
        <v>26</v>
      </c>
      <c r="I1119" t="s">
        <v>17</v>
      </c>
      <c r="J1119">
        <v>4</v>
      </c>
      <c r="K1119" t="s">
        <v>18</v>
      </c>
      <c r="L1119" t="s">
        <v>32</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1216</v>
      </c>
      <c r="B1120" t="s">
        <v>16</v>
      </c>
      <c r="C1120">
        <v>5</v>
      </c>
      <c r="D1120">
        <v>26.4</v>
      </c>
      <c r="E1120">
        <v>132</v>
      </c>
      <c r="F1120" s="1">
        <v>45701</v>
      </c>
      <c r="G1120" s="1">
        <v>45704</v>
      </c>
      <c r="H1120" t="s">
        <v>26</v>
      </c>
      <c r="I1120" t="s">
        <v>17</v>
      </c>
      <c r="J1120">
        <v>5</v>
      </c>
      <c r="K1120" t="s">
        <v>18</v>
      </c>
      <c r="L1120" t="s">
        <v>32</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1217</v>
      </c>
      <c r="B1121" t="s">
        <v>68</v>
      </c>
      <c r="C1121">
        <v>2</v>
      </c>
      <c r="D1121">
        <v>117</v>
      </c>
      <c r="E1121">
        <v>234</v>
      </c>
      <c r="F1121" s="1">
        <v>45701</v>
      </c>
      <c r="G1121" s="1">
        <v>45702</v>
      </c>
      <c r="H1121" t="s">
        <v>26</v>
      </c>
      <c r="I1121" t="s">
        <v>34</v>
      </c>
      <c r="J1121">
        <v>3</v>
      </c>
      <c r="K1121" t="s">
        <v>18</v>
      </c>
      <c r="L1121" t="s">
        <v>32</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1218</v>
      </c>
      <c r="B1122" t="s">
        <v>41</v>
      </c>
      <c r="C1122">
        <v>3</v>
      </c>
      <c r="D1122">
        <v>49.6</v>
      </c>
      <c r="E1122">
        <v>148.80000000000001</v>
      </c>
      <c r="F1122" s="1">
        <v>45702</v>
      </c>
      <c r="G1122" s="1">
        <v>45704</v>
      </c>
      <c r="H1122" t="s">
        <v>26</v>
      </c>
      <c r="I1122" t="s">
        <v>17</v>
      </c>
      <c r="J1122">
        <v>4</v>
      </c>
      <c r="K1122" t="s">
        <v>18</v>
      </c>
      <c r="L1122" t="s">
        <v>32</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1219</v>
      </c>
      <c r="B1123" t="s">
        <v>31</v>
      </c>
      <c r="C1123">
        <v>3</v>
      </c>
      <c r="D1123">
        <v>38</v>
      </c>
      <c r="E1123">
        <v>114</v>
      </c>
      <c r="F1123" s="1">
        <v>45702</v>
      </c>
      <c r="G1123" s="1">
        <v>45705</v>
      </c>
      <c r="H1123" t="s">
        <v>22</v>
      </c>
      <c r="I1123" t="s">
        <v>39</v>
      </c>
      <c r="J1123">
        <v>2</v>
      </c>
      <c r="K1123" t="s">
        <v>18</v>
      </c>
      <c r="L1123" t="s">
        <v>32</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1220</v>
      </c>
      <c r="B1124" t="s">
        <v>16</v>
      </c>
      <c r="C1124">
        <v>3</v>
      </c>
      <c r="D1124">
        <v>20.6</v>
      </c>
      <c r="E1124">
        <v>61.800000000000004</v>
      </c>
      <c r="F1124" s="1">
        <v>45702</v>
      </c>
      <c r="G1124" s="1">
        <v>45704</v>
      </c>
      <c r="H1124" t="s">
        <v>26</v>
      </c>
      <c r="I1124" t="s">
        <v>69</v>
      </c>
      <c r="J1124">
        <v>5</v>
      </c>
      <c r="K1124" t="s">
        <v>18</v>
      </c>
      <c r="L1124" t="s">
        <v>32</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1221</v>
      </c>
      <c r="B1125" t="s">
        <v>16</v>
      </c>
      <c r="C1125">
        <v>2</v>
      </c>
      <c r="D1125">
        <v>16</v>
      </c>
      <c r="E1125">
        <v>32</v>
      </c>
      <c r="F1125" s="1">
        <v>45702</v>
      </c>
      <c r="G1125" s="1">
        <v>45703</v>
      </c>
      <c r="H1125" t="s">
        <v>22</v>
      </c>
      <c r="I1125" t="s">
        <v>34</v>
      </c>
      <c r="J1125">
        <v>3</v>
      </c>
      <c r="K1125" t="s">
        <v>18</v>
      </c>
      <c r="L1125" t="s">
        <v>801</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1222</v>
      </c>
      <c r="B1126" t="s">
        <v>122</v>
      </c>
      <c r="C1126">
        <v>4</v>
      </c>
      <c r="D1126">
        <v>49.3</v>
      </c>
      <c r="E1126">
        <v>197.2</v>
      </c>
      <c r="F1126" s="1">
        <v>45702</v>
      </c>
      <c r="G1126" s="1">
        <v>45703</v>
      </c>
      <c r="H1126" t="s">
        <v>26</v>
      </c>
      <c r="I1126" t="s">
        <v>39</v>
      </c>
      <c r="J1126">
        <v>4</v>
      </c>
      <c r="K1126" t="s">
        <v>18</v>
      </c>
      <c r="L1126" t="s">
        <v>157</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1223</v>
      </c>
      <c r="B1127" t="s">
        <v>45</v>
      </c>
      <c r="C1127">
        <v>2</v>
      </c>
      <c r="D1127">
        <v>24.1</v>
      </c>
      <c r="E1127">
        <v>48.2</v>
      </c>
      <c r="F1127" s="1">
        <v>45702</v>
      </c>
      <c r="G1127" s="1">
        <v>45706</v>
      </c>
      <c r="H1127" t="s">
        <v>26</v>
      </c>
      <c r="I1127" t="s">
        <v>17</v>
      </c>
      <c r="J1127">
        <v>4</v>
      </c>
      <c r="K1127" t="s">
        <v>18</v>
      </c>
      <c r="L1127" t="s">
        <v>54</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1224</v>
      </c>
      <c r="B1128" t="s">
        <v>122</v>
      </c>
      <c r="C1128">
        <v>8</v>
      </c>
      <c r="D1128">
        <v>32.700000000000003</v>
      </c>
      <c r="E1128">
        <v>261.60000000000002</v>
      </c>
      <c r="F1128" s="1">
        <v>45702</v>
      </c>
      <c r="G1128" s="1">
        <v>45703</v>
      </c>
      <c r="H1128" t="s">
        <v>26</v>
      </c>
      <c r="I1128" t="s">
        <v>34</v>
      </c>
      <c r="J1128">
        <v>4</v>
      </c>
      <c r="K1128" t="s">
        <v>18</v>
      </c>
      <c r="L1128" t="s">
        <v>54</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1225</v>
      </c>
      <c r="B1129" t="s">
        <v>38</v>
      </c>
      <c r="C1129">
        <v>3</v>
      </c>
      <c r="D1129">
        <v>74.400000000000006</v>
      </c>
      <c r="E1129">
        <v>223.20000000000002</v>
      </c>
      <c r="F1129" s="1">
        <v>45702</v>
      </c>
      <c r="G1129" s="1">
        <v>45703</v>
      </c>
      <c r="H1129" t="s">
        <v>26</v>
      </c>
      <c r="I1129" t="s">
        <v>50</v>
      </c>
      <c r="J1129">
        <v>5</v>
      </c>
      <c r="K1129" t="s">
        <v>18</v>
      </c>
      <c r="L1129" t="s">
        <v>61</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1226</v>
      </c>
      <c r="B1130" t="s">
        <v>68</v>
      </c>
      <c r="C1130">
        <v>1</v>
      </c>
      <c r="D1130">
        <v>45.6</v>
      </c>
      <c r="E1130">
        <v>45.6</v>
      </c>
      <c r="F1130" s="1">
        <v>45702</v>
      </c>
      <c r="G1130" s="1">
        <v>45706</v>
      </c>
      <c r="H1130" t="s">
        <v>26</v>
      </c>
      <c r="I1130" t="s">
        <v>69</v>
      </c>
      <c r="J1130">
        <v>4</v>
      </c>
      <c r="K1130" t="s">
        <v>18</v>
      </c>
      <c r="L1130" t="s">
        <v>61</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1227</v>
      </c>
      <c r="B1131" t="s">
        <v>43</v>
      </c>
      <c r="C1131">
        <v>8</v>
      </c>
      <c r="D1131">
        <v>19.600000000000001</v>
      </c>
      <c r="E1131">
        <v>156.80000000000001</v>
      </c>
      <c r="F1131" s="1">
        <v>45702</v>
      </c>
      <c r="G1131" s="1">
        <v>45715</v>
      </c>
      <c r="H1131" t="s">
        <v>26</v>
      </c>
      <c r="I1131" t="s">
        <v>17</v>
      </c>
      <c r="J1131">
        <v>4</v>
      </c>
      <c r="K1131" t="s">
        <v>18</v>
      </c>
      <c r="L1131" t="s">
        <v>61</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1228</v>
      </c>
      <c r="B1132" t="s">
        <v>45</v>
      </c>
      <c r="C1132">
        <v>1</v>
      </c>
      <c r="D1132">
        <v>51.8</v>
      </c>
      <c r="E1132">
        <v>51.8</v>
      </c>
      <c r="F1132" s="1">
        <v>45702</v>
      </c>
      <c r="G1132" s="1">
        <v>45703</v>
      </c>
      <c r="H1132" t="s">
        <v>26</v>
      </c>
      <c r="I1132" t="s">
        <v>34</v>
      </c>
      <c r="J1132">
        <v>4</v>
      </c>
      <c r="K1132" t="s">
        <v>18</v>
      </c>
      <c r="L1132" t="s">
        <v>61</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1229</v>
      </c>
      <c r="B1133" t="s">
        <v>38</v>
      </c>
      <c r="C1133">
        <v>1</v>
      </c>
      <c r="D1133">
        <v>74.7</v>
      </c>
      <c r="E1133">
        <v>74.7</v>
      </c>
      <c r="F1133" s="1">
        <v>45702</v>
      </c>
      <c r="G1133" s="1">
        <v>45703</v>
      </c>
      <c r="H1133" t="s">
        <v>22</v>
      </c>
      <c r="I1133" t="s">
        <v>17</v>
      </c>
      <c r="J1133">
        <v>3</v>
      </c>
      <c r="K1133" t="s">
        <v>18</v>
      </c>
      <c r="L1133" t="s">
        <v>61</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1230</v>
      </c>
      <c r="B1134" t="s">
        <v>170</v>
      </c>
      <c r="C1134">
        <v>3</v>
      </c>
      <c r="D1134">
        <v>22.4</v>
      </c>
      <c r="E1134">
        <v>67.199999999999989</v>
      </c>
      <c r="F1134" s="1">
        <v>45702</v>
      </c>
      <c r="G1134" s="1">
        <v>45703</v>
      </c>
      <c r="H1134" t="s">
        <v>26</v>
      </c>
      <c r="I1134" t="s">
        <v>34</v>
      </c>
      <c r="J1134">
        <v>5</v>
      </c>
      <c r="K1134" t="s">
        <v>18</v>
      </c>
      <c r="L1134" t="s">
        <v>71</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1231</v>
      </c>
      <c r="B1135" t="s">
        <v>21</v>
      </c>
      <c r="C1135">
        <v>4</v>
      </c>
      <c r="D1135">
        <v>31.4</v>
      </c>
      <c r="E1135">
        <v>125.6</v>
      </c>
      <c r="F1135" s="1">
        <v>45702</v>
      </c>
      <c r="G1135" s="1">
        <v>45703</v>
      </c>
      <c r="H1135" t="s">
        <v>26</v>
      </c>
      <c r="I1135" t="s">
        <v>34</v>
      </c>
      <c r="J1135">
        <v>4</v>
      </c>
      <c r="K1135" t="s">
        <v>18</v>
      </c>
      <c r="L1135" t="s">
        <v>71</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1232</v>
      </c>
      <c r="B1136" t="s">
        <v>38</v>
      </c>
      <c r="C1136">
        <v>1</v>
      </c>
      <c r="D1136">
        <v>94</v>
      </c>
      <c r="E1136">
        <v>94</v>
      </c>
      <c r="F1136" s="1">
        <v>45702</v>
      </c>
      <c r="G1136" s="1">
        <v>45702</v>
      </c>
      <c r="H1136" t="s">
        <v>26</v>
      </c>
      <c r="I1136" t="s">
        <v>34</v>
      </c>
      <c r="J1136">
        <v>5</v>
      </c>
      <c r="K1136" t="s">
        <v>18</v>
      </c>
      <c r="L1136" t="s">
        <v>73</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1233</v>
      </c>
      <c r="B1137" t="s">
        <v>53</v>
      </c>
      <c r="C1137">
        <v>1</v>
      </c>
      <c r="D1137">
        <v>22.3</v>
      </c>
      <c r="E1137">
        <v>22.3</v>
      </c>
      <c r="F1137" s="1">
        <v>45702</v>
      </c>
      <c r="G1137" s="1">
        <v>45703</v>
      </c>
      <c r="H1137" t="s">
        <v>22</v>
      </c>
      <c r="I1137" t="s">
        <v>69</v>
      </c>
      <c r="J1137">
        <v>4</v>
      </c>
      <c r="K1137" t="s">
        <v>18</v>
      </c>
      <c r="L1137" t="s">
        <v>112</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1234</v>
      </c>
      <c r="B1138" t="s">
        <v>16</v>
      </c>
      <c r="C1138">
        <v>1</v>
      </c>
      <c r="D1138">
        <v>21.9</v>
      </c>
      <c r="E1138">
        <v>21.9</v>
      </c>
      <c r="F1138" s="1">
        <v>45702</v>
      </c>
      <c r="G1138" s="1">
        <v>45705</v>
      </c>
      <c r="H1138" t="s">
        <v>26</v>
      </c>
      <c r="I1138" t="s">
        <v>39</v>
      </c>
      <c r="J1138">
        <v>4</v>
      </c>
      <c r="K1138" t="s">
        <v>18</v>
      </c>
      <c r="L1138" t="s">
        <v>114</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1235</v>
      </c>
      <c r="B1139" t="s">
        <v>134</v>
      </c>
      <c r="C1139">
        <v>3</v>
      </c>
      <c r="D1139">
        <v>27</v>
      </c>
      <c r="E1139">
        <v>81</v>
      </c>
      <c r="F1139" s="1">
        <v>45702</v>
      </c>
      <c r="G1139" s="1">
        <v>45704</v>
      </c>
      <c r="H1139" t="s">
        <v>26</v>
      </c>
      <c r="I1139" t="s">
        <v>69</v>
      </c>
      <c r="J1139">
        <v>5</v>
      </c>
      <c r="K1139" t="s">
        <v>18</v>
      </c>
      <c r="L1139" t="s">
        <v>27</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1236</v>
      </c>
      <c r="B1140" t="s">
        <v>25</v>
      </c>
      <c r="C1140">
        <v>4</v>
      </c>
      <c r="D1140">
        <v>149.6</v>
      </c>
      <c r="E1140">
        <v>598.4</v>
      </c>
      <c r="F1140" s="1">
        <v>45702</v>
      </c>
      <c r="G1140" s="1">
        <v>45702</v>
      </c>
      <c r="H1140" t="s">
        <v>26</v>
      </c>
      <c r="I1140" t="s">
        <v>69</v>
      </c>
      <c r="J1140">
        <v>4</v>
      </c>
      <c r="K1140" t="s">
        <v>18</v>
      </c>
      <c r="L1140" t="s">
        <v>146</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1237</v>
      </c>
      <c r="B1141" t="s">
        <v>25</v>
      </c>
      <c r="C1141">
        <v>4</v>
      </c>
      <c r="D1141">
        <v>129.1</v>
      </c>
      <c r="E1141">
        <v>516.4</v>
      </c>
      <c r="F1141" s="1">
        <v>45702</v>
      </c>
      <c r="G1141" s="1">
        <v>45712</v>
      </c>
      <c r="H1141" t="s">
        <v>22</v>
      </c>
      <c r="I1141" t="s">
        <v>17</v>
      </c>
      <c r="J1141">
        <v>3</v>
      </c>
      <c r="K1141" t="s">
        <v>18</v>
      </c>
      <c r="L1141" t="s">
        <v>32</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1238</v>
      </c>
      <c r="B1142" t="s">
        <v>21</v>
      </c>
      <c r="C1142">
        <v>12</v>
      </c>
      <c r="D1142">
        <v>40.4</v>
      </c>
      <c r="E1142">
        <v>484.79999999999995</v>
      </c>
      <c r="F1142" s="1">
        <v>45702</v>
      </c>
      <c r="G1142" s="1">
        <v>45703</v>
      </c>
      <c r="H1142" t="s">
        <v>22</v>
      </c>
      <c r="I1142" t="s">
        <v>34</v>
      </c>
      <c r="J1142">
        <v>3</v>
      </c>
      <c r="K1142" t="s">
        <v>18</v>
      </c>
      <c r="L1142" t="s">
        <v>32</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1239</v>
      </c>
      <c r="B1143" t="s">
        <v>31</v>
      </c>
      <c r="C1143">
        <v>3</v>
      </c>
      <c r="D1143">
        <v>48.5</v>
      </c>
      <c r="E1143">
        <v>145.5</v>
      </c>
      <c r="F1143" s="1">
        <v>45702</v>
      </c>
      <c r="G1143" s="1">
        <v>45704</v>
      </c>
      <c r="H1143" t="s">
        <v>26</v>
      </c>
      <c r="I1143" t="s">
        <v>17</v>
      </c>
      <c r="J1143">
        <v>2</v>
      </c>
      <c r="K1143" t="s">
        <v>18</v>
      </c>
      <c r="L1143" t="s">
        <v>32</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1240</v>
      </c>
      <c r="B1144" t="s">
        <v>45</v>
      </c>
      <c r="C1144">
        <v>2</v>
      </c>
      <c r="D1144">
        <v>37.6</v>
      </c>
      <c r="E1144">
        <v>75.2</v>
      </c>
      <c r="F1144" s="1">
        <v>45702</v>
      </c>
      <c r="G1144" s="1">
        <v>45704</v>
      </c>
      <c r="H1144" t="s">
        <v>26</v>
      </c>
      <c r="I1144" t="s">
        <v>34</v>
      </c>
      <c r="J1144">
        <v>5</v>
      </c>
      <c r="K1144" t="s">
        <v>18</v>
      </c>
      <c r="L1144" t="s">
        <v>32</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1241</v>
      </c>
      <c r="B1145" t="s">
        <v>43</v>
      </c>
      <c r="C1145">
        <v>2</v>
      </c>
      <c r="D1145">
        <v>19.600000000000001</v>
      </c>
      <c r="E1145">
        <v>39.200000000000003</v>
      </c>
      <c r="F1145" s="1">
        <v>45702</v>
      </c>
      <c r="G1145" s="1">
        <v>45703</v>
      </c>
      <c r="H1145" t="s">
        <v>22</v>
      </c>
      <c r="I1145" t="s">
        <v>50</v>
      </c>
      <c r="J1145">
        <v>2</v>
      </c>
      <c r="K1145" t="s">
        <v>18</v>
      </c>
      <c r="L1145" t="s">
        <v>544</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1242</v>
      </c>
      <c r="B1146" t="s">
        <v>43</v>
      </c>
      <c r="C1146">
        <v>5</v>
      </c>
      <c r="D1146">
        <v>18.5</v>
      </c>
      <c r="E1146">
        <v>92.5</v>
      </c>
      <c r="F1146" s="1">
        <v>45702</v>
      </c>
      <c r="G1146" s="1">
        <v>45703</v>
      </c>
      <c r="H1146" t="s">
        <v>26</v>
      </c>
      <c r="I1146" t="s">
        <v>39</v>
      </c>
      <c r="J1146">
        <v>3</v>
      </c>
      <c r="K1146" t="s">
        <v>18</v>
      </c>
      <c r="L1146" t="s">
        <v>54</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1243</v>
      </c>
      <c r="B1147" t="s">
        <v>36</v>
      </c>
      <c r="C1147">
        <v>3</v>
      </c>
      <c r="D1147">
        <v>25.5</v>
      </c>
      <c r="E1147">
        <v>76.5</v>
      </c>
      <c r="F1147" s="1">
        <v>45702</v>
      </c>
      <c r="G1147" s="1">
        <v>45704</v>
      </c>
      <c r="H1147" t="s">
        <v>26</v>
      </c>
      <c r="I1147" t="s">
        <v>69</v>
      </c>
      <c r="J1147">
        <v>3</v>
      </c>
      <c r="K1147" t="s">
        <v>18</v>
      </c>
      <c r="L1147" t="s">
        <v>54</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1244</v>
      </c>
      <c r="B1148" t="s">
        <v>25</v>
      </c>
      <c r="C1148">
        <v>2</v>
      </c>
      <c r="D1148">
        <v>94.7</v>
      </c>
      <c r="E1148">
        <v>189.4</v>
      </c>
      <c r="F1148" s="1">
        <v>45702</v>
      </c>
      <c r="G1148" s="1">
        <v>45703</v>
      </c>
      <c r="H1148" t="s">
        <v>26</v>
      </c>
      <c r="I1148" t="s">
        <v>39</v>
      </c>
      <c r="J1148">
        <v>4</v>
      </c>
      <c r="K1148" t="s">
        <v>18</v>
      </c>
      <c r="L1148" t="s">
        <v>341</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1245</v>
      </c>
      <c r="B1149" t="s">
        <v>21</v>
      </c>
      <c r="C1149">
        <v>6</v>
      </c>
      <c r="D1149">
        <v>38.799999999999997</v>
      </c>
      <c r="E1149">
        <v>232.79999999999998</v>
      </c>
      <c r="F1149" s="1">
        <v>45702</v>
      </c>
      <c r="G1149" s="1">
        <v>45707</v>
      </c>
      <c r="H1149" t="s">
        <v>26</v>
      </c>
      <c r="I1149" t="s">
        <v>39</v>
      </c>
      <c r="J1149">
        <v>5</v>
      </c>
      <c r="K1149" t="s">
        <v>18</v>
      </c>
      <c r="L1149" t="s">
        <v>61</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1246</v>
      </c>
      <c r="B1150" t="s">
        <v>45</v>
      </c>
      <c r="C1150">
        <v>2</v>
      </c>
      <c r="D1150">
        <v>49.4</v>
      </c>
      <c r="E1150">
        <v>98.8</v>
      </c>
      <c r="F1150" s="1">
        <v>45703</v>
      </c>
      <c r="G1150" s="1">
        <v>45711</v>
      </c>
      <c r="H1150" t="s">
        <v>22</v>
      </c>
      <c r="I1150" t="s">
        <v>69</v>
      </c>
      <c r="J1150">
        <v>3</v>
      </c>
      <c r="K1150" t="s">
        <v>18</v>
      </c>
      <c r="L1150" t="s">
        <v>61</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1247</v>
      </c>
      <c r="B1151" t="s">
        <v>41</v>
      </c>
      <c r="C1151">
        <v>3</v>
      </c>
      <c r="D1151">
        <v>68</v>
      </c>
      <c r="E1151">
        <v>204</v>
      </c>
      <c r="F1151" s="1">
        <v>45703</v>
      </c>
      <c r="G1151" s="1">
        <v>45706</v>
      </c>
      <c r="H1151" t="s">
        <v>22</v>
      </c>
      <c r="I1151" t="s">
        <v>17</v>
      </c>
      <c r="J1151">
        <v>5</v>
      </c>
      <c r="K1151" t="s">
        <v>18</v>
      </c>
      <c r="L1151" t="s">
        <v>61</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1248</v>
      </c>
      <c r="B1152" t="s">
        <v>122</v>
      </c>
      <c r="C1152">
        <v>7</v>
      </c>
      <c r="D1152">
        <v>63.7</v>
      </c>
      <c r="E1152">
        <v>445.90000000000003</v>
      </c>
      <c r="F1152" s="1">
        <v>45703</v>
      </c>
      <c r="G1152" s="1">
        <v>45704</v>
      </c>
      <c r="H1152" t="s">
        <v>26</v>
      </c>
      <c r="I1152" t="s">
        <v>39</v>
      </c>
      <c r="J1152">
        <v>5</v>
      </c>
      <c r="K1152" t="s">
        <v>18</v>
      </c>
      <c r="L1152" t="s">
        <v>61</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1249</v>
      </c>
      <c r="B1153" t="s">
        <v>53</v>
      </c>
      <c r="C1153">
        <v>2</v>
      </c>
      <c r="D1153">
        <v>66.2</v>
      </c>
      <c r="E1153">
        <v>132.4</v>
      </c>
      <c r="F1153" s="1">
        <v>45703</v>
      </c>
      <c r="G1153" s="1">
        <v>45704</v>
      </c>
      <c r="H1153" t="s">
        <v>26</v>
      </c>
      <c r="I1153" t="s">
        <v>69</v>
      </c>
      <c r="J1153">
        <v>5</v>
      </c>
      <c r="K1153" t="s">
        <v>18</v>
      </c>
      <c r="L1153" t="s">
        <v>102</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1250</v>
      </c>
      <c r="B1154" t="s">
        <v>68</v>
      </c>
      <c r="C1154">
        <v>3</v>
      </c>
      <c r="D1154">
        <v>32.299999999999997</v>
      </c>
      <c r="E1154">
        <v>96.899999999999991</v>
      </c>
      <c r="F1154" s="1">
        <v>45703</v>
      </c>
      <c r="G1154" s="1">
        <v>45704</v>
      </c>
      <c r="H1154" t="s">
        <v>88</v>
      </c>
      <c r="I1154" t="s">
        <v>39</v>
      </c>
      <c r="J1154">
        <v>3</v>
      </c>
      <c r="K1154" t="s">
        <v>18</v>
      </c>
      <c r="L1154" t="s">
        <v>71</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1251</v>
      </c>
      <c r="B1155" t="s">
        <v>31</v>
      </c>
      <c r="C1155">
        <v>2</v>
      </c>
      <c r="D1155">
        <v>66.900000000000006</v>
      </c>
      <c r="E1155">
        <v>133.80000000000001</v>
      </c>
      <c r="F1155" s="1">
        <v>45703</v>
      </c>
      <c r="G1155" s="1">
        <v>45706</v>
      </c>
      <c r="H1155" t="s">
        <v>22</v>
      </c>
      <c r="I1155" t="s">
        <v>34</v>
      </c>
      <c r="J1155">
        <v>4</v>
      </c>
      <c r="K1155" t="s">
        <v>18</v>
      </c>
      <c r="L1155" t="s">
        <v>76</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1252</v>
      </c>
      <c r="B1156" t="s">
        <v>31</v>
      </c>
      <c r="C1156">
        <v>12</v>
      </c>
      <c r="D1156">
        <v>25.2</v>
      </c>
      <c r="E1156">
        <v>302.39999999999998</v>
      </c>
      <c r="F1156" s="1">
        <v>45703</v>
      </c>
      <c r="G1156" s="1">
        <v>45707</v>
      </c>
      <c r="H1156" t="s">
        <v>26</v>
      </c>
      <c r="I1156" t="s">
        <v>17</v>
      </c>
      <c r="J1156">
        <v>3</v>
      </c>
      <c r="K1156" t="s">
        <v>18</v>
      </c>
      <c r="L1156" t="s">
        <v>76</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1253</v>
      </c>
      <c r="B1157" t="s">
        <v>53</v>
      </c>
      <c r="C1157">
        <v>6</v>
      </c>
      <c r="D1157">
        <v>29.5</v>
      </c>
      <c r="E1157">
        <v>177</v>
      </c>
      <c r="F1157" s="1">
        <v>45703</v>
      </c>
      <c r="G1157" s="1">
        <v>45704</v>
      </c>
      <c r="H1157" t="s">
        <v>22</v>
      </c>
      <c r="I1157" t="s">
        <v>39</v>
      </c>
      <c r="J1157">
        <v>4</v>
      </c>
      <c r="K1157" t="s">
        <v>18</v>
      </c>
      <c r="L1157" t="s">
        <v>76</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1254</v>
      </c>
      <c r="B1158" t="s">
        <v>43</v>
      </c>
      <c r="C1158">
        <v>5</v>
      </c>
      <c r="D1158">
        <v>21.6</v>
      </c>
      <c r="E1158">
        <v>108</v>
      </c>
      <c r="F1158" s="1">
        <v>45703</v>
      </c>
      <c r="G1158" s="1">
        <v>45705</v>
      </c>
      <c r="H1158" t="s">
        <v>26</v>
      </c>
      <c r="I1158" t="s">
        <v>17</v>
      </c>
      <c r="J1158">
        <v>5</v>
      </c>
      <c r="K1158" t="s">
        <v>18</v>
      </c>
      <c r="L1158" t="s">
        <v>308</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1255</v>
      </c>
      <c r="B1159" t="s">
        <v>68</v>
      </c>
      <c r="C1159">
        <v>3</v>
      </c>
      <c r="D1159">
        <v>69</v>
      </c>
      <c r="E1159">
        <v>207</v>
      </c>
      <c r="F1159" s="1">
        <v>45703</v>
      </c>
      <c r="G1159" s="1">
        <v>45704</v>
      </c>
      <c r="H1159" t="s">
        <v>26</v>
      </c>
      <c r="I1159" t="s">
        <v>17</v>
      </c>
      <c r="J1159">
        <v>4</v>
      </c>
      <c r="K1159" t="s">
        <v>18</v>
      </c>
      <c r="L1159" t="s">
        <v>107</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1256</v>
      </c>
      <c r="B1160" t="s">
        <v>41</v>
      </c>
      <c r="C1160">
        <v>2</v>
      </c>
      <c r="D1160">
        <v>115</v>
      </c>
      <c r="E1160">
        <v>230</v>
      </c>
      <c r="F1160" s="1">
        <v>45703</v>
      </c>
      <c r="G1160" s="1">
        <v>45707</v>
      </c>
      <c r="H1160" t="s">
        <v>22</v>
      </c>
      <c r="I1160" t="s">
        <v>17</v>
      </c>
      <c r="J1160">
        <v>5</v>
      </c>
      <c r="K1160" t="s">
        <v>18</v>
      </c>
      <c r="L1160" t="s">
        <v>107</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1257</v>
      </c>
      <c r="B1161" t="s">
        <v>25</v>
      </c>
      <c r="C1161">
        <v>2</v>
      </c>
      <c r="D1161">
        <v>109.3</v>
      </c>
      <c r="E1161">
        <v>218.6</v>
      </c>
      <c r="F1161" s="1">
        <v>45703</v>
      </c>
      <c r="G1161" s="1">
        <v>45705</v>
      </c>
      <c r="I1161" t="s">
        <v>50</v>
      </c>
      <c r="J1161">
        <v>3</v>
      </c>
      <c r="K1161" t="s">
        <v>18</v>
      </c>
      <c r="L1161" t="s">
        <v>109</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1258</v>
      </c>
      <c r="B1162" t="s">
        <v>45</v>
      </c>
      <c r="C1162">
        <v>2</v>
      </c>
      <c r="D1162">
        <v>66.599999999999994</v>
      </c>
      <c r="E1162">
        <v>133.19999999999999</v>
      </c>
      <c r="F1162" s="1">
        <v>45703</v>
      </c>
      <c r="G1162" s="1">
        <v>45706</v>
      </c>
      <c r="I1162" t="s">
        <v>69</v>
      </c>
      <c r="J1162">
        <v>3</v>
      </c>
      <c r="K1162" t="s">
        <v>18</v>
      </c>
      <c r="L1162" t="s">
        <v>109</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1259</v>
      </c>
      <c r="B1163" t="s">
        <v>68</v>
      </c>
      <c r="C1163">
        <v>5</v>
      </c>
      <c r="D1163">
        <v>47.7</v>
      </c>
      <c r="E1163">
        <v>238.5</v>
      </c>
      <c r="F1163" s="1">
        <v>45703</v>
      </c>
      <c r="G1163" s="1">
        <v>45704</v>
      </c>
      <c r="H1163" t="s">
        <v>22</v>
      </c>
      <c r="I1163" t="s">
        <v>50</v>
      </c>
      <c r="J1163">
        <v>5</v>
      </c>
      <c r="K1163" t="s">
        <v>18</v>
      </c>
      <c r="L1163" t="s">
        <v>114</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1260</v>
      </c>
      <c r="B1164" t="s">
        <v>43</v>
      </c>
      <c r="C1164">
        <v>2</v>
      </c>
      <c r="D1164">
        <v>46</v>
      </c>
      <c r="E1164">
        <v>92</v>
      </c>
      <c r="F1164" s="1">
        <v>45703</v>
      </c>
      <c r="G1164" s="1">
        <v>45704</v>
      </c>
      <c r="H1164" t="s">
        <v>26</v>
      </c>
      <c r="I1164" t="s">
        <v>69</v>
      </c>
      <c r="J1164">
        <v>2</v>
      </c>
      <c r="K1164" t="s">
        <v>18</v>
      </c>
      <c r="L1164" t="s">
        <v>146</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1261</v>
      </c>
      <c r="B1165" t="s">
        <v>21</v>
      </c>
      <c r="C1165">
        <v>6</v>
      </c>
      <c r="D1165">
        <v>39.299999999999997</v>
      </c>
      <c r="E1165">
        <v>235.79999999999998</v>
      </c>
      <c r="F1165" s="1">
        <v>45703</v>
      </c>
      <c r="G1165" s="1">
        <v>45705</v>
      </c>
      <c r="H1165" t="s">
        <v>22</v>
      </c>
      <c r="I1165" t="s">
        <v>50</v>
      </c>
      <c r="J1165">
        <v>5</v>
      </c>
      <c r="K1165" t="s">
        <v>18</v>
      </c>
      <c r="L1165" t="s">
        <v>32</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1262</v>
      </c>
      <c r="B1166" t="s">
        <v>45</v>
      </c>
      <c r="C1166">
        <v>1</v>
      </c>
      <c r="D1166">
        <v>70.2</v>
      </c>
      <c r="E1166">
        <v>70.2</v>
      </c>
      <c r="F1166" s="1">
        <v>45703</v>
      </c>
      <c r="G1166" s="1">
        <v>45704</v>
      </c>
      <c r="H1166" t="s">
        <v>26</v>
      </c>
      <c r="I1166" t="s">
        <v>17</v>
      </c>
      <c r="J1166">
        <v>2</v>
      </c>
      <c r="K1166" t="s">
        <v>18</v>
      </c>
      <c r="L1166" t="s">
        <v>32</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1263</v>
      </c>
      <c r="B1167" t="s">
        <v>29</v>
      </c>
      <c r="C1167">
        <v>4</v>
      </c>
      <c r="D1167">
        <v>71.5</v>
      </c>
      <c r="E1167">
        <v>286</v>
      </c>
      <c r="F1167" s="1">
        <v>45703</v>
      </c>
      <c r="G1167" s="1">
        <v>45703</v>
      </c>
      <c r="H1167" t="s">
        <v>26</v>
      </c>
      <c r="I1167" t="s">
        <v>34</v>
      </c>
      <c r="J1167">
        <v>5</v>
      </c>
      <c r="K1167" t="s">
        <v>18</v>
      </c>
      <c r="L1167" t="s">
        <v>32</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1264</v>
      </c>
      <c r="B1168" t="s">
        <v>53</v>
      </c>
      <c r="C1168">
        <v>7</v>
      </c>
      <c r="D1168">
        <v>31</v>
      </c>
      <c r="E1168">
        <v>217</v>
      </c>
      <c r="F1168" s="1">
        <v>45703</v>
      </c>
      <c r="G1168" s="1">
        <v>45710</v>
      </c>
      <c r="H1168" t="s">
        <v>26</v>
      </c>
      <c r="I1168" t="s">
        <v>50</v>
      </c>
      <c r="J1168">
        <v>5</v>
      </c>
      <c r="K1168" t="s">
        <v>18</v>
      </c>
      <c r="L1168" t="s">
        <v>32</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1265</v>
      </c>
      <c r="B1169" t="s">
        <v>25</v>
      </c>
      <c r="C1169">
        <v>5</v>
      </c>
      <c r="D1169">
        <v>68.2</v>
      </c>
      <c r="E1169">
        <v>341</v>
      </c>
      <c r="F1169" s="1">
        <v>45703</v>
      </c>
      <c r="G1169" s="1">
        <v>45708</v>
      </c>
      <c r="H1169" t="s">
        <v>26</v>
      </c>
      <c r="I1169" t="s">
        <v>17</v>
      </c>
      <c r="J1169">
        <v>5</v>
      </c>
      <c r="K1169" t="s">
        <v>18</v>
      </c>
      <c r="L1169" t="s">
        <v>32</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1266</v>
      </c>
      <c r="B1170" t="s">
        <v>25</v>
      </c>
      <c r="C1170">
        <v>1</v>
      </c>
      <c r="D1170">
        <v>91.4</v>
      </c>
      <c r="E1170">
        <v>91.4</v>
      </c>
      <c r="F1170" s="1">
        <v>45703</v>
      </c>
      <c r="G1170" s="1">
        <v>45707</v>
      </c>
      <c r="H1170" t="s">
        <v>26</v>
      </c>
      <c r="I1170" t="s">
        <v>34</v>
      </c>
      <c r="J1170">
        <v>5</v>
      </c>
      <c r="K1170" t="s">
        <v>18</v>
      </c>
      <c r="L1170" t="s">
        <v>54</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1267</v>
      </c>
      <c r="B1171" t="s">
        <v>38</v>
      </c>
      <c r="C1171">
        <v>10</v>
      </c>
      <c r="D1171">
        <v>112.9</v>
      </c>
      <c r="E1171">
        <v>1129</v>
      </c>
      <c r="F1171" s="1">
        <v>45703</v>
      </c>
      <c r="G1171" s="1">
        <v>45704</v>
      </c>
      <c r="H1171" t="s">
        <v>26</v>
      </c>
      <c r="I1171" t="s">
        <v>17</v>
      </c>
      <c r="J1171">
        <v>4</v>
      </c>
      <c r="K1171" t="s">
        <v>18</v>
      </c>
      <c r="L1171" t="s">
        <v>54</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1268</v>
      </c>
      <c r="B1172" t="s">
        <v>134</v>
      </c>
      <c r="C1172">
        <v>9</v>
      </c>
      <c r="D1172">
        <v>33.700000000000003</v>
      </c>
      <c r="E1172">
        <v>303.3</v>
      </c>
      <c r="F1172" s="1">
        <v>45703</v>
      </c>
      <c r="G1172" s="1">
        <v>45704</v>
      </c>
      <c r="H1172" t="s">
        <v>26</v>
      </c>
      <c r="I1172" t="s">
        <v>34</v>
      </c>
      <c r="J1172">
        <v>5</v>
      </c>
      <c r="K1172" t="s">
        <v>18</v>
      </c>
      <c r="L1172" t="s">
        <v>61</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1269</v>
      </c>
      <c r="B1173" t="s">
        <v>122</v>
      </c>
      <c r="C1173">
        <v>10</v>
      </c>
      <c r="D1173">
        <v>35.299999999999997</v>
      </c>
      <c r="E1173">
        <v>353</v>
      </c>
      <c r="F1173" s="1">
        <v>45703</v>
      </c>
      <c r="G1173" s="1">
        <v>45705</v>
      </c>
      <c r="H1173" t="s">
        <v>22</v>
      </c>
      <c r="I1173" t="s">
        <v>39</v>
      </c>
      <c r="J1173">
        <v>4</v>
      </c>
      <c r="K1173" t="s">
        <v>18</v>
      </c>
      <c r="L1173" t="s">
        <v>61</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1270</v>
      </c>
      <c r="B1174" t="s">
        <v>145</v>
      </c>
      <c r="C1174">
        <v>3</v>
      </c>
      <c r="D1174">
        <v>45.6</v>
      </c>
      <c r="E1174">
        <v>136.80000000000001</v>
      </c>
      <c r="F1174" s="1">
        <v>45703</v>
      </c>
      <c r="G1174" s="1">
        <v>45707</v>
      </c>
      <c r="H1174" t="s">
        <v>22</v>
      </c>
      <c r="I1174" t="s">
        <v>50</v>
      </c>
      <c r="J1174">
        <v>4</v>
      </c>
      <c r="K1174" t="s">
        <v>18</v>
      </c>
      <c r="L1174" t="s">
        <v>61</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1271</v>
      </c>
      <c r="B1175" t="s">
        <v>41</v>
      </c>
      <c r="C1175">
        <v>7</v>
      </c>
      <c r="D1175">
        <v>47.1</v>
      </c>
      <c r="E1175">
        <v>329.7</v>
      </c>
      <c r="F1175" s="1">
        <v>45703</v>
      </c>
      <c r="G1175" s="1">
        <v>45704</v>
      </c>
      <c r="H1175" t="s">
        <v>26</v>
      </c>
      <c r="I1175" t="s">
        <v>69</v>
      </c>
      <c r="J1175">
        <v>5</v>
      </c>
      <c r="K1175" t="s">
        <v>18</v>
      </c>
      <c r="L1175" t="s">
        <v>71</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1272</v>
      </c>
      <c r="B1176" t="s">
        <v>43</v>
      </c>
      <c r="C1176">
        <v>5</v>
      </c>
      <c r="D1176">
        <v>16.2</v>
      </c>
      <c r="E1176">
        <v>81</v>
      </c>
      <c r="F1176" s="1">
        <v>45703</v>
      </c>
      <c r="G1176" s="1">
        <v>45705</v>
      </c>
      <c r="H1176" t="s">
        <v>26</v>
      </c>
      <c r="I1176" t="s">
        <v>50</v>
      </c>
      <c r="J1176">
        <v>5</v>
      </c>
      <c r="K1176" t="s">
        <v>18</v>
      </c>
      <c r="L1176" t="s">
        <v>109</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1273</v>
      </c>
      <c r="B1177" t="s">
        <v>21</v>
      </c>
      <c r="C1177">
        <v>2</v>
      </c>
      <c r="D1177">
        <v>159.69999999999999</v>
      </c>
      <c r="E1177">
        <v>319.39999999999998</v>
      </c>
      <c r="F1177" s="1">
        <v>45704</v>
      </c>
      <c r="G1177" s="1">
        <v>45705</v>
      </c>
      <c r="H1177" t="s">
        <v>22</v>
      </c>
      <c r="I1177" t="s">
        <v>69</v>
      </c>
      <c r="J1177">
        <v>4</v>
      </c>
      <c r="K1177" t="s">
        <v>18</v>
      </c>
      <c r="L1177" t="s">
        <v>81</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1274</v>
      </c>
      <c r="B1178" t="s">
        <v>43</v>
      </c>
      <c r="C1178">
        <v>4</v>
      </c>
      <c r="D1178">
        <v>19</v>
      </c>
      <c r="E1178">
        <v>76</v>
      </c>
      <c r="F1178" s="1">
        <v>45704</v>
      </c>
      <c r="G1178" s="1">
        <v>45711</v>
      </c>
      <c r="H1178" t="s">
        <v>26</v>
      </c>
      <c r="I1178" t="s">
        <v>39</v>
      </c>
      <c r="J1178">
        <v>5</v>
      </c>
      <c r="K1178" t="s">
        <v>18</v>
      </c>
      <c r="L1178" t="s">
        <v>114</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1275</v>
      </c>
      <c r="B1179" t="s">
        <v>38</v>
      </c>
      <c r="C1179">
        <v>6</v>
      </c>
      <c r="D1179">
        <v>91.1</v>
      </c>
      <c r="E1179">
        <v>546.59999999999991</v>
      </c>
      <c r="F1179" s="1">
        <v>45704</v>
      </c>
      <c r="G1179" s="1">
        <v>45713</v>
      </c>
      <c r="H1179" t="s">
        <v>26</v>
      </c>
      <c r="I1179" t="s">
        <v>69</v>
      </c>
      <c r="J1179">
        <v>4</v>
      </c>
      <c r="K1179" t="s">
        <v>18</v>
      </c>
      <c r="L1179" t="s">
        <v>114</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1276</v>
      </c>
      <c r="B1180" t="s">
        <v>25</v>
      </c>
      <c r="C1180">
        <v>5</v>
      </c>
      <c r="D1180">
        <v>94.1</v>
      </c>
      <c r="E1180">
        <v>470.5</v>
      </c>
      <c r="F1180" s="1">
        <v>45704</v>
      </c>
      <c r="G1180" s="1">
        <v>45707</v>
      </c>
      <c r="I1180" t="s">
        <v>34</v>
      </c>
      <c r="J1180">
        <v>3</v>
      </c>
      <c r="K1180" t="s">
        <v>18</v>
      </c>
      <c r="L1180" t="s">
        <v>114</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1277</v>
      </c>
      <c r="B1181" t="s">
        <v>45</v>
      </c>
      <c r="C1181">
        <v>9</v>
      </c>
      <c r="D1181">
        <v>21.1</v>
      </c>
      <c r="E1181">
        <v>189.9</v>
      </c>
      <c r="F1181" s="1">
        <v>45704</v>
      </c>
      <c r="G1181" s="1">
        <v>45705</v>
      </c>
      <c r="H1181" t="s">
        <v>26</v>
      </c>
      <c r="I1181" t="s">
        <v>69</v>
      </c>
      <c r="J1181">
        <v>5</v>
      </c>
      <c r="K1181" t="s">
        <v>18</v>
      </c>
      <c r="L1181" t="s">
        <v>966</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1278</v>
      </c>
      <c r="B1182" t="s">
        <v>43</v>
      </c>
      <c r="C1182">
        <v>7</v>
      </c>
      <c r="D1182">
        <v>15.3</v>
      </c>
      <c r="E1182">
        <v>107.10000000000001</v>
      </c>
      <c r="F1182" s="1">
        <v>45704</v>
      </c>
      <c r="G1182" s="1">
        <v>45712</v>
      </c>
      <c r="H1182" t="s">
        <v>26</v>
      </c>
      <c r="I1182" t="s">
        <v>39</v>
      </c>
      <c r="J1182">
        <v>4</v>
      </c>
      <c r="K1182" t="s">
        <v>18</v>
      </c>
      <c r="L1182" t="s">
        <v>23</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1279</v>
      </c>
      <c r="B1183" t="s">
        <v>122</v>
      </c>
      <c r="C1183">
        <v>4</v>
      </c>
      <c r="D1183">
        <v>21.3</v>
      </c>
      <c r="E1183">
        <v>85.2</v>
      </c>
      <c r="F1183" s="1">
        <v>45704</v>
      </c>
      <c r="G1183" s="1">
        <v>45707</v>
      </c>
      <c r="H1183" t="s">
        <v>22</v>
      </c>
      <c r="I1183" t="s">
        <v>34</v>
      </c>
      <c r="J1183">
        <v>4</v>
      </c>
      <c r="K1183" t="s">
        <v>18</v>
      </c>
      <c r="L1183" t="s">
        <v>32</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1280</v>
      </c>
      <c r="B1184" t="s">
        <v>16</v>
      </c>
      <c r="C1184">
        <v>2</v>
      </c>
      <c r="D1184">
        <v>23.2</v>
      </c>
      <c r="E1184">
        <v>46.4</v>
      </c>
      <c r="F1184" s="1">
        <v>45704</v>
      </c>
      <c r="G1184" s="1">
        <v>45704</v>
      </c>
      <c r="I1184" t="s">
        <v>50</v>
      </c>
      <c r="J1184">
        <v>3</v>
      </c>
      <c r="K1184" t="s">
        <v>18</v>
      </c>
      <c r="L1184" t="s">
        <v>32</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1281</v>
      </c>
      <c r="B1185" t="s">
        <v>31</v>
      </c>
      <c r="C1185">
        <v>3</v>
      </c>
      <c r="D1185">
        <v>25.7</v>
      </c>
      <c r="E1185">
        <v>77.099999999999994</v>
      </c>
      <c r="F1185" s="1">
        <v>45704</v>
      </c>
      <c r="G1185" s="1">
        <v>45705</v>
      </c>
      <c r="H1185" t="s">
        <v>22</v>
      </c>
      <c r="I1185" t="s">
        <v>69</v>
      </c>
      <c r="J1185">
        <v>4</v>
      </c>
      <c r="K1185" t="s">
        <v>18</v>
      </c>
      <c r="L1185" t="s">
        <v>32</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1282</v>
      </c>
      <c r="B1186" t="s">
        <v>16</v>
      </c>
      <c r="C1186">
        <v>9</v>
      </c>
      <c r="D1186">
        <v>31.6</v>
      </c>
      <c r="E1186">
        <v>284.40000000000003</v>
      </c>
      <c r="F1186" s="1">
        <v>45704</v>
      </c>
      <c r="G1186" s="1">
        <v>45706</v>
      </c>
      <c r="H1186" t="s">
        <v>26</v>
      </c>
      <c r="I1186" t="s">
        <v>17</v>
      </c>
      <c r="J1186">
        <v>4</v>
      </c>
      <c r="K1186" t="s">
        <v>18</v>
      </c>
      <c r="L1186" t="s">
        <v>32</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1283</v>
      </c>
      <c r="B1187" t="s">
        <v>38</v>
      </c>
      <c r="C1187">
        <v>1</v>
      </c>
      <c r="D1187">
        <v>64.2</v>
      </c>
      <c r="E1187">
        <v>64.2</v>
      </c>
      <c r="F1187" s="1">
        <v>45704</v>
      </c>
      <c r="G1187" s="1">
        <v>45709</v>
      </c>
      <c r="H1187" t="s">
        <v>22</v>
      </c>
      <c r="I1187" t="s">
        <v>17</v>
      </c>
      <c r="J1187">
        <v>4</v>
      </c>
      <c r="K1187" t="s">
        <v>18</v>
      </c>
      <c r="L1187" t="s">
        <v>32</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1284</v>
      </c>
      <c r="B1188" t="s">
        <v>43</v>
      </c>
      <c r="C1188">
        <v>2</v>
      </c>
      <c r="D1188">
        <v>55.8</v>
      </c>
      <c r="E1188">
        <v>111.6</v>
      </c>
      <c r="F1188" s="1">
        <v>45704</v>
      </c>
      <c r="G1188" s="1">
        <v>45706</v>
      </c>
      <c r="I1188" t="s">
        <v>17</v>
      </c>
      <c r="J1188">
        <v>4</v>
      </c>
      <c r="K1188" t="s">
        <v>18</v>
      </c>
      <c r="L1188" t="s">
        <v>32</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1285</v>
      </c>
      <c r="B1189" t="s">
        <v>43</v>
      </c>
      <c r="C1189">
        <v>2</v>
      </c>
      <c r="D1189">
        <v>28.1</v>
      </c>
      <c r="E1189">
        <v>56.2</v>
      </c>
      <c r="F1189" s="1">
        <v>45704</v>
      </c>
      <c r="G1189" s="1">
        <v>45705</v>
      </c>
      <c r="H1189" t="s">
        <v>26</v>
      </c>
      <c r="I1189" t="s">
        <v>69</v>
      </c>
      <c r="J1189">
        <v>3</v>
      </c>
      <c r="K1189" t="s">
        <v>18</v>
      </c>
      <c r="L1189" t="s">
        <v>32</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1286</v>
      </c>
      <c r="B1190" t="s">
        <v>16</v>
      </c>
      <c r="C1190">
        <v>2</v>
      </c>
      <c r="D1190">
        <v>11.6</v>
      </c>
      <c r="E1190">
        <v>23.2</v>
      </c>
      <c r="F1190" s="1">
        <v>45704</v>
      </c>
      <c r="G1190" s="1">
        <v>45706</v>
      </c>
      <c r="H1190" t="s">
        <v>26</v>
      </c>
      <c r="I1190" t="s">
        <v>34</v>
      </c>
      <c r="J1190">
        <v>4</v>
      </c>
      <c r="K1190" t="s">
        <v>18</v>
      </c>
      <c r="L1190" t="s">
        <v>185</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1287</v>
      </c>
      <c r="B1191" t="s">
        <v>36</v>
      </c>
      <c r="C1191">
        <v>3</v>
      </c>
      <c r="D1191">
        <v>50.4</v>
      </c>
      <c r="E1191">
        <v>151.19999999999999</v>
      </c>
      <c r="F1191" s="1">
        <v>45704</v>
      </c>
      <c r="G1191" s="1">
        <v>45705</v>
      </c>
      <c r="H1191" t="s">
        <v>22</v>
      </c>
      <c r="I1191" t="s">
        <v>69</v>
      </c>
      <c r="J1191">
        <v>5</v>
      </c>
      <c r="K1191" t="s">
        <v>18</v>
      </c>
      <c r="L1191" t="s">
        <v>187</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1288</v>
      </c>
      <c r="B1192" t="s">
        <v>38</v>
      </c>
      <c r="C1192">
        <v>6</v>
      </c>
      <c r="D1192">
        <v>48.3</v>
      </c>
      <c r="E1192">
        <v>289.79999999999995</v>
      </c>
      <c r="F1192" s="1">
        <v>45704</v>
      </c>
      <c r="G1192" s="1">
        <v>45708</v>
      </c>
      <c r="H1192" t="s">
        <v>26</v>
      </c>
      <c r="I1192" t="s">
        <v>17</v>
      </c>
      <c r="J1192">
        <v>4</v>
      </c>
      <c r="K1192" t="s">
        <v>18</v>
      </c>
      <c r="L1192" t="s">
        <v>187</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1289</v>
      </c>
      <c r="B1193" t="s">
        <v>134</v>
      </c>
      <c r="C1193">
        <v>7</v>
      </c>
      <c r="D1193">
        <v>32.200000000000003</v>
      </c>
      <c r="E1193">
        <v>225.40000000000003</v>
      </c>
      <c r="F1193" s="1">
        <v>45704</v>
      </c>
      <c r="G1193" s="1">
        <v>45706</v>
      </c>
      <c r="H1193" t="s">
        <v>26</v>
      </c>
      <c r="I1193" t="s">
        <v>39</v>
      </c>
      <c r="J1193">
        <v>4</v>
      </c>
      <c r="K1193" t="s">
        <v>18</v>
      </c>
      <c r="L1193" t="s">
        <v>187</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1290</v>
      </c>
      <c r="B1194" t="s">
        <v>41</v>
      </c>
      <c r="C1194">
        <v>28</v>
      </c>
      <c r="D1194">
        <v>48.5</v>
      </c>
      <c r="E1194">
        <v>1358</v>
      </c>
      <c r="F1194" s="1">
        <v>45704</v>
      </c>
      <c r="G1194" s="1">
        <v>45705</v>
      </c>
      <c r="H1194" t="s">
        <v>22</v>
      </c>
      <c r="I1194" t="s">
        <v>17</v>
      </c>
      <c r="J1194">
        <v>4</v>
      </c>
      <c r="K1194" t="s">
        <v>18</v>
      </c>
      <c r="L1194" t="s">
        <v>51</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1291</v>
      </c>
      <c r="B1195" t="s">
        <v>25</v>
      </c>
      <c r="C1195">
        <v>5</v>
      </c>
      <c r="D1195">
        <v>62</v>
      </c>
      <c r="E1195">
        <v>310</v>
      </c>
      <c r="F1195" s="1">
        <v>45704</v>
      </c>
      <c r="G1195" s="1">
        <v>45707</v>
      </c>
      <c r="H1195" t="s">
        <v>26</v>
      </c>
      <c r="I1195" t="s">
        <v>34</v>
      </c>
      <c r="J1195">
        <v>4</v>
      </c>
      <c r="K1195" t="s">
        <v>18</v>
      </c>
      <c r="L1195" t="s">
        <v>54</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1292</v>
      </c>
      <c r="B1196" t="s">
        <v>43</v>
      </c>
      <c r="C1196">
        <v>3</v>
      </c>
      <c r="D1196">
        <v>32.1</v>
      </c>
      <c r="E1196">
        <v>96.300000000000011</v>
      </c>
      <c r="F1196" s="1">
        <v>45705</v>
      </c>
      <c r="G1196" s="1">
        <v>45707</v>
      </c>
      <c r="H1196" t="s">
        <v>22</v>
      </c>
      <c r="I1196" t="s">
        <v>17</v>
      </c>
      <c r="J1196">
        <v>4</v>
      </c>
      <c r="K1196" t="s">
        <v>18</v>
      </c>
      <c r="L1196" t="s">
        <v>54</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1293</v>
      </c>
      <c r="B1197" t="s">
        <v>68</v>
      </c>
      <c r="C1197">
        <v>3</v>
      </c>
      <c r="D1197">
        <v>106.1</v>
      </c>
      <c r="E1197">
        <v>318.29999999999995</v>
      </c>
      <c r="F1197" s="1">
        <v>45705</v>
      </c>
      <c r="G1197" s="1">
        <v>45707</v>
      </c>
      <c r="H1197" t="s">
        <v>22</v>
      </c>
      <c r="I1197" t="s">
        <v>17</v>
      </c>
      <c r="J1197">
        <v>3</v>
      </c>
      <c r="K1197" t="s">
        <v>18</v>
      </c>
      <c r="L1197" t="s">
        <v>58</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1294</v>
      </c>
      <c r="B1198" t="s">
        <v>53</v>
      </c>
      <c r="C1198">
        <v>3</v>
      </c>
      <c r="D1198">
        <v>23.5</v>
      </c>
      <c r="E1198">
        <v>70.5</v>
      </c>
      <c r="F1198" s="1">
        <v>45705</v>
      </c>
      <c r="G1198" s="1">
        <v>45708</v>
      </c>
      <c r="H1198" t="s">
        <v>22</v>
      </c>
      <c r="I1198" t="s">
        <v>17</v>
      </c>
      <c r="J1198">
        <v>2</v>
      </c>
      <c r="K1198" t="s">
        <v>18</v>
      </c>
      <c r="L1198" t="s">
        <v>58</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1295</v>
      </c>
      <c r="B1199" t="s">
        <v>21</v>
      </c>
      <c r="C1199">
        <v>2</v>
      </c>
      <c r="D1199">
        <v>35.6</v>
      </c>
      <c r="E1199">
        <v>71.2</v>
      </c>
      <c r="F1199" s="1">
        <v>45705</v>
      </c>
      <c r="G1199" s="1">
        <v>45710</v>
      </c>
      <c r="H1199" t="s">
        <v>22</v>
      </c>
      <c r="I1199" t="s">
        <v>69</v>
      </c>
      <c r="J1199">
        <v>4</v>
      </c>
      <c r="K1199" t="s">
        <v>18</v>
      </c>
      <c r="L1199" t="s">
        <v>61</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1296</v>
      </c>
      <c r="B1200" t="s">
        <v>21</v>
      </c>
      <c r="C1200">
        <v>2</v>
      </c>
      <c r="D1200">
        <v>63.5</v>
      </c>
      <c r="E1200">
        <v>127</v>
      </c>
      <c r="F1200" s="1">
        <v>45705</v>
      </c>
      <c r="G1200" s="1">
        <v>45705</v>
      </c>
      <c r="H1200" t="s">
        <v>26</v>
      </c>
      <c r="I1200" t="s">
        <v>34</v>
      </c>
      <c r="J1200">
        <v>5</v>
      </c>
      <c r="K1200" t="s">
        <v>18</v>
      </c>
      <c r="L1200" t="s">
        <v>61</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1297</v>
      </c>
      <c r="B1201" t="s">
        <v>38</v>
      </c>
      <c r="C1201">
        <v>7</v>
      </c>
      <c r="D1201">
        <v>82.9</v>
      </c>
      <c r="E1201">
        <v>580.30000000000007</v>
      </c>
      <c r="F1201" s="1">
        <v>45705</v>
      </c>
      <c r="G1201" s="1">
        <v>45710</v>
      </c>
      <c r="H1201" t="s">
        <v>26</v>
      </c>
      <c r="I1201" t="s">
        <v>69</v>
      </c>
      <c r="J1201">
        <v>4</v>
      </c>
      <c r="K1201" t="s">
        <v>18</v>
      </c>
      <c r="L1201" t="s">
        <v>71</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1298</v>
      </c>
      <c r="B1202" t="s">
        <v>38</v>
      </c>
      <c r="C1202">
        <v>2</v>
      </c>
      <c r="D1202">
        <v>83.6</v>
      </c>
      <c r="E1202">
        <v>167.2</v>
      </c>
      <c r="F1202" s="1">
        <v>45705</v>
      </c>
      <c r="G1202" s="1">
        <v>45710</v>
      </c>
      <c r="H1202" t="s">
        <v>26</v>
      </c>
      <c r="I1202" t="s">
        <v>17</v>
      </c>
      <c r="J1202">
        <v>4</v>
      </c>
      <c r="K1202" t="s">
        <v>18</v>
      </c>
      <c r="L1202" t="s">
        <v>76</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1299</v>
      </c>
      <c r="B1203" t="s">
        <v>31</v>
      </c>
      <c r="C1203">
        <v>2</v>
      </c>
      <c r="D1203">
        <v>29.4</v>
      </c>
      <c r="E1203">
        <v>58.8</v>
      </c>
      <c r="F1203" s="1">
        <v>45705</v>
      </c>
      <c r="G1203" s="1">
        <v>45705</v>
      </c>
      <c r="H1203" t="s">
        <v>26</v>
      </c>
      <c r="I1203" t="s">
        <v>17</v>
      </c>
      <c r="J1203">
        <v>3</v>
      </c>
      <c r="K1203" t="s">
        <v>18</v>
      </c>
      <c r="L1203" t="s">
        <v>267</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1300</v>
      </c>
      <c r="B1204" t="s">
        <v>25</v>
      </c>
      <c r="C1204">
        <v>3</v>
      </c>
      <c r="D1204">
        <v>107.1</v>
      </c>
      <c r="E1204">
        <v>321.29999999999995</v>
      </c>
      <c r="F1204" s="1">
        <v>45705</v>
      </c>
      <c r="G1204" s="1">
        <v>45709</v>
      </c>
      <c r="H1204" t="s">
        <v>26</v>
      </c>
      <c r="I1204" t="s">
        <v>39</v>
      </c>
      <c r="J1204">
        <v>4</v>
      </c>
      <c r="K1204" t="s">
        <v>18</v>
      </c>
      <c r="L1204" t="s">
        <v>112</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1301</v>
      </c>
      <c r="B1205" t="s">
        <v>25</v>
      </c>
      <c r="C1205">
        <v>1</v>
      </c>
      <c r="D1205">
        <v>62.7</v>
      </c>
      <c r="E1205">
        <v>62.7</v>
      </c>
      <c r="F1205" s="1">
        <v>45705</v>
      </c>
      <c r="G1205" s="1">
        <v>45709</v>
      </c>
      <c r="H1205" t="s">
        <v>22</v>
      </c>
      <c r="I1205" t="s">
        <v>34</v>
      </c>
      <c r="J1205">
        <v>4</v>
      </c>
      <c r="K1205" t="s">
        <v>18</v>
      </c>
      <c r="L1205" t="s">
        <v>114</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1302</v>
      </c>
      <c r="B1206" t="s">
        <v>66</v>
      </c>
      <c r="C1206">
        <v>1</v>
      </c>
      <c r="D1206">
        <v>41.6</v>
      </c>
      <c r="E1206">
        <v>41.6</v>
      </c>
      <c r="F1206" s="1">
        <v>45705</v>
      </c>
      <c r="G1206" s="1">
        <v>45706</v>
      </c>
      <c r="H1206" t="s">
        <v>22</v>
      </c>
      <c r="I1206" t="s">
        <v>17</v>
      </c>
      <c r="J1206">
        <v>3</v>
      </c>
      <c r="K1206" t="s">
        <v>18</v>
      </c>
      <c r="L1206" t="s">
        <v>23</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1303</v>
      </c>
      <c r="B1207" t="s">
        <v>38</v>
      </c>
      <c r="C1207">
        <v>1</v>
      </c>
      <c r="D1207">
        <v>44.2</v>
      </c>
      <c r="E1207">
        <v>44.2</v>
      </c>
      <c r="F1207" s="1">
        <v>45705</v>
      </c>
      <c r="G1207" s="1">
        <v>45706</v>
      </c>
      <c r="H1207" t="s">
        <v>88</v>
      </c>
      <c r="I1207" t="s">
        <v>17</v>
      </c>
      <c r="J1207">
        <v>3</v>
      </c>
      <c r="K1207" t="s">
        <v>18</v>
      </c>
      <c r="L1207" t="s">
        <v>23</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1304</v>
      </c>
      <c r="B1208" t="s">
        <v>31</v>
      </c>
      <c r="C1208">
        <v>6</v>
      </c>
      <c r="D1208">
        <v>40.4</v>
      </c>
      <c r="E1208">
        <v>242.39999999999998</v>
      </c>
      <c r="F1208" s="1">
        <v>45705</v>
      </c>
      <c r="G1208" s="1">
        <v>45718</v>
      </c>
      <c r="H1208" t="s">
        <v>26</v>
      </c>
      <c r="I1208" t="s">
        <v>39</v>
      </c>
      <c r="J1208">
        <v>4</v>
      </c>
      <c r="K1208" t="s">
        <v>18</v>
      </c>
      <c r="L1208" t="s">
        <v>146</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1305</v>
      </c>
      <c r="B1209" t="s">
        <v>122</v>
      </c>
      <c r="C1209">
        <v>6</v>
      </c>
      <c r="D1209">
        <v>59.6</v>
      </c>
      <c r="E1209">
        <v>357.6</v>
      </c>
      <c r="F1209" s="1">
        <v>45705</v>
      </c>
      <c r="G1209" s="1">
        <v>45706</v>
      </c>
      <c r="H1209" t="s">
        <v>26</v>
      </c>
      <c r="I1209" t="s">
        <v>69</v>
      </c>
      <c r="J1209">
        <v>4</v>
      </c>
      <c r="K1209" t="s">
        <v>18</v>
      </c>
      <c r="L1209" t="s">
        <v>333</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1306</v>
      </c>
      <c r="B1210" t="s">
        <v>134</v>
      </c>
      <c r="C1210">
        <v>12</v>
      </c>
      <c r="D1210">
        <v>63.8</v>
      </c>
      <c r="E1210">
        <v>765.59999999999991</v>
      </c>
      <c r="F1210" s="1">
        <v>45705</v>
      </c>
      <c r="G1210" s="1">
        <v>45706</v>
      </c>
      <c r="H1210" t="s">
        <v>22</v>
      </c>
      <c r="I1210" t="s">
        <v>34</v>
      </c>
      <c r="J1210">
        <v>4</v>
      </c>
      <c r="K1210" t="s">
        <v>18</v>
      </c>
      <c r="L1210" t="s">
        <v>32</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1307</v>
      </c>
      <c r="B1211" t="s">
        <v>45</v>
      </c>
      <c r="C1211">
        <v>6</v>
      </c>
      <c r="D1211">
        <v>30.8</v>
      </c>
      <c r="E1211">
        <v>184.8</v>
      </c>
      <c r="F1211" s="1">
        <v>45705</v>
      </c>
      <c r="G1211" s="1">
        <v>45707</v>
      </c>
      <c r="H1211" t="s">
        <v>22</v>
      </c>
      <c r="I1211" t="s">
        <v>69</v>
      </c>
      <c r="J1211">
        <v>4</v>
      </c>
      <c r="K1211" t="s">
        <v>18</v>
      </c>
      <c r="L1211" t="s">
        <v>32</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1308</v>
      </c>
      <c r="B1212" t="s">
        <v>21</v>
      </c>
      <c r="C1212">
        <v>2</v>
      </c>
      <c r="D1212">
        <v>41.5</v>
      </c>
      <c r="E1212">
        <v>83</v>
      </c>
      <c r="F1212" s="1">
        <v>45705</v>
      </c>
      <c r="G1212" s="1">
        <v>45708</v>
      </c>
      <c r="H1212" t="s">
        <v>88</v>
      </c>
      <c r="I1212" t="s">
        <v>17</v>
      </c>
      <c r="J1212">
        <v>4</v>
      </c>
      <c r="K1212" t="s">
        <v>18</v>
      </c>
      <c r="L1212" t="s">
        <v>32</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1309</v>
      </c>
      <c r="B1213" t="s">
        <v>53</v>
      </c>
      <c r="C1213">
        <v>4</v>
      </c>
      <c r="D1213">
        <v>44.7</v>
      </c>
      <c r="E1213">
        <v>178.8</v>
      </c>
      <c r="F1213" s="1">
        <v>45705</v>
      </c>
      <c r="G1213" s="1">
        <v>45707</v>
      </c>
      <c r="H1213" t="s">
        <v>26</v>
      </c>
      <c r="I1213" t="s">
        <v>39</v>
      </c>
      <c r="J1213">
        <v>3</v>
      </c>
      <c r="K1213" t="s">
        <v>18</v>
      </c>
      <c r="L1213" t="s">
        <v>32</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1310</v>
      </c>
      <c r="B1214" t="s">
        <v>68</v>
      </c>
      <c r="C1214">
        <v>2</v>
      </c>
      <c r="D1214">
        <v>64.099999999999994</v>
      </c>
      <c r="E1214">
        <v>128.19999999999999</v>
      </c>
      <c r="F1214" s="1">
        <v>45705</v>
      </c>
      <c r="G1214" s="1">
        <v>45709</v>
      </c>
      <c r="H1214" t="s">
        <v>26</v>
      </c>
      <c r="I1214" t="s">
        <v>34</v>
      </c>
      <c r="J1214">
        <v>2</v>
      </c>
      <c r="K1214" t="s">
        <v>18</v>
      </c>
      <c r="L1214" t="s">
        <v>32</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1311</v>
      </c>
      <c r="B1215" t="s">
        <v>43</v>
      </c>
      <c r="C1215">
        <v>1</v>
      </c>
      <c r="D1215">
        <v>15.9</v>
      </c>
      <c r="E1215">
        <v>15.9</v>
      </c>
      <c r="F1215" s="1">
        <v>45705</v>
      </c>
      <c r="G1215" s="1">
        <v>45708</v>
      </c>
      <c r="I1215" t="s">
        <v>34</v>
      </c>
      <c r="J1215">
        <v>4</v>
      </c>
      <c r="K1215" t="s">
        <v>18</v>
      </c>
      <c r="L1215" t="s">
        <v>32</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1312</v>
      </c>
      <c r="B1216" t="s">
        <v>38</v>
      </c>
      <c r="C1216">
        <v>2</v>
      </c>
      <c r="D1216">
        <v>78.7</v>
      </c>
      <c r="E1216">
        <v>157.4</v>
      </c>
      <c r="F1216" s="1">
        <v>45705</v>
      </c>
      <c r="G1216" s="1">
        <v>45705</v>
      </c>
      <c r="H1216" t="s">
        <v>26</v>
      </c>
      <c r="I1216" t="s">
        <v>39</v>
      </c>
      <c r="J1216">
        <v>3</v>
      </c>
      <c r="K1216" t="s">
        <v>18</v>
      </c>
      <c r="L1216" t="s">
        <v>32</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1313</v>
      </c>
      <c r="B1217" t="s">
        <v>36</v>
      </c>
      <c r="C1217">
        <v>12</v>
      </c>
      <c r="D1217">
        <v>29.6</v>
      </c>
      <c r="E1217">
        <v>355.20000000000005</v>
      </c>
      <c r="F1217" s="1">
        <v>45705</v>
      </c>
      <c r="G1217" s="1">
        <v>45709</v>
      </c>
      <c r="H1217" t="s">
        <v>22</v>
      </c>
      <c r="I1217" t="s">
        <v>39</v>
      </c>
      <c r="J1217">
        <v>2</v>
      </c>
      <c r="K1217" t="s">
        <v>18</v>
      </c>
      <c r="L1217" t="s">
        <v>32</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1314</v>
      </c>
      <c r="B1218" t="s">
        <v>43</v>
      </c>
      <c r="C1218">
        <v>4</v>
      </c>
      <c r="D1218">
        <v>21.5</v>
      </c>
      <c r="E1218">
        <v>86</v>
      </c>
      <c r="F1218" s="1">
        <v>45705</v>
      </c>
      <c r="G1218" s="1">
        <v>45708</v>
      </c>
      <c r="H1218" t="s">
        <v>22</v>
      </c>
      <c r="I1218" t="s">
        <v>34</v>
      </c>
      <c r="J1218">
        <v>4</v>
      </c>
      <c r="K1218" t="s">
        <v>18</v>
      </c>
      <c r="L1218" t="s">
        <v>32</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1315</v>
      </c>
      <c r="B1219" t="s">
        <v>45</v>
      </c>
      <c r="C1219">
        <v>3</v>
      </c>
      <c r="D1219">
        <v>74.900000000000006</v>
      </c>
      <c r="E1219">
        <v>224.70000000000002</v>
      </c>
      <c r="F1219" s="1">
        <v>45705</v>
      </c>
      <c r="G1219" s="1">
        <v>45714</v>
      </c>
      <c r="H1219" t="s">
        <v>22</v>
      </c>
      <c r="I1219" t="s">
        <v>50</v>
      </c>
      <c r="J1219">
        <v>3</v>
      </c>
      <c r="K1219" t="s">
        <v>18</v>
      </c>
      <c r="L1219" t="s">
        <v>32</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1316</v>
      </c>
      <c r="B1220" t="s">
        <v>53</v>
      </c>
      <c r="C1220">
        <v>6</v>
      </c>
      <c r="D1220">
        <v>45</v>
      </c>
      <c r="E1220">
        <v>270</v>
      </c>
      <c r="F1220" s="1">
        <v>45705</v>
      </c>
      <c r="G1220" s="1">
        <v>45710</v>
      </c>
      <c r="H1220" t="s">
        <v>26</v>
      </c>
      <c r="I1220" t="s">
        <v>39</v>
      </c>
      <c r="J1220">
        <v>4</v>
      </c>
      <c r="K1220" t="s">
        <v>18</v>
      </c>
      <c r="L1220" t="s">
        <v>32</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1317</v>
      </c>
      <c r="B1221" t="s">
        <v>41</v>
      </c>
      <c r="C1221">
        <v>34</v>
      </c>
      <c r="D1221">
        <v>37.9</v>
      </c>
      <c r="E1221">
        <v>1288.5999999999999</v>
      </c>
      <c r="F1221" s="1">
        <v>45705</v>
      </c>
      <c r="G1221" s="1">
        <v>45706</v>
      </c>
      <c r="H1221" t="s">
        <v>22</v>
      </c>
      <c r="I1221" t="s">
        <v>17</v>
      </c>
      <c r="J1221">
        <v>4</v>
      </c>
      <c r="K1221" t="s">
        <v>18</v>
      </c>
      <c r="L1221" t="s">
        <v>32</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1318</v>
      </c>
      <c r="B1222" t="s">
        <v>38</v>
      </c>
      <c r="C1222">
        <v>3</v>
      </c>
      <c r="D1222">
        <v>56.6</v>
      </c>
      <c r="E1222">
        <v>169.8</v>
      </c>
      <c r="F1222" s="1">
        <v>45705</v>
      </c>
      <c r="G1222" s="1">
        <v>45706</v>
      </c>
      <c r="H1222" t="s">
        <v>22</v>
      </c>
      <c r="I1222" t="s">
        <v>50</v>
      </c>
      <c r="J1222">
        <v>4</v>
      </c>
      <c r="K1222" t="s">
        <v>18</v>
      </c>
      <c r="L1222" t="s">
        <v>32</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1319</v>
      </c>
      <c r="B1223" t="s">
        <v>29</v>
      </c>
      <c r="C1223">
        <v>13</v>
      </c>
      <c r="D1223">
        <v>84.5</v>
      </c>
      <c r="E1223">
        <v>1098.5</v>
      </c>
      <c r="F1223" s="1">
        <v>45705</v>
      </c>
      <c r="G1223" s="1">
        <v>45708</v>
      </c>
      <c r="H1223" t="s">
        <v>26</v>
      </c>
      <c r="I1223" t="s">
        <v>34</v>
      </c>
      <c r="J1223">
        <v>2</v>
      </c>
      <c r="K1223" t="s">
        <v>18</v>
      </c>
      <c r="L1223" t="s">
        <v>32</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1320</v>
      </c>
      <c r="B1224" t="s">
        <v>25</v>
      </c>
      <c r="C1224">
        <v>5</v>
      </c>
      <c r="D1224">
        <v>105.4</v>
      </c>
      <c r="E1224">
        <v>527</v>
      </c>
      <c r="F1224" s="1">
        <v>45705</v>
      </c>
      <c r="G1224" s="1">
        <v>45707</v>
      </c>
      <c r="H1224" t="s">
        <v>26</v>
      </c>
      <c r="I1224" t="s">
        <v>34</v>
      </c>
      <c r="J1224">
        <v>3</v>
      </c>
      <c r="K1224" t="s">
        <v>18</v>
      </c>
      <c r="L1224" t="s">
        <v>32</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1321</v>
      </c>
      <c r="B1225" t="s">
        <v>145</v>
      </c>
      <c r="C1225">
        <v>7</v>
      </c>
      <c r="D1225">
        <v>39.4</v>
      </c>
      <c r="E1225">
        <v>275.8</v>
      </c>
      <c r="F1225" s="1">
        <v>45706</v>
      </c>
      <c r="G1225" s="1">
        <v>45706</v>
      </c>
      <c r="H1225" t="s">
        <v>22</v>
      </c>
      <c r="I1225" t="s">
        <v>34</v>
      </c>
      <c r="J1225">
        <v>4</v>
      </c>
      <c r="K1225" t="s">
        <v>18</v>
      </c>
      <c r="L1225" t="s">
        <v>363</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1322</v>
      </c>
      <c r="B1226" t="s">
        <v>170</v>
      </c>
      <c r="C1226">
        <v>3</v>
      </c>
      <c r="D1226">
        <v>38</v>
      </c>
      <c r="E1226">
        <v>114</v>
      </c>
      <c r="F1226" s="1">
        <v>45706</v>
      </c>
      <c r="G1226" s="1">
        <v>45709</v>
      </c>
      <c r="H1226" t="s">
        <v>22</v>
      </c>
      <c r="I1226" t="s">
        <v>69</v>
      </c>
      <c r="J1226">
        <v>3</v>
      </c>
      <c r="K1226" t="s">
        <v>18</v>
      </c>
      <c r="L1226" t="s">
        <v>54</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1323</v>
      </c>
      <c r="B1227" t="s">
        <v>134</v>
      </c>
      <c r="C1227">
        <v>4</v>
      </c>
      <c r="D1227">
        <v>42.5</v>
      </c>
      <c r="E1227">
        <v>170</v>
      </c>
      <c r="F1227" s="1">
        <v>45706</v>
      </c>
      <c r="G1227" s="1">
        <v>45708</v>
      </c>
      <c r="I1227" t="s">
        <v>17</v>
      </c>
      <c r="J1227">
        <v>4</v>
      </c>
      <c r="K1227" t="s">
        <v>18</v>
      </c>
      <c r="L1227" t="s">
        <v>54</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1324</v>
      </c>
      <c r="B1228" t="s">
        <v>122</v>
      </c>
      <c r="C1228">
        <v>1</v>
      </c>
      <c r="D1228">
        <v>62.3</v>
      </c>
      <c r="E1228">
        <v>62.3</v>
      </c>
      <c r="F1228" s="1">
        <v>45706</v>
      </c>
      <c r="G1228" s="1">
        <v>45715</v>
      </c>
      <c r="H1228" t="s">
        <v>22</v>
      </c>
      <c r="I1228" t="s">
        <v>17</v>
      </c>
      <c r="J1228">
        <v>5</v>
      </c>
      <c r="K1228" t="s">
        <v>18</v>
      </c>
      <c r="L1228" t="s">
        <v>54</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1325</v>
      </c>
      <c r="B1229" t="s">
        <v>38</v>
      </c>
      <c r="C1229">
        <v>5</v>
      </c>
      <c r="D1229">
        <v>49.1</v>
      </c>
      <c r="E1229">
        <v>245.5</v>
      </c>
      <c r="F1229" s="1">
        <v>45706</v>
      </c>
      <c r="G1229" s="1">
        <v>45708</v>
      </c>
      <c r="H1229" t="s">
        <v>26</v>
      </c>
      <c r="I1229" t="s">
        <v>34</v>
      </c>
      <c r="J1229">
        <v>5</v>
      </c>
      <c r="K1229" t="s">
        <v>18</v>
      </c>
      <c r="L1229" t="s">
        <v>58</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1326</v>
      </c>
      <c r="B1230" t="s">
        <v>29</v>
      </c>
      <c r="C1230">
        <v>2</v>
      </c>
      <c r="D1230">
        <v>30.5</v>
      </c>
      <c r="E1230">
        <v>61</v>
      </c>
      <c r="F1230" s="1">
        <v>45706</v>
      </c>
      <c r="G1230" s="1">
        <v>45709</v>
      </c>
      <c r="H1230" t="s">
        <v>22</v>
      </c>
      <c r="I1230" t="s">
        <v>17</v>
      </c>
      <c r="J1230">
        <v>5</v>
      </c>
      <c r="K1230" t="s">
        <v>18</v>
      </c>
      <c r="L1230" t="s">
        <v>61</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1327</v>
      </c>
      <c r="B1231" t="s">
        <v>25</v>
      </c>
      <c r="C1231">
        <v>2</v>
      </c>
      <c r="D1231">
        <v>154.80000000000001</v>
      </c>
      <c r="E1231">
        <v>309.60000000000002</v>
      </c>
      <c r="F1231" s="1">
        <v>45706</v>
      </c>
      <c r="G1231" s="1">
        <v>45709</v>
      </c>
      <c r="H1231" t="s">
        <v>26</v>
      </c>
      <c r="I1231" t="s">
        <v>34</v>
      </c>
      <c r="J1231">
        <v>2</v>
      </c>
      <c r="K1231" t="s">
        <v>18</v>
      </c>
      <c r="L1231" t="s">
        <v>61</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1328</v>
      </c>
      <c r="B1232" t="s">
        <v>38</v>
      </c>
      <c r="C1232">
        <v>1</v>
      </c>
      <c r="D1232">
        <v>45</v>
      </c>
      <c r="E1232">
        <v>45</v>
      </c>
      <c r="F1232" s="1">
        <v>45706</v>
      </c>
      <c r="G1232" s="1">
        <v>45710</v>
      </c>
      <c r="H1232" t="s">
        <v>22</v>
      </c>
      <c r="I1232" t="s">
        <v>50</v>
      </c>
      <c r="J1232">
        <v>3</v>
      </c>
      <c r="K1232" t="s">
        <v>18</v>
      </c>
      <c r="L1232" t="s">
        <v>61</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1329</v>
      </c>
      <c r="B1233" t="s">
        <v>16</v>
      </c>
      <c r="C1233">
        <v>7</v>
      </c>
      <c r="D1233">
        <v>15.3</v>
      </c>
      <c r="E1233">
        <v>107.10000000000001</v>
      </c>
      <c r="F1233" s="1">
        <v>45706</v>
      </c>
      <c r="G1233" s="1">
        <v>45707</v>
      </c>
      <c r="H1233" t="s">
        <v>22</v>
      </c>
      <c r="I1233" t="s">
        <v>17</v>
      </c>
      <c r="J1233">
        <v>5</v>
      </c>
      <c r="K1233" t="s">
        <v>18</v>
      </c>
      <c r="L1233" t="s">
        <v>61</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1330</v>
      </c>
      <c r="B1234" t="s">
        <v>25</v>
      </c>
      <c r="C1234">
        <v>11</v>
      </c>
      <c r="D1234">
        <v>88.6</v>
      </c>
      <c r="E1234">
        <v>974.59999999999991</v>
      </c>
      <c r="F1234" s="1">
        <v>45706</v>
      </c>
      <c r="G1234" s="1">
        <v>45709</v>
      </c>
      <c r="H1234" t="s">
        <v>26</v>
      </c>
      <c r="I1234" t="s">
        <v>17</v>
      </c>
      <c r="J1234">
        <v>2</v>
      </c>
      <c r="K1234" t="s">
        <v>18</v>
      </c>
      <c r="L1234" t="s">
        <v>102</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1331</v>
      </c>
      <c r="B1235" t="s">
        <v>45</v>
      </c>
      <c r="C1235">
        <v>2</v>
      </c>
      <c r="D1235">
        <v>49.7</v>
      </c>
      <c r="E1235">
        <v>99.4</v>
      </c>
      <c r="F1235" s="1">
        <v>45706</v>
      </c>
      <c r="G1235" s="1">
        <v>45708</v>
      </c>
      <c r="H1235" t="s">
        <v>88</v>
      </c>
      <c r="I1235" t="s">
        <v>69</v>
      </c>
      <c r="J1235">
        <v>4</v>
      </c>
      <c r="K1235" t="s">
        <v>18</v>
      </c>
      <c r="L1235" t="s">
        <v>73</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1332</v>
      </c>
      <c r="B1236" t="s">
        <v>53</v>
      </c>
      <c r="C1236">
        <v>1</v>
      </c>
      <c r="D1236">
        <v>29</v>
      </c>
      <c r="E1236">
        <v>29</v>
      </c>
      <c r="F1236" s="1">
        <v>45706</v>
      </c>
      <c r="G1236" s="1">
        <v>45707</v>
      </c>
      <c r="H1236" t="s">
        <v>22</v>
      </c>
      <c r="I1236" t="s">
        <v>17</v>
      </c>
      <c r="J1236">
        <v>4</v>
      </c>
      <c r="K1236" t="s">
        <v>18</v>
      </c>
      <c r="L1236" t="s">
        <v>76</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1333</v>
      </c>
      <c r="B1237" t="s">
        <v>21</v>
      </c>
      <c r="C1237">
        <v>1</v>
      </c>
      <c r="D1237">
        <v>60.7</v>
      </c>
      <c r="E1237">
        <v>60.7</v>
      </c>
      <c r="F1237" s="1">
        <v>45706</v>
      </c>
      <c r="G1237" s="1">
        <v>45707</v>
      </c>
      <c r="H1237" t="s">
        <v>88</v>
      </c>
      <c r="I1237" t="s">
        <v>17</v>
      </c>
      <c r="J1237">
        <v>3</v>
      </c>
      <c r="K1237" t="s">
        <v>18</v>
      </c>
      <c r="L1237" t="s">
        <v>76</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1334</v>
      </c>
      <c r="B1238" t="s">
        <v>134</v>
      </c>
      <c r="C1238">
        <v>4</v>
      </c>
      <c r="D1238">
        <v>87.4</v>
      </c>
      <c r="E1238">
        <v>349.6</v>
      </c>
      <c r="F1238" s="1">
        <v>45706</v>
      </c>
      <c r="G1238" s="1">
        <v>45708</v>
      </c>
      <c r="I1238" t="s">
        <v>17</v>
      </c>
      <c r="J1238">
        <v>4</v>
      </c>
      <c r="K1238" t="s">
        <v>18</v>
      </c>
      <c r="L1238" t="s">
        <v>76</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1335</v>
      </c>
      <c r="B1239" t="s">
        <v>31</v>
      </c>
      <c r="C1239">
        <v>7</v>
      </c>
      <c r="D1239">
        <v>44.5</v>
      </c>
      <c r="E1239">
        <v>311.5</v>
      </c>
      <c r="F1239" s="1">
        <v>45706</v>
      </c>
      <c r="G1239" s="1">
        <v>45710</v>
      </c>
      <c r="H1239" t="s">
        <v>26</v>
      </c>
      <c r="I1239" t="s">
        <v>39</v>
      </c>
      <c r="J1239">
        <v>5</v>
      </c>
      <c r="K1239" t="s">
        <v>18</v>
      </c>
      <c r="L1239" t="s">
        <v>109</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1336</v>
      </c>
      <c r="B1240" t="s">
        <v>25</v>
      </c>
      <c r="C1240">
        <v>1</v>
      </c>
      <c r="D1240">
        <v>141</v>
      </c>
      <c r="E1240">
        <v>141</v>
      </c>
      <c r="F1240" s="1">
        <v>45706</v>
      </c>
      <c r="G1240" s="1">
        <v>45707</v>
      </c>
      <c r="H1240" t="s">
        <v>22</v>
      </c>
      <c r="I1240" t="s">
        <v>69</v>
      </c>
      <c r="J1240">
        <v>5</v>
      </c>
      <c r="K1240" t="s">
        <v>18</v>
      </c>
      <c r="L1240" t="s">
        <v>109</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1337</v>
      </c>
      <c r="B1241" t="s">
        <v>16</v>
      </c>
      <c r="C1241">
        <v>3</v>
      </c>
      <c r="D1241">
        <v>16.7</v>
      </c>
      <c r="E1241">
        <v>50.099999999999994</v>
      </c>
      <c r="F1241" s="1">
        <v>45706</v>
      </c>
      <c r="G1241" s="1">
        <v>45714</v>
      </c>
      <c r="H1241" t="s">
        <v>26</v>
      </c>
      <c r="I1241" t="s">
        <v>17</v>
      </c>
      <c r="J1241">
        <v>4</v>
      </c>
      <c r="K1241" t="s">
        <v>18</v>
      </c>
      <c r="L1241" t="s">
        <v>112</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1338</v>
      </c>
      <c r="B1242" t="s">
        <v>21</v>
      </c>
      <c r="C1242">
        <v>2</v>
      </c>
      <c r="D1242">
        <v>77.5</v>
      </c>
      <c r="E1242">
        <v>155</v>
      </c>
      <c r="F1242" s="1">
        <v>45706</v>
      </c>
      <c r="G1242" s="1">
        <v>45707</v>
      </c>
      <c r="I1242" t="s">
        <v>39</v>
      </c>
      <c r="J1242">
        <v>5</v>
      </c>
      <c r="K1242" t="s">
        <v>18</v>
      </c>
      <c r="L1242" t="s">
        <v>81</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1339</v>
      </c>
      <c r="B1243" t="s">
        <v>25</v>
      </c>
      <c r="C1243">
        <v>2</v>
      </c>
      <c r="D1243">
        <v>163</v>
      </c>
      <c r="E1243">
        <v>326</v>
      </c>
      <c r="F1243" s="1">
        <v>45706</v>
      </c>
      <c r="G1243" s="1">
        <v>45712</v>
      </c>
      <c r="H1243" t="s">
        <v>26</v>
      </c>
      <c r="I1243" t="s">
        <v>69</v>
      </c>
      <c r="J1243">
        <v>4</v>
      </c>
      <c r="K1243" t="s">
        <v>18</v>
      </c>
      <c r="L1243" t="s">
        <v>114</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1340</v>
      </c>
      <c r="B1244" t="s">
        <v>31</v>
      </c>
      <c r="C1244">
        <v>9</v>
      </c>
      <c r="D1244">
        <v>21.4</v>
      </c>
      <c r="E1244">
        <v>192.6</v>
      </c>
      <c r="F1244" s="1">
        <v>45706</v>
      </c>
      <c r="G1244" s="1">
        <v>45709</v>
      </c>
      <c r="H1244" t="s">
        <v>26</v>
      </c>
      <c r="I1244" t="s">
        <v>17</v>
      </c>
      <c r="J1244">
        <v>4</v>
      </c>
      <c r="K1244" t="s">
        <v>18</v>
      </c>
      <c r="L1244" t="s">
        <v>966</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1341</v>
      </c>
      <c r="B1245" t="s">
        <v>53</v>
      </c>
      <c r="C1245">
        <v>11</v>
      </c>
      <c r="D1245">
        <v>31</v>
      </c>
      <c r="E1245">
        <v>341</v>
      </c>
      <c r="F1245" s="1">
        <v>45706</v>
      </c>
      <c r="G1245" s="1">
        <v>45708</v>
      </c>
      <c r="H1245" t="s">
        <v>26</v>
      </c>
      <c r="I1245" t="s">
        <v>50</v>
      </c>
      <c r="J1245">
        <v>5</v>
      </c>
      <c r="K1245" t="s">
        <v>18</v>
      </c>
      <c r="L1245" t="s">
        <v>23</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1342</v>
      </c>
      <c r="B1246" t="s">
        <v>41</v>
      </c>
      <c r="C1246">
        <v>2</v>
      </c>
      <c r="D1246">
        <v>34.299999999999997</v>
      </c>
      <c r="E1246">
        <v>68.599999999999994</v>
      </c>
      <c r="F1246" s="1">
        <v>45706</v>
      </c>
      <c r="G1246" s="1">
        <v>45708</v>
      </c>
      <c r="H1246" t="s">
        <v>26</v>
      </c>
      <c r="I1246" t="s">
        <v>17</v>
      </c>
      <c r="J1246">
        <v>1</v>
      </c>
      <c r="K1246" t="s">
        <v>18</v>
      </c>
      <c r="L1246" t="s">
        <v>23</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1343</v>
      </c>
      <c r="B1247" t="s">
        <v>134</v>
      </c>
      <c r="C1247">
        <v>5</v>
      </c>
      <c r="D1247">
        <v>48.2</v>
      </c>
      <c r="E1247">
        <v>241</v>
      </c>
      <c r="F1247" s="1">
        <v>45706</v>
      </c>
      <c r="G1247" s="1">
        <v>45707</v>
      </c>
      <c r="H1247" t="s">
        <v>22</v>
      </c>
      <c r="I1247" t="s">
        <v>34</v>
      </c>
      <c r="J1247">
        <v>3</v>
      </c>
      <c r="K1247" t="s">
        <v>18</v>
      </c>
      <c r="L1247" t="s">
        <v>27</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1344</v>
      </c>
      <c r="B1248" t="s">
        <v>53</v>
      </c>
      <c r="C1248">
        <v>1</v>
      </c>
      <c r="D1248">
        <v>51.4</v>
      </c>
      <c r="E1248">
        <v>51.4</v>
      </c>
      <c r="F1248" s="1">
        <v>45706</v>
      </c>
      <c r="G1248" s="1">
        <v>45707</v>
      </c>
      <c r="H1248" t="s">
        <v>22</v>
      </c>
      <c r="I1248" t="s">
        <v>17</v>
      </c>
      <c r="J1248">
        <v>4</v>
      </c>
      <c r="K1248" t="s">
        <v>18</v>
      </c>
      <c r="L1248" t="s">
        <v>32</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1345</v>
      </c>
      <c r="B1249" t="s">
        <v>25</v>
      </c>
      <c r="C1249">
        <v>5</v>
      </c>
      <c r="D1249">
        <v>117.2</v>
      </c>
      <c r="E1249">
        <v>586</v>
      </c>
      <c r="F1249" s="1">
        <v>45706</v>
      </c>
      <c r="G1249" s="1">
        <v>45709</v>
      </c>
      <c r="H1249" t="s">
        <v>26</v>
      </c>
      <c r="I1249" t="s">
        <v>69</v>
      </c>
      <c r="J1249">
        <v>2</v>
      </c>
      <c r="K1249" t="s">
        <v>18</v>
      </c>
      <c r="L1249" t="s">
        <v>32</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1346</v>
      </c>
      <c r="B1250" t="s">
        <v>43</v>
      </c>
      <c r="C1250">
        <v>1</v>
      </c>
      <c r="D1250">
        <v>38.1</v>
      </c>
      <c r="E1250">
        <v>38.1</v>
      </c>
      <c r="F1250" s="1">
        <v>45706</v>
      </c>
      <c r="G1250" s="1">
        <v>45706</v>
      </c>
      <c r="H1250" t="s">
        <v>22</v>
      </c>
      <c r="I1250" t="s">
        <v>69</v>
      </c>
      <c r="J1250">
        <v>3</v>
      </c>
      <c r="K1250" t="s">
        <v>18</v>
      </c>
      <c r="L1250" t="s">
        <v>32</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1347</v>
      </c>
      <c r="B1251" t="s">
        <v>16</v>
      </c>
      <c r="C1251">
        <v>2</v>
      </c>
      <c r="D1251">
        <v>44.1</v>
      </c>
      <c r="E1251">
        <v>88.2</v>
      </c>
      <c r="F1251" s="1">
        <v>45706</v>
      </c>
      <c r="G1251" s="1">
        <v>45708</v>
      </c>
      <c r="H1251" t="s">
        <v>26</v>
      </c>
      <c r="I1251" t="s">
        <v>39</v>
      </c>
      <c r="J1251">
        <v>4</v>
      </c>
      <c r="K1251" t="s">
        <v>18</v>
      </c>
      <c r="L1251" t="s">
        <v>32</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1348</v>
      </c>
      <c r="B1252" t="s">
        <v>122</v>
      </c>
      <c r="C1252">
        <v>4</v>
      </c>
      <c r="D1252">
        <v>80.5</v>
      </c>
      <c r="E1252">
        <v>322</v>
      </c>
      <c r="F1252" s="1">
        <v>45706</v>
      </c>
      <c r="G1252" s="1">
        <v>45711</v>
      </c>
      <c r="H1252" t="s">
        <v>22</v>
      </c>
      <c r="I1252" t="s">
        <v>17</v>
      </c>
      <c r="J1252">
        <v>4</v>
      </c>
      <c r="K1252" t="s">
        <v>18</v>
      </c>
      <c r="L1252" t="s">
        <v>32</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1349</v>
      </c>
      <c r="B1253" t="s">
        <v>145</v>
      </c>
      <c r="C1253">
        <v>4</v>
      </c>
      <c r="D1253">
        <v>33.6</v>
      </c>
      <c r="E1253">
        <v>134.4</v>
      </c>
      <c r="F1253" s="1">
        <v>45706</v>
      </c>
      <c r="G1253" s="1">
        <v>45711</v>
      </c>
      <c r="I1253" t="s">
        <v>17</v>
      </c>
      <c r="J1253">
        <v>5</v>
      </c>
      <c r="K1253" t="s">
        <v>18</v>
      </c>
      <c r="L1253" t="s">
        <v>32</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1350</v>
      </c>
      <c r="B1254" t="s">
        <v>45</v>
      </c>
      <c r="C1254">
        <v>9</v>
      </c>
      <c r="D1254">
        <v>41.8</v>
      </c>
      <c r="E1254">
        <v>376.2</v>
      </c>
      <c r="F1254" s="1">
        <v>45706</v>
      </c>
      <c r="G1254" s="1">
        <v>45707</v>
      </c>
      <c r="H1254" t="s">
        <v>26</v>
      </c>
      <c r="I1254" t="s">
        <v>17</v>
      </c>
      <c r="J1254">
        <v>3</v>
      </c>
      <c r="K1254" t="s">
        <v>18</v>
      </c>
      <c r="L1254" t="s">
        <v>32</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1351</v>
      </c>
      <c r="B1255" t="s">
        <v>21</v>
      </c>
      <c r="C1255">
        <v>2</v>
      </c>
      <c r="D1255">
        <v>106.2</v>
      </c>
      <c r="E1255">
        <v>212.4</v>
      </c>
      <c r="F1255" s="1">
        <v>45706</v>
      </c>
      <c r="G1255" s="1">
        <v>45706</v>
      </c>
      <c r="H1255" t="s">
        <v>26</v>
      </c>
      <c r="I1255" t="s">
        <v>69</v>
      </c>
      <c r="J1255">
        <v>5</v>
      </c>
      <c r="K1255" t="s">
        <v>18</v>
      </c>
      <c r="L1255" t="s">
        <v>32</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1352</v>
      </c>
      <c r="B1256" t="s">
        <v>21</v>
      </c>
      <c r="C1256">
        <v>2</v>
      </c>
      <c r="D1256">
        <v>52.6</v>
      </c>
      <c r="E1256">
        <v>105.2</v>
      </c>
      <c r="F1256" s="1">
        <v>45706</v>
      </c>
      <c r="G1256" s="1">
        <v>45707</v>
      </c>
      <c r="H1256" t="s">
        <v>26</v>
      </c>
      <c r="I1256" t="s">
        <v>17</v>
      </c>
      <c r="J1256">
        <v>5</v>
      </c>
      <c r="K1256" t="s">
        <v>18</v>
      </c>
      <c r="L1256" t="s">
        <v>51</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1353</v>
      </c>
      <c r="B1257" t="s">
        <v>66</v>
      </c>
      <c r="C1257">
        <v>7</v>
      </c>
      <c r="D1257">
        <v>68.5</v>
      </c>
      <c r="E1257">
        <v>479.5</v>
      </c>
      <c r="F1257" s="1">
        <v>45706</v>
      </c>
      <c r="G1257" s="1">
        <v>45707</v>
      </c>
      <c r="H1257" t="s">
        <v>26</v>
      </c>
      <c r="I1257" t="s">
        <v>34</v>
      </c>
      <c r="J1257">
        <v>4</v>
      </c>
      <c r="K1257" t="s">
        <v>18</v>
      </c>
      <c r="L1257" t="s">
        <v>51</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1354</v>
      </c>
      <c r="B1258" t="s">
        <v>21</v>
      </c>
      <c r="C1258">
        <v>2</v>
      </c>
      <c r="D1258">
        <v>55.6</v>
      </c>
      <c r="E1258">
        <v>111.2</v>
      </c>
      <c r="F1258" s="1">
        <v>45706</v>
      </c>
      <c r="G1258" s="1">
        <v>45708</v>
      </c>
      <c r="H1258" t="s">
        <v>22</v>
      </c>
      <c r="I1258" t="s">
        <v>34</v>
      </c>
      <c r="J1258">
        <v>5</v>
      </c>
      <c r="K1258" t="s">
        <v>18</v>
      </c>
      <c r="L1258" t="s">
        <v>54</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1355</v>
      </c>
      <c r="B1259" t="s">
        <v>25</v>
      </c>
      <c r="C1259">
        <v>3</v>
      </c>
      <c r="D1259">
        <v>134.9</v>
      </c>
      <c r="E1259">
        <v>404.70000000000005</v>
      </c>
      <c r="F1259" s="1">
        <v>45706</v>
      </c>
      <c r="G1259" s="1">
        <v>45707</v>
      </c>
      <c r="H1259" t="s">
        <v>22</v>
      </c>
      <c r="I1259" t="s">
        <v>34</v>
      </c>
      <c r="J1259">
        <v>3</v>
      </c>
      <c r="K1259" t="s">
        <v>18</v>
      </c>
      <c r="L1259" t="s">
        <v>54</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1356</v>
      </c>
      <c r="B1260" t="s">
        <v>53</v>
      </c>
      <c r="C1260">
        <v>5</v>
      </c>
      <c r="D1260">
        <v>42.6</v>
      </c>
      <c r="E1260">
        <v>213</v>
      </c>
      <c r="F1260" s="1">
        <v>45706</v>
      </c>
      <c r="G1260" s="1">
        <v>45707</v>
      </c>
      <c r="H1260" t="s">
        <v>22</v>
      </c>
      <c r="I1260" t="s">
        <v>17</v>
      </c>
      <c r="J1260">
        <v>4</v>
      </c>
      <c r="K1260" t="s">
        <v>18</v>
      </c>
      <c r="L1260" t="s">
        <v>54</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1357</v>
      </c>
      <c r="B1261" t="s">
        <v>41</v>
      </c>
      <c r="C1261">
        <v>5</v>
      </c>
      <c r="D1261">
        <v>60.6</v>
      </c>
      <c r="E1261">
        <v>303</v>
      </c>
      <c r="F1261" s="1">
        <v>45706</v>
      </c>
      <c r="G1261" s="1">
        <v>45708</v>
      </c>
      <c r="H1261" t="s">
        <v>22</v>
      </c>
      <c r="I1261" t="s">
        <v>69</v>
      </c>
      <c r="J1261">
        <v>4</v>
      </c>
      <c r="K1261" t="s">
        <v>18</v>
      </c>
      <c r="L1261" t="s">
        <v>54</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1358</v>
      </c>
      <c r="B1262" t="s">
        <v>43</v>
      </c>
      <c r="C1262">
        <v>2</v>
      </c>
      <c r="D1262">
        <v>43.5</v>
      </c>
      <c r="E1262">
        <v>87</v>
      </c>
      <c r="F1262" s="1">
        <v>45706</v>
      </c>
      <c r="G1262" s="1">
        <v>45707</v>
      </c>
      <c r="H1262" t="s">
        <v>22</v>
      </c>
      <c r="I1262" t="s">
        <v>69</v>
      </c>
      <c r="J1262">
        <v>4</v>
      </c>
      <c r="K1262" t="s">
        <v>18</v>
      </c>
      <c r="L1262" t="s">
        <v>58</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1359</v>
      </c>
      <c r="B1263" t="s">
        <v>25</v>
      </c>
      <c r="C1263">
        <v>2</v>
      </c>
      <c r="D1263">
        <v>187.1</v>
      </c>
      <c r="E1263">
        <v>374.2</v>
      </c>
      <c r="F1263" s="1">
        <v>45706</v>
      </c>
      <c r="G1263" s="1">
        <v>45707</v>
      </c>
      <c r="H1263" t="s">
        <v>22</v>
      </c>
      <c r="I1263" t="s">
        <v>34</v>
      </c>
      <c r="J1263">
        <v>5</v>
      </c>
      <c r="K1263" t="s">
        <v>18</v>
      </c>
      <c r="L1263" t="s">
        <v>61</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1360</v>
      </c>
      <c r="B1264" t="s">
        <v>45</v>
      </c>
      <c r="C1264">
        <v>3</v>
      </c>
      <c r="D1264">
        <v>32</v>
      </c>
      <c r="E1264">
        <v>96</v>
      </c>
      <c r="F1264" s="1">
        <v>45706</v>
      </c>
      <c r="G1264" s="1">
        <v>45708</v>
      </c>
      <c r="H1264" t="s">
        <v>22</v>
      </c>
      <c r="I1264" t="s">
        <v>17</v>
      </c>
      <c r="J1264">
        <v>4</v>
      </c>
      <c r="K1264" t="s">
        <v>18</v>
      </c>
      <c r="L1264" t="s">
        <v>61</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1361</v>
      </c>
      <c r="B1265" t="s">
        <v>45</v>
      </c>
      <c r="C1265">
        <v>2</v>
      </c>
      <c r="D1265">
        <v>110.8</v>
      </c>
      <c r="E1265">
        <v>221.6</v>
      </c>
      <c r="F1265" s="1">
        <v>45706</v>
      </c>
      <c r="G1265" s="1">
        <v>45706</v>
      </c>
      <c r="H1265" t="s">
        <v>22</v>
      </c>
      <c r="I1265" t="s">
        <v>17</v>
      </c>
      <c r="J1265">
        <v>5</v>
      </c>
      <c r="K1265" t="s">
        <v>18</v>
      </c>
      <c r="L1265" t="s">
        <v>61</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1362</v>
      </c>
      <c r="B1266" t="s">
        <v>53</v>
      </c>
      <c r="C1266">
        <v>13</v>
      </c>
      <c r="D1266">
        <v>36.1</v>
      </c>
      <c r="E1266">
        <v>469.3</v>
      </c>
      <c r="F1266" s="1">
        <v>45706</v>
      </c>
      <c r="G1266" s="1">
        <v>45709</v>
      </c>
      <c r="H1266" t="s">
        <v>26</v>
      </c>
      <c r="I1266" t="s">
        <v>17</v>
      </c>
      <c r="J1266">
        <v>3</v>
      </c>
      <c r="K1266" t="s">
        <v>18</v>
      </c>
      <c r="L1266" t="s">
        <v>61</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1363</v>
      </c>
      <c r="B1267" t="s">
        <v>16</v>
      </c>
      <c r="C1267">
        <v>1</v>
      </c>
      <c r="D1267">
        <v>24.1</v>
      </c>
      <c r="E1267">
        <v>24.1</v>
      </c>
      <c r="F1267" s="1">
        <v>45706</v>
      </c>
      <c r="G1267" s="1">
        <v>45708</v>
      </c>
      <c r="H1267" t="s">
        <v>26</v>
      </c>
      <c r="I1267" t="s">
        <v>69</v>
      </c>
      <c r="J1267">
        <v>5</v>
      </c>
      <c r="K1267" t="s">
        <v>18</v>
      </c>
      <c r="L1267" t="s">
        <v>61</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1364</v>
      </c>
      <c r="B1268" t="s">
        <v>170</v>
      </c>
      <c r="C1268">
        <v>3</v>
      </c>
      <c r="D1268">
        <v>30.5</v>
      </c>
      <c r="E1268">
        <v>91.5</v>
      </c>
      <c r="F1268" s="1">
        <v>45706</v>
      </c>
      <c r="G1268" s="1">
        <v>45708</v>
      </c>
      <c r="H1268" t="s">
        <v>22</v>
      </c>
      <c r="I1268" t="s">
        <v>34</v>
      </c>
      <c r="J1268">
        <v>4</v>
      </c>
      <c r="K1268" t="s">
        <v>18</v>
      </c>
      <c r="L1268" t="s">
        <v>61</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1365</v>
      </c>
      <c r="B1269" t="s">
        <v>145</v>
      </c>
      <c r="C1269">
        <v>6</v>
      </c>
      <c r="D1269">
        <v>68.3</v>
      </c>
      <c r="E1269">
        <v>409.79999999999995</v>
      </c>
      <c r="F1269" s="1">
        <v>45706</v>
      </c>
      <c r="G1269" s="1">
        <v>45709</v>
      </c>
      <c r="H1269" t="s">
        <v>22</v>
      </c>
      <c r="I1269" t="s">
        <v>17</v>
      </c>
      <c r="J1269">
        <v>4</v>
      </c>
      <c r="K1269" t="s">
        <v>18</v>
      </c>
      <c r="L1269" t="s">
        <v>61</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1366</v>
      </c>
      <c r="B1270" t="s">
        <v>41</v>
      </c>
      <c r="C1270">
        <v>3</v>
      </c>
      <c r="D1270">
        <v>43.3</v>
      </c>
      <c r="E1270">
        <v>129.89999999999998</v>
      </c>
      <c r="F1270" s="1">
        <v>45706</v>
      </c>
      <c r="G1270" s="1">
        <v>45710</v>
      </c>
      <c r="H1270" t="s">
        <v>26</v>
      </c>
      <c r="I1270" t="s">
        <v>17</v>
      </c>
      <c r="J1270">
        <v>4</v>
      </c>
      <c r="K1270" t="s">
        <v>18</v>
      </c>
      <c r="L1270" t="s">
        <v>102</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1367</v>
      </c>
      <c r="B1271" t="s">
        <v>29</v>
      </c>
      <c r="C1271">
        <v>1</v>
      </c>
      <c r="D1271">
        <v>101.7</v>
      </c>
      <c r="E1271">
        <v>101.7</v>
      </c>
      <c r="F1271" s="1">
        <v>45706</v>
      </c>
      <c r="G1271" s="1">
        <v>45709</v>
      </c>
      <c r="H1271" t="s">
        <v>26</v>
      </c>
      <c r="I1271" t="s">
        <v>17</v>
      </c>
      <c r="J1271">
        <v>3</v>
      </c>
      <c r="K1271" t="s">
        <v>18</v>
      </c>
      <c r="L1271" t="s">
        <v>102</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1368</v>
      </c>
      <c r="B1272" t="s">
        <v>66</v>
      </c>
      <c r="C1272">
        <v>2</v>
      </c>
      <c r="D1272">
        <v>54.2</v>
      </c>
      <c r="E1272">
        <v>108.4</v>
      </c>
      <c r="F1272" s="1">
        <v>45706</v>
      </c>
      <c r="G1272" s="1">
        <v>45707</v>
      </c>
      <c r="H1272" t="s">
        <v>26</v>
      </c>
      <c r="I1272" t="s">
        <v>17</v>
      </c>
      <c r="J1272">
        <v>3</v>
      </c>
      <c r="K1272" t="s">
        <v>18</v>
      </c>
      <c r="L1272" t="s">
        <v>102</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1369</v>
      </c>
      <c r="B1273" t="s">
        <v>127</v>
      </c>
      <c r="C1273">
        <v>2</v>
      </c>
      <c r="D1273">
        <v>51</v>
      </c>
      <c r="E1273">
        <v>102</v>
      </c>
      <c r="F1273" s="1">
        <v>45706</v>
      </c>
      <c r="G1273" s="1">
        <v>45706</v>
      </c>
      <c r="H1273" t="s">
        <v>22</v>
      </c>
      <c r="I1273" t="s">
        <v>34</v>
      </c>
      <c r="J1273">
        <v>4</v>
      </c>
      <c r="K1273" t="s">
        <v>18</v>
      </c>
      <c r="L1273" t="s">
        <v>200</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1370</v>
      </c>
      <c r="B1274" t="s">
        <v>31</v>
      </c>
      <c r="C1274">
        <v>2</v>
      </c>
      <c r="D1274">
        <v>23.1</v>
      </c>
      <c r="E1274">
        <v>46.2</v>
      </c>
      <c r="F1274" s="1">
        <v>45706</v>
      </c>
      <c r="G1274" s="1">
        <v>45709</v>
      </c>
      <c r="H1274" t="s">
        <v>22</v>
      </c>
      <c r="I1274" t="s">
        <v>34</v>
      </c>
      <c r="J1274">
        <v>4</v>
      </c>
      <c r="K1274" t="s">
        <v>18</v>
      </c>
      <c r="L1274" t="s">
        <v>73</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1371</v>
      </c>
      <c r="B1275" t="s">
        <v>68</v>
      </c>
      <c r="C1275">
        <v>6</v>
      </c>
      <c r="D1275">
        <v>60.1</v>
      </c>
      <c r="E1275">
        <v>360.6</v>
      </c>
      <c r="F1275" s="1">
        <v>45706</v>
      </c>
      <c r="G1275" s="1">
        <v>45706</v>
      </c>
      <c r="H1275" t="s">
        <v>26</v>
      </c>
      <c r="I1275" t="s">
        <v>50</v>
      </c>
      <c r="J1275">
        <v>4</v>
      </c>
      <c r="K1275" t="s">
        <v>18</v>
      </c>
      <c r="L1275" t="s">
        <v>76</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1372</v>
      </c>
      <c r="B1276" t="s">
        <v>25</v>
      </c>
      <c r="C1276">
        <v>7</v>
      </c>
      <c r="D1276">
        <v>87.5</v>
      </c>
      <c r="E1276">
        <v>612.5</v>
      </c>
      <c r="F1276" s="1">
        <v>45706</v>
      </c>
      <c r="G1276" s="1">
        <v>45708</v>
      </c>
      <c r="H1276" t="s">
        <v>26</v>
      </c>
      <c r="I1276" t="s">
        <v>17</v>
      </c>
      <c r="J1276">
        <v>3</v>
      </c>
      <c r="K1276" t="s">
        <v>18</v>
      </c>
      <c r="L1276" t="s">
        <v>76</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1373</v>
      </c>
      <c r="B1277" t="s">
        <v>21</v>
      </c>
      <c r="C1277">
        <v>3</v>
      </c>
      <c r="D1277">
        <v>51</v>
      </c>
      <c r="E1277">
        <v>153</v>
      </c>
      <c r="F1277" s="1">
        <v>45706</v>
      </c>
      <c r="G1277" s="1">
        <v>45707</v>
      </c>
      <c r="H1277" t="s">
        <v>26</v>
      </c>
      <c r="I1277" t="s">
        <v>34</v>
      </c>
      <c r="J1277">
        <v>4</v>
      </c>
      <c r="K1277" t="s">
        <v>18</v>
      </c>
      <c r="L1277" t="s">
        <v>76</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1374</v>
      </c>
      <c r="B1278" t="s">
        <v>43</v>
      </c>
      <c r="C1278">
        <v>4</v>
      </c>
      <c r="D1278">
        <v>19.2</v>
      </c>
      <c r="E1278">
        <v>76.8</v>
      </c>
      <c r="F1278" s="1">
        <v>45706</v>
      </c>
      <c r="G1278" s="1">
        <v>45708</v>
      </c>
      <c r="H1278" t="s">
        <v>26</v>
      </c>
      <c r="I1278" t="s">
        <v>17</v>
      </c>
      <c r="J1278">
        <v>4</v>
      </c>
      <c r="K1278" t="s">
        <v>18</v>
      </c>
      <c r="L1278" t="s">
        <v>76</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1375</v>
      </c>
      <c r="B1279" t="s">
        <v>36</v>
      </c>
      <c r="C1279">
        <v>8</v>
      </c>
      <c r="D1279">
        <v>26.5</v>
      </c>
      <c r="E1279">
        <v>212</v>
      </c>
      <c r="F1279" s="1">
        <v>45706</v>
      </c>
      <c r="G1279" s="1">
        <v>45707</v>
      </c>
      <c r="I1279" t="s">
        <v>50</v>
      </c>
      <c r="J1279">
        <v>5</v>
      </c>
      <c r="K1279" t="s">
        <v>18</v>
      </c>
      <c r="L1279" t="s">
        <v>76</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1376</v>
      </c>
      <c r="B1280" t="s">
        <v>25</v>
      </c>
      <c r="C1280">
        <v>2</v>
      </c>
      <c r="D1280">
        <v>220.3</v>
      </c>
      <c r="E1280">
        <v>440.6</v>
      </c>
      <c r="F1280" s="1">
        <v>45706</v>
      </c>
      <c r="G1280" s="1">
        <v>45707</v>
      </c>
      <c r="H1280" t="s">
        <v>26</v>
      </c>
      <c r="I1280" t="s">
        <v>34</v>
      </c>
      <c r="J1280">
        <v>2</v>
      </c>
      <c r="K1280" t="s">
        <v>18</v>
      </c>
      <c r="L1280" t="s">
        <v>1115</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1377</v>
      </c>
      <c r="B1281" t="s">
        <v>43</v>
      </c>
      <c r="C1281">
        <v>3</v>
      </c>
      <c r="D1281">
        <v>45.7</v>
      </c>
      <c r="E1281">
        <v>137.10000000000002</v>
      </c>
      <c r="F1281" s="1">
        <v>45706</v>
      </c>
      <c r="G1281" s="1">
        <v>45707</v>
      </c>
      <c r="H1281" t="s">
        <v>26</v>
      </c>
      <c r="I1281" t="s">
        <v>69</v>
      </c>
      <c r="J1281">
        <v>4</v>
      </c>
      <c r="K1281" t="s">
        <v>18</v>
      </c>
      <c r="L1281" t="s">
        <v>267</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1378</v>
      </c>
      <c r="B1282" t="s">
        <v>36</v>
      </c>
      <c r="C1282">
        <v>5</v>
      </c>
      <c r="D1282">
        <v>47.1</v>
      </c>
      <c r="E1282">
        <v>235.5</v>
      </c>
      <c r="F1282" s="1">
        <v>45706</v>
      </c>
      <c r="G1282" s="1">
        <v>45710</v>
      </c>
      <c r="H1282" t="s">
        <v>26</v>
      </c>
      <c r="I1282" t="s">
        <v>50</v>
      </c>
      <c r="J1282">
        <v>4</v>
      </c>
      <c r="K1282" t="s">
        <v>18</v>
      </c>
      <c r="L1282" t="s">
        <v>81</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1379</v>
      </c>
      <c r="B1283" t="s">
        <v>21</v>
      </c>
      <c r="C1283">
        <v>5</v>
      </c>
      <c r="D1283">
        <v>81.7</v>
      </c>
      <c r="E1283">
        <v>408.5</v>
      </c>
      <c r="F1283" s="1">
        <v>45706</v>
      </c>
      <c r="G1283" s="1">
        <v>45707</v>
      </c>
      <c r="H1283" t="s">
        <v>26</v>
      </c>
      <c r="I1283" t="s">
        <v>17</v>
      </c>
      <c r="J1283">
        <v>5</v>
      </c>
      <c r="K1283" t="s">
        <v>18</v>
      </c>
      <c r="L1283" t="s">
        <v>114</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1380</v>
      </c>
      <c r="B1284" t="s">
        <v>38</v>
      </c>
      <c r="C1284">
        <v>10</v>
      </c>
      <c r="D1284">
        <v>97.8</v>
      </c>
      <c r="E1284">
        <v>978</v>
      </c>
      <c r="F1284" s="1">
        <v>45706</v>
      </c>
      <c r="G1284" s="1">
        <v>45706</v>
      </c>
      <c r="H1284" t="s">
        <v>22</v>
      </c>
      <c r="I1284" t="s">
        <v>34</v>
      </c>
      <c r="J1284">
        <v>3</v>
      </c>
      <c r="K1284" t="s">
        <v>18</v>
      </c>
      <c r="L1284" t="s">
        <v>114</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1381</v>
      </c>
      <c r="B1285" t="s">
        <v>38</v>
      </c>
      <c r="C1285">
        <v>3</v>
      </c>
      <c r="D1285">
        <v>42.4</v>
      </c>
      <c r="E1285">
        <v>127.19999999999999</v>
      </c>
      <c r="F1285" s="1">
        <v>45706</v>
      </c>
      <c r="G1285" s="1">
        <v>45707</v>
      </c>
      <c r="H1285" t="s">
        <v>26</v>
      </c>
      <c r="I1285" t="s">
        <v>17</v>
      </c>
      <c r="J1285">
        <v>5</v>
      </c>
      <c r="K1285" t="s">
        <v>18</v>
      </c>
      <c r="L1285" t="s">
        <v>1382</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1383</v>
      </c>
      <c r="B1286" t="s">
        <v>25</v>
      </c>
      <c r="C1286">
        <v>10</v>
      </c>
      <c r="D1286">
        <v>74.5</v>
      </c>
      <c r="E1286">
        <v>745</v>
      </c>
      <c r="F1286" s="1">
        <v>45706</v>
      </c>
      <c r="G1286" s="1">
        <v>45707</v>
      </c>
      <c r="H1286" t="s">
        <v>22</v>
      </c>
      <c r="I1286" t="s">
        <v>39</v>
      </c>
      <c r="J1286">
        <v>3</v>
      </c>
      <c r="K1286" t="s">
        <v>18</v>
      </c>
      <c r="L1286" t="s">
        <v>23</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1384</v>
      </c>
      <c r="B1287" t="s">
        <v>134</v>
      </c>
      <c r="C1287">
        <v>6</v>
      </c>
      <c r="D1287">
        <v>47.4</v>
      </c>
      <c r="E1287">
        <v>284.39999999999998</v>
      </c>
      <c r="F1287" s="1">
        <v>45706</v>
      </c>
      <c r="G1287" s="1">
        <v>45707</v>
      </c>
      <c r="H1287" t="s">
        <v>22</v>
      </c>
      <c r="I1287" t="s">
        <v>34</v>
      </c>
      <c r="J1287">
        <v>4</v>
      </c>
      <c r="K1287" t="s">
        <v>18</v>
      </c>
      <c r="L1287" t="s">
        <v>23</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1385</v>
      </c>
      <c r="B1288" t="s">
        <v>80</v>
      </c>
      <c r="C1288">
        <v>3</v>
      </c>
      <c r="D1288">
        <v>17.3</v>
      </c>
      <c r="E1288">
        <v>51.900000000000006</v>
      </c>
      <c r="F1288" s="1">
        <v>45707</v>
      </c>
      <c r="G1288" s="1">
        <v>45710</v>
      </c>
      <c r="H1288" t="s">
        <v>22</v>
      </c>
      <c r="I1288" t="s">
        <v>39</v>
      </c>
      <c r="J1288">
        <v>5</v>
      </c>
      <c r="K1288" t="s">
        <v>18</v>
      </c>
      <c r="L1288" t="s">
        <v>23</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1386</v>
      </c>
      <c r="B1289" t="s">
        <v>68</v>
      </c>
      <c r="C1289">
        <v>4</v>
      </c>
      <c r="D1289">
        <v>77.900000000000006</v>
      </c>
      <c r="E1289">
        <v>311.60000000000002</v>
      </c>
      <c r="F1289" s="1">
        <v>45707</v>
      </c>
      <c r="G1289" s="1">
        <v>45708</v>
      </c>
      <c r="H1289" t="s">
        <v>22</v>
      </c>
      <c r="I1289" t="s">
        <v>34</v>
      </c>
      <c r="J1289">
        <v>4</v>
      </c>
      <c r="K1289" t="s">
        <v>18</v>
      </c>
      <c r="L1289" t="s">
        <v>27</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1387</v>
      </c>
      <c r="B1290" t="s">
        <v>43</v>
      </c>
      <c r="C1290">
        <v>1</v>
      </c>
      <c r="D1290">
        <v>29.1</v>
      </c>
      <c r="E1290">
        <v>29.1</v>
      </c>
      <c r="F1290" s="1">
        <v>45707</v>
      </c>
      <c r="G1290" s="1">
        <v>45710</v>
      </c>
      <c r="H1290" t="s">
        <v>22</v>
      </c>
      <c r="I1290" t="s">
        <v>17</v>
      </c>
      <c r="J1290">
        <v>5</v>
      </c>
      <c r="K1290" t="s">
        <v>18</v>
      </c>
      <c r="L1290" t="s">
        <v>948</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1388</v>
      </c>
      <c r="B1291" t="s">
        <v>43</v>
      </c>
      <c r="C1291">
        <v>1</v>
      </c>
      <c r="D1291">
        <v>49</v>
      </c>
      <c r="E1291">
        <v>49</v>
      </c>
      <c r="F1291" s="1">
        <v>45707</v>
      </c>
      <c r="G1291" s="1">
        <v>45708</v>
      </c>
      <c r="H1291" t="s">
        <v>22</v>
      </c>
      <c r="I1291" t="s">
        <v>34</v>
      </c>
      <c r="J1291">
        <v>4</v>
      </c>
      <c r="K1291" t="s">
        <v>18</v>
      </c>
      <c r="L1291" t="s">
        <v>32</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1389</v>
      </c>
      <c r="B1292" t="s">
        <v>43</v>
      </c>
      <c r="C1292">
        <v>6</v>
      </c>
      <c r="D1292">
        <v>21.1</v>
      </c>
      <c r="E1292">
        <v>126.60000000000001</v>
      </c>
      <c r="F1292" s="1">
        <v>45707</v>
      </c>
      <c r="G1292" s="1">
        <v>45714</v>
      </c>
      <c r="H1292" t="s">
        <v>22</v>
      </c>
      <c r="I1292" t="s">
        <v>17</v>
      </c>
      <c r="J1292">
        <v>5</v>
      </c>
      <c r="K1292" t="s">
        <v>18</v>
      </c>
      <c r="L1292" t="s">
        <v>32</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1390</v>
      </c>
      <c r="B1293" t="s">
        <v>31</v>
      </c>
      <c r="C1293">
        <v>19</v>
      </c>
      <c r="D1293">
        <v>36.9</v>
      </c>
      <c r="E1293">
        <v>701.1</v>
      </c>
      <c r="F1293" s="1">
        <v>45707</v>
      </c>
      <c r="G1293" s="1">
        <v>45707</v>
      </c>
      <c r="H1293" t="s">
        <v>26</v>
      </c>
      <c r="I1293" t="s">
        <v>17</v>
      </c>
      <c r="J1293">
        <v>4</v>
      </c>
      <c r="K1293" t="s">
        <v>18</v>
      </c>
      <c r="L1293" t="s">
        <v>32</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1391</v>
      </c>
      <c r="B1294" t="s">
        <v>21</v>
      </c>
      <c r="C1294">
        <v>10</v>
      </c>
      <c r="D1294">
        <v>92.6</v>
      </c>
      <c r="E1294">
        <v>926</v>
      </c>
      <c r="F1294" s="1">
        <v>45707</v>
      </c>
      <c r="G1294" s="1">
        <v>45712</v>
      </c>
      <c r="H1294" t="s">
        <v>22</v>
      </c>
      <c r="I1294" t="s">
        <v>69</v>
      </c>
      <c r="J1294">
        <v>5</v>
      </c>
      <c r="K1294" t="s">
        <v>18</v>
      </c>
      <c r="L1294" t="s">
        <v>32</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1392</v>
      </c>
      <c r="B1295" t="s">
        <v>53</v>
      </c>
      <c r="C1295">
        <v>2</v>
      </c>
      <c r="D1295">
        <v>38</v>
      </c>
      <c r="E1295">
        <v>76</v>
      </c>
      <c r="F1295" s="1">
        <v>45707</v>
      </c>
      <c r="G1295" s="1">
        <v>45708</v>
      </c>
      <c r="H1295" t="s">
        <v>22</v>
      </c>
      <c r="I1295" t="s">
        <v>34</v>
      </c>
      <c r="J1295">
        <v>3</v>
      </c>
      <c r="K1295" t="s">
        <v>18</v>
      </c>
      <c r="L1295" t="s">
        <v>32</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1393</v>
      </c>
      <c r="B1296" t="s">
        <v>36</v>
      </c>
      <c r="C1296">
        <v>3</v>
      </c>
      <c r="D1296">
        <v>54.8</v>
      </c>
      <c r="E1296">
        <v>164.39999999999998</v>
      </c>
      <c r="F1296" s="1">
        <v>45707</v>
      </c>
      <c r="G1296" s="1">
        <v>45711</v>
      </c>
      <c r="I1296" t="s">
        <v>17</v>
      </c>
      <c r="J1296">
        <v>3</v>
      </c>
      <c r="K1296" t="s">
        <v>18</v>
      </c>
      <c r="L1296" t="s">
        <v>32</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1394</v>
      </c>
      <c r="B1297" t="s">
        <v>53</v>
      </c>
      <c r="C1297">
        <v>12</v>
      </c>
      <c r="D1297">
        <v>56.8</v>
      </c>
      <c r="E1297">
        <v>681.59999999999991</v>
      </c>
      <c r="F1297" s="1">
        <v>45707</v>
      </c>
      <c r="G1297" s="1">
        <v>45709</v>
      </c>
      <c r="H1297" t="s">
        <v>22</v>
      </c>
      <c r="I1297" t="s">
        <v>34</v>
      </c>
      <c r="J1297">
        <v>4</v>
      </c>
      <c r="K1297" t="s">
        <v>18</v>
      </c>
      <c r="L1297" t="s">
        <v>32</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1395</v>
      </c>
      <c r="B1298" t="s">
        <v>66</v>
      </c>
      <c r="C1298">
        <v>33</v>
      </c>
      <c r="D1298">
        <v>47.2</v>
      </c>
      <c r="E1298">
        <v>1557.6000000000001</v>
      </c>
      <c r="F1298" s="1">
        <v>45707</v>
      </c>
      <c r="G1298" s="1">
        <v>45710</v>
      </c>
      <c r="H1298" t="s">
        <v>26</v>
      </c>
      <c r="I1298" t="s">
        <v>34</v>
      </c>
      <c r="J1298">
        <v>4</v>
      </c>
      <c r="K1298" t="s">
        <v>18</v>
      </c>
      <c r="L1298" t="s">
        <v>32</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1396</v>
      </c>
      <c r="B1299" t="s">
        <v>41</v>
      </c>
      <c r="C1299">
        <v>6</v>
      </c>
      <c r="D1299">
        <v>45.1</v>
      </c>
      <c r="E1299">
        <v>270.60000000000002</v>
      </c>
      <c r="F1299" s="1">
        <v>45707</v>
      </c>
      <c r="G1299" s="1">
        <v>45708</v>
      </c>
      <c r="H1299" t="s">
        <v>26</v>
      </c>
      <c r="I1299" t="s">
        <v>39</v>
      </c>
      <c r="J1299">
        <v>4</v>
      </c>
      <c r="K1299" t="s">
        <v>18</v>
      </c>
      <c r="L1299" t="s">
        <v>544</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1397</v>
      </c>
      <c r="B1300" t="s">
        <v>31</v>
      </c>
      <c r="C1300">
        <v>12</v>
      </c>
      <c r="D1300">
        <v>25.2</v>
      </c>
      <c r="E1300">
        <v>302.39999999999998</v>
      </c>
      <c r="F1300" s="1">
        <v>45707</v>
      </c>
      <c r="G1300" s="1">
        <v>45712</v>
      </c>
      <c r="H1300" t="s">
        <v>26</v>
      </c>
      <c r="I1300" t="s">
        <v>39</v>
      </c>
      <c r="J1300">
        <v>4</v>
      </c>
      <c r="K1300" t="s">
        <v>18</v>
      </c>
      <c r="L1300" t="s">
        <v>97</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1398</v>
      </c>
      <c r="B1301" t="s">
        <v>43</v>
      </c>
      <c r="C1301">
        <v>1</v>
      </c>
      <c r="D1301">
        <v>22</v>
      </c>
      <c r="E1301">
        <v>22</v>
      </c>
      <c r="F1301" s="1">
        <v>45707</v>
      </c>
      <c r="G1301" s="1">
        <v>45708</v>
      </c>
      <c r="H1301" t="s">
        <v>26</v>
      </c>
      <c r="I1301" t="s">
        <v>17</v>
      </c>
      <c r="J1301">
        <v>4</v>
      </c>
      <c r="K1301" t="s">
        <v>18</v>
      </c>
      <c r="L1301" t="s">
        <v>51</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1399</v>
      </c>
      <c r="B1302" t="s">
        <v>38</v>
      </c>
      <c r="C1302">
        <v>2</v>
      </c>
      <c r="D1302">
        <v>42.2</v>
      </c>
      <c r="E1302">
        <v>84.4</v>
      </c>
      <c r="F1302" s="1">
        <v>45707</v>
      </c>
      <c r="G1302" s="1">
        <v>45708</v>
      </c>
      <c r="H1302" t="s">
        <v>26</v>
      </c>
      <c r="I1302" t="s">
        <v>34</v>
      </c>
      <c r="J1302">
        <v>3</v>
      </c>
      <c r="K1302" t="s">
        <v>18</v>
      </c>
      <c r="L1302" t="s">
        <v>157</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1400</v>
      </c>
      <c r="B1303" t="s">
        <v>75</v>
      </c>
      <c r="C1303">
        <v>3</v>
      </c>
      <c r="D1303">
        <v>20.5</v>
      </c>
      <c r="E1303">
        <v>61.5</v>
      </c>
      <c r="F1303" s="1">
        <v>45707</v>
      </c>
      <c r="G1303" s="1">
        <v>45708</v>
      </c>
      <c r="H1303" t="s">
        <v>22</v>
      </c>
      <c r="I1303" t="s">
        <v>17</v>
      </c>
      <c r="J1303">
        <v>3</v>
      </c>
      <c r="K1303" t="s">
        <v>18</v>
      </c>
      <c r="L1303" t="s">
        <v>54</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1401</v>
      </c>
      <c r="B1304" t="s">
        <v>25</v>
      </c>
      <c r="C1304">
        <v>1</v>
      </c>
      <c r="D1304">
        <v>190.4</v>
      </c>
      <c r="E1304">
        <v>190.4</v>
      </c>
      <c r="F1304" s="1">
        <v>45707</v>
      </c>
      <c r="G1304" s="1">
        <v>45712</v>
      </c>
      <c r="H1304" t="s">
        <v>22</v>
      </c>
      <c r="I1304" t="s">
        <v>34</v>
      </c>
      <c r="J1304">
        <v>2</v>
      </c>
      <c r="K1304" t="s">
        <v>18</v>
      </c>
      <c r="L1304" t="s">
        <v>54</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1402</v>
      </c>
      <c r="B1305" t="s">
        <v>25</v>
      </c>
      <c r="C1305">
        <v>1</v>
      </c>
      <c r="D1305">
        <v>121.9</v>
      </c>
      <c r="E1305">
        <v>121.9</v>
      </c>
      <c r="F1305" s="1">
        <v>45707</v>
      </c>
      <c r="G1305" s="1">
        <v>45709</v>
      </c>
      <c r="H1305" t="s">
        <v>26</v>
      </c>
      <c r="I1305" t="s">
        <v>34</v>
      </c>
      <c r="J1305">
        <v>5</v>
      </c>
      <c r="K1305" t="s">
        <v>18</v>
      </c>
      <c r="L1305" t="s">
        <v>54</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1403</v>
      </c>
      <c r="B1306" t="s">
        <v>25</v>
      </c>
      <c r="C1306">
        <v>6</v>
      </c>
      <c r="D1306">
        <v>149.19999999999999</v>
      </c>
      <c r="E1306">
        <v>895.19999999999993</v>
      </c>
      <c r="F1306" s="1">
        <v>45707</v>
      </c>
      <c r="G1306" s="1">
        <v>45708</v>
      </c>
      <c r="H1306" t="s">
        <v>26</v>
      </c>
      <c r="I1306" t="s">
        <v>39</v>
      </c>
      <c r="J1306">
        <v>5</v>
      </c>
      <c r="K1306" t="s">
        <v>18</v>
      </c>
      <c r="L1306" t="s">
        <v>58</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1404</v>
      </c>
      <c r="B1307" t="s">
        <v>25</v>
      </c>
      <c r="C1307">
        <v>1</v>
      </c>
      <c r="D1307">
        <v>54.1</v>
      </c>
      <c r="E1307">
        <v>54.1</v>
      </c>
      <c r="F1307" s="1">
        <v>45707</v>
      </c>
      <c r="G1307" s="1">
        <v>45716</v>
      </c>
      <c r="H1307" t="s">
        <v>26</v>
      </c>
      <c r="I1307" t="s">
        <v>39</v>
      </c>
      <c r="J1307">
        <v>5</v>
      </c>
      <c r="K1307" t="s">
        <v>18</v>
      </c>
      <c r="L1307" t="s">
        <v>58</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1405</v>
      </c>
      <c r="B1308" t="s">
        <v>36</v>
      </c>
      <c r="C1308">
        <v>2</v>
      </c>
      <c r="D1308">
        <v>27.4</v>
      </c>
      <c r="E1308">
        <v>54.8</v>
      </c>
      <c r="F1308" s="1">
        <v>45707</v>
      </c>
      <c r="G1308" s="1">
        <v>45709</v>
      </c>
      <c r="H1308" t="s">
        <v>22</v>
      </c>
      <c r="I1308" t="s">
        <v>34</v>
      </c>
      <c r="J1308">
        <v>4</v>
      </c>
      <c r="K1308" t="s">
        <v>18</v>
      </c>
      <c r="L1308" t="s">
        <v>61</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1406</v>
      </c>
      <c r="B1309" t="s">
        <v>16</v>
      </c>
      <c r="C1309">
        <v>13</v>
      </c>
      <c r="D1309">
        <v>30.4</v>
      </c>
      <c r="E1309">
        <v>395.2</v>
      </c>
      <c r="F1309" s="1">
        <v>45707</v>
      </c>
      <c r="G1309" s="1">
        <v>45708</v>
      </c>
      <c r="H1309" t="s">
        <v>26</v>
      </c>
      <c r="I1309" t="s">
        <v>17</v>
      </c>
      <c r="J1309">
        <v>5</v>
      </c>
      <c r="K1309" t="s">
        <v>18</v>
      </c>
      <c r="L1309" t="s">
        <v>61</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1407</v>
      </c>
      <c r="B1310" t="s">
        <v>68</v>
      </c>
      <c r="C1310">
        <v>3</v>
      </c>
      <c r="D1310">
        <v>46.2</v>
      </c>
      <c r="E1310">
        <v>138.60000000000002</v>
      </c>
      <c r="F1310" s="1">
        <v>45707</v>
      </c>
      <c r="G1310" s="1">
        <v>45709</v>
      </c>
      <c r="H1310" t="s">
        <v>22</v>
      </c>
      <c r="I1310" t="s">
        <v>39</v>
      </c>
      <c r="J1310">
        <v>3</v>
      </c>
      <c r="K1310" t="s">
        <v>18</v>
      </c>
      <c r="L1310" t="s">
        <v>102</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1408</v>
      </c>
      <c r="B1311" t="s">
        <v>41</v>
      </c>
      <c r="C1311">
        <v>8</v>
      </c>
      <c r="D1311">
        <v>78.599999999999994</v>
      </c>
      <c r="E1311">
        <v>628.79999999999995</v>
      </c>
      <c r="F1311" s="1">
        <v>45707</v>
      </c>
      <c r="G1311" s="1">
        <v>45711</v>
      </c>
      <c r="H1311" t="s">
        <v>22</v>
      </c>
      <c r="I1311" t="s">
        <v>50</v>
      </c>
      <c r="J1311">
        <v>4</v>
      </c>
      <c r="K1311" t="s">
        <v>18</v>
      </c>
      <c r="L1311" t="s">
        <v>102</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1409</v>
      </c>
      <c r="B1312" t="s">
        <v>134</v>
      </c>
      <c r="C1312">
        <v>10</v>
      </c>
      <c r="D1312">
        <v>25.9</v>
      </c>
      <c r="E1312">
        <v>259</v>
      </c>
      <c r="F1312" s="1">
        <v>45707</v>
      </c>
      <c r="G1312" s="1">
        <v>45713</v>
      </c>
      <c r="H1312" t="s">
        <v>22</v>
      </c>
      <c r="I1312" t="s">
        <v>69</v>
      </c>
      <c r="J1312">
        <v>4</v>
      </c>
      <c r="K1312" t="s">
        <v>18</v>
      </c>
      <c r="L1312" t="s">
        <v>71</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1410</v>
      </c>
      <c r="B1313" t="s">
        <v>38</v>
      </c>
      <c r="C1313">
        <v>1</v>
      </c>
      <c r="D1313">
        <v>134.80000000000001</v>
      </c>
      <c r="E1313">
        <v>134.80000000000001</v>
      </c>
      <c r="F1313" s="1">
        <v>45707</v>
      </c>
      <c r="G1313" s="1">
        <v>45709</v>
      </c>
      <c r="H1313" t="s">
        <v>22</v>
      </c>
      <c r="I1313" t="s">
        <v>39</v>
      </c>
      <c r="J1313">
        <v>5</v>
      </c>
      <c r="K1313" t="s">
        <v>18</v>
      </c>
      <c r="L1313" t="s">
        <v>71</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1411</v>
      </c>
      <c r="B1314" t="s">
        <v>122</v>
      </c>
      <c r="C1314">
        <v>5</v>
      </c>
      <c r="D1314">
        <v>43.1</v>
      </c>
      <c r="E1314">
        <v>215.5</v>
      </c>
      <c r="F1314" s="1">
        <v>45707</v>
      </c>
      <c r="G1314" s="1">
        <v>45709</v>
      </c>
      <c r="H1314" t="s">
        <v>26</v>
      </c>
      <c r="I1314" t="s">
        <v>17</v>
      </c>
      <c r="J1314">
        <v>4</v>
      </c>
      <c r="K1314" t="s">
        <v>18</v>
      </c>
      <c r="L1314" t="s">
        <v>76</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1412</v>
      </c>
      <c r="B1315" t="s">
        <v>25</v>
      </c>
      <c r="C1315">
        <v>2</v>
      </c>
      <c r="D1315">
        <v>215.6</v>
      </c>
      <c r="E1315">
        <v>431.2</v>
      </c>
      <c r="F1315" s="1">
        <v>45707</v>
      </c>
      <c r="G1315" s="1">
        <v>45708</v>
      </c>
      <c r="H1315" t="s">
        <v>26</v>
      </c>
      <c r="I1315" t="s">
        <v>39</v>
      </c>
      <c r="J1315">
        <v>4</v>
      </c>
      <c r="K1315" t="s">
        <v>18</v>
      </c>
      <c r="L1315" t="s">
        <v>107</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1413</v>
      </c>
      <c r="B1316" t="s">
        <v>38</v>
      </c>
      <c r="C1316">
        <v>2</v>
      </c>
      <c r="D1316">
        <v>80.7</v>
      </c>
      <c r="E1316">
        <v>161.4</v>
      </c>
      <c r="F1316" s="1">
        <v>45707</v>
      </c>
      <c r="G1316" s="1">
        <v>45710</v>
      </c>
      <c r="H1316" t="s">
        <v>26</v>
      </c>
      <c r="I1316" t="s">
        <v>50</v>
      </c>
      <c r="J1316">
        <v>4</v>
      </c>
      <c r="K1316" t="s">
        <v>18</v>
      </c>
      <c r="L1316" t="s">
        <v>107</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1414</v>
      </c>
      <c r="B1317" t="s">
        <v>53</v>
      </c>
      <c r="C1317">
        <v>7</v>
      </c>
      <c r="D1317">
        <v>20.6</v>
      </c>
      <c r="E1317">
        <v>144.20000000000002</v>
      </c>
      <c r="F1317" s="1">
        <v>45707</v>
      </c>
      <c r="G1317" s="1">
        <v>45712</v>
      </c>
      <c r="I1317" t="s">
        <v>39</v>
      </c>
      <c r="J1317">
        <v>3</v>
      </c>
      <c r="K1317" t="s">
        <v>18</v>
      </c>
      <c r="L1317" t="s">
        <v>109</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1415</v>
      </c>
      <c r="B1318" t="s">
        <v>68</v>
      </c>
      <c r="C1318">
        <v>3</v>
      </c>
      <c r="D1318">
        <v>37.1</v>
      </c>
      <c r="E1318">
        <v>111.30000000000001</v>
      </c>
      <c r="F1318" s="1">
        <v>45707</v>
      </c>
      <c r="G1318" s="1">
        <v>45708</v>
      </c>
      <c r="H1318" t="s">
        <v>26</v>
      </c>
      <c r="I1318" t="s">
        <v>17</v>
      </c>
      <c r="J1318">
        <v>4</v>
      </c>
      <c r="K1318" t="s">
        <v>18</v>
      </c>
      <c r="L1318" t="s">
        <v>996</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1416</v>
      </c>
      <c r="B1319" t="s">
        <v>68</v>
      </c>
      <c r="C1319">
        <v>1</v>
      </c>
      <c r="D1319">
        <v>104.8</v>
      </c>
      <c r="E1319">
        <v>104.8</v>
      </c>
      <c r="F1319" s="1">
        <v>45708</v>
      </c>
      <c r="G1319" s="1">
        <v>45710</v>
      </c>
      <c r="H1319" t="s">
        <v>26</v>
      </c>
      <c r="I1319" t="s">
        <v>17</v>
      </c>
      <c r="J1319">
        <v>4</v>
      </c>
      <c r="K1319" t="s">
        <v>18</v>
      </c>
      <c r="L1319" t="s">
        <v>81</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1417</v>
      </c>
      <c r="B1320" t="s">
        <v>43</v>
      </c>
      <c r="C1320">
        <v>2</v>
      </c>
      <c r="D1320">
        <v>59</v>
      </c>
      <c r="E1320">
        <v>118</v>
      </c>
      <c r="F1320" s="1">
        <v>45708</v>
      </c>
      <c r="G1320" s="1">
        <v>45709</v>
      </c>
      <c r="H1320" t="s">
        <v>22</v>
      </c>
      <c r="I1320" t="s">
        <v>34</v>
      </c>
      <c r="J1320">
        <v>4</v>
      </c>
      <c r="K1320" t="s">
        <v>18</v>
      </c>
      <c r="L1320" t="s">
        <v>114</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1418</v>
      </c>
      <c r="B1321" t="s">
        <v>43</v>
      </c>
      <c r="C1321">
        <v>2</v>
      </c>
      <c r="D1321">
        <v>32.299999999999997</v>
      </c>
      <c r="E1321">
        <v>64.599999999999994</v>
      </c>
      <c r="F1321" s="1">
        <v>45708</v>
      </c>
      <c r="G1321" s="1">
        <v>45709</v>
      </c>
      <c r="H1321" t="s">
        <v>22</v>
      </c>
      <c r="I1321" t="s">
        <v>17</v>
      </c>
      <c r="J1321">
        <v>5</v>
      </c>
      <c r="K1321" t="s">
        <v>18</v>
      </c>
      <c r="L1321" t="s">
        <v>114</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1419</v>
      </c>
      <c r="B1322" t="s">
        <v>43</v>
      </c>
      <c r="C1322">
        <v>4</v>
      </c>
      <c r="D1322">
        <v>28.9</v>
      </c>
      <c r="E1322">
        <v>115.6</v>
      </c>
      <c r="F1322" s="1">
        <v>45708</v>
      </c>
      <c r="G1322" s="1">
        <v>45715</v>
      </c>
      <c r="H1322" t="s">
        <v>22</v>
      </c>
      <c r="I1322" t="s">
        <v>17</v>
      </c>
      <c r="J1322">
        <v>4</v>
      </c>
      <c r="K1322" t="s">
        <v>18</v>
      </c>
      <c r="L1322" t="s">
        <v>23</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1420</v>
      </c>
      <c r="B1323" t="s">
        <v>16</v>
      </c>
      <c r="C1323">
        <v>2</v>
      </c>
      <c r="D1323">
        <v>29.6</v>
      </c>
      <c r="E1323">
        <v>59.2</v>
      </c>
      <c r="F1323" s="1">
        <v>45708</v>
      </c>
      <c r="G1323" s="1">
        <v>45710</v>
      </c>
      <c r="H1323" t="s">
        <v>22</v>
      </c>
      <c r="I1323" t="s">
        <v>17</v>
      </c>
      <c r="J1323">
        <v>4</v>
      </c>
      <c r="K1323" t="s">
        <v>18</v>
      </c>
      <c r="L1323" t="s">
        <v>23</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1421</v>
      </c>
      <c r="B1324" t="s">
        <v>16</v>
      </c>
      <c r="C1324">
        <v>5</v>
      </c>
      <c r="D1324">
        <v>29.4</v>
      </c>
      <c r="E1324">
        <v>147</v>
      </c>
      <c r="F1324" s="1">
        <v>45708</v>
      </c>
      <c r="G1324" s="1">
        <v>45711</v>
      </c>
      <c r="H1324" t="s">
        <v>26</v>
      </c>
      <c r="I1324" t="s">
        <v>17</v>
      </c>
      <c r="J1324">
        <v>4</v>
      </c>
      <c r="K1324" t="s">
        <v>18</v>
      </c>
      <c r="L1324" t="s">
        <v>23</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1422</v>
      </c>
      <c r="B1325" t="s">
        <v>21</v>
      </c>
      <c r="C1325">
        <v>2</v>
      </c>
      <c r="D1325">
        <v>40.6</v>
      </c>
      <c r="E1325">
        <v>81.2</v>
      </c>
      <c r="F1325" s="1">
        <v>45708</v>
      </c>
      <c r="G1325" s="1">
        <v>45709</v>
      </c>
      <c r="H1325" t="s">
        <v>22</v>
      </c>
      <c r="I1325" t="s">
        <v>17</v>
      </c>
      <c r="J1325">
        <v>2</v>
      </c>
      <c r="K1325" t="s">
        <v>18</v>
      </c>
      <c r="L1325" t="s">
        <v>27</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1423</v>
      </c>
      <c r="B1326" t="s">
        <v>16</v>
      </c>
      <c r="C1326">
        <v>3</v>
      </c>
      <c r="D1326">
        <v>32.5</v>
      </c>
      <c r="E1326">
        <v>97.5</v>
      </c>
      <c r="F1326" s="1">
        <v>45708</v>
      </c>
      <c r="G1326" s="1">
        <v>45709</v>
      </c>
      <c r="H1326" t="s">
        <v>22</v>
      </c>
      <c r="I1326" t="s">
        <v>50</v>
      </c>
      <c r="J1326">
        <v>5</v>
      </c>
      <c r="K1326" t="s">
        <v>18</v>
      </c>
      <c r="L1326" t="s">
        <v>146</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1424</v>
      </c>
      <c r="B1327" t="s">
        <v>122</v>
      </c>
      <c r="C1327">
        <v>1</v>
      </c>
      <c r="D1327">
        <v>26.2</v>
      </c>
      <c r="E1327">
        <v>26.2</v>
      </c>
      <c r="F1327" s="1">
        <v>45708</v>
      </c>
      <c r="G1327" s="1">
        <v>45710</v>
      </c>
      <c r="H1327" t="s">
        <v>22</v>
      </c>
      <c r="I1327" t="s">
        <v>39</v>
      </c>
      <c r="J1327">
        <v>4</v>
      </c>
      <c r="K1327" t="s">
        <v>18</v>
      </c>
      <c r="L1327" t="s">
        <v>1425</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1426</v>
      </c>
      <c r="B1328" t="s">
        <v>53</v>
      </c>
      <c r="C1328">
        <v>30</v>
      </c>
      <c r="D1328">
        <v>44</v>
      </c>
      <c r="E1328">
        <v>1320</v>
      </c>
      <c r="F1328" s="1">
        <v>45708</v>
      </c>
      <c r="G1328" s="1">
        <v>45714</v>
      </c>
      <c r="H1328" t="s">
        <v>22</v>
      </c>
      <c r="I1328" t="s">
        <v>69</v>
      </c>
      <c r="J1328">
        <v>4</v>
      </c>
      <c r="K1328" t="s">
        <v>18</v>
      </c>
      <c r="L1328" t="s">
        <v>32</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1427</v>
      </c>
      <c r="B1329" t="s">
        <v>41</v>
      </c>
      <c r="C1329">
        <v>4</v>
      </c>
      <c r="D1329">
        <v>65.599999999999994</v>
      </c>
      <c r="E1329">
        <v>262.39999999999998</v>
      </c>
      <c r="F1329" s="1">
        <v>45708</v>
      </c>
      <c r="G1329" s="1">
        <v>45709</v>
      </c>
      <c r="H1329" t="s">
        <v>26</v>
      </c>
      <c r="I1329" t="s">
        <v>34</v>
      </c>
      <c r="J1329">
        <v>3</v>
      </c>
      <c r="K1329" t="s">
        <v>18</v>
      </c>
      <c r="L1329" t="s">
        <v>32</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1428</v>
      </c>
      <c r="B1330" t="s">
        <v>36</v>
      </c>
      <c r="C1330">
        <v>12</v>
      </c>
      <c r="D1330">
        <v>32.6</v>
      </c>
      <c r="E1330">
        <v>391.20000000000005</v>
      </c>
      <c r="F1330" s="1">
        <v>45708</v>
      </c>
      <c r="G1330" s="1">
        <v>45709</v>
      </c>
      <c r="H1330" t="s">
        <v>22</v>
      </c>
      <c r="I1330" t="s">
        <v>69</v>
      </c>
      <c r="J1330">
        <v>4</v>
      </c>
      <c r="K1330" t="s">
        <v>18</v>
      </c>
      <c r="L1330" t="s">
        <v>32</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1429</v>
      </c>
      <c r="B1331" t="s">
        <v>127</v>
      </c>
      <c r="C1331">
        <v>2</v>
      </c>
      <c r="D1331">
        <v>88.7</v>
      </c>
      <c r="E1331">
        <v>177.4</v>
      </c>
      <c r="F1331" s="1">
        <v>45708</v>
      </c>
      <c r="G1331" s="1">
        <v>45709</v>
      </c>
      <c r="I1331" t="s">
        <v>50</v>
      </c>
      <c r="J1331">
        <v>5</v>
      </c>
      <c r="K1331" t="s">
        <v>18</v>
      </c>
      <c r="L1331" t="s">
        <v>32</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1430</v>
      </c>
      <c r="B1332" t="s">
        <v>31</v>
      </c>
      <c r="C1332">
        <v>2</v>
      </c>
      <c r="D1332">
        <v>21.3</v>
      </c>
      <c r="E1332">
        <v>42.6</v>
      </c>
      <c r="F1332" s="1">
        <v>45708</v>
      </c>
      <c r="G1332" s="1">
        <v>45709</v>
      </c>
      <c r="H1332" t="s">
        <v>22</v>
      </c>
      <c r="I1332" t="s">
        <v>17</v>
      </c>
      <c r="J1332">
        <v>4</v>
      </c>
      <c r="K1332" t="s">
        <v>18</v>
      </c>
      <c r="L1332" t="s">
        <v>32</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1431</v>
      </c>
      <c r="B1333" t="s">
        <v>31</v>
      </c>
      <c r="C1333">
        <v>6</v>
      </c>
      <c r="D1333">
        <v>50.6</v>
      </c>
      <c r="E1333">
        <v>303.60000000000002</v>
      </c>
      <c r="F1333" s="1">
        <v>45708</v>
      </c>
      <c r="G1333" s="1">
        <v>45712</v>
      </c>
      <c r="H1333" t="s">
        <v>26</v>
      </c>
      <c r="I1333" t="s">
        <v>39</v>
      </c>
      <c r="J1333">
        <v>4</v>
      </c>
      <c r="K1333" t="s">
        <v>18</v>
      </c>
      <c r="L1333" t="s">
        <v>32</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1432</v>
      </c>
      <c r="B1334" t="s">
        <v>45</v>
      </c>
      <c r="C1334">
        <v>21</v>
      </c>
      <c r="D1334">
        <v>86.9</v>
      </c>
      <c r="E1334">
        <v>1824.9</v>
      </c>
      <c r="F1334" s="1">
        <v>45708</v>
      </c>
      <c r="G1334" s="1">
        <v>45711</v>
      </c>
      <c r="H1334" t="s">
        <v>26</v>
      </c>
      <c r="I1334" t="s">
        <v>17</v>
      </c>
      <c r="J1334">
        <v>3</v>
      </c>
      <c r="K1334" t="s">
        <v>18</v>
      </c>
      <c r="L1334" t="s">
        <v>32</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1433</v>
      </c>
      <c r="B1335" t="s">
        <v>66</v>
      </c>
      <c r="C1335">
        <v>3</v>
      </c>
      <c r="D1335">
        <v>31.8</v>
      </c>
      <c r="E1335">
        <v>95.4</v>
      </c>
      <c r="F1335" s="1">
        <v>45708</v>
      </c>
      <c r="G1335" s="1">
        <v>45710</v>
      </c>
      <c r="H1335" t="s">
        <v>22</v>
      </c>
      <c r="I1335" t="s">
        <v>17</v>
      </c>
      <c r="J1335">
        <v>5</v>
      </c>
      <c r="K1335" t="s">
        <v>18</v>
      </c>
      <c r="L1335" t="s">
        <v>32</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1434</v>
      </c>
      <c r="B1336" t="s">
        <v>43</v>
      </c>
      <c r="C1336">
        <v>1</v>
      </c>
      <c r="D1336">
        <v>19</v>
      </c>
      <c r="E1336">
        <v>19</v>
      </c>
      <c r="F1336" s="1">
        <v>45708</v>
      </c>
      <c r="G1336" s="1">
        <v>45709</v>
      </c>
      <c r="H1336" t="s">
        <v>26</v>
      </c>
      <c r="I1336" t="s">
        <v>17</v>
      </c>
      <c r="J1336">
        <v>5</v>
      </c>
      <c r="K1336" t="s">
        <v>18</v>
      </c>
      <c r="L1336" t="s">
        <v>32</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1435</v>
      </c>
      <c r="B1337" t="s">
        <v>36</v>
      </c>
      <c r="C1337">
        <v>1</v>
      </c>
      <c r="D1337">
        <v>54.5</v>
      </c>
      <c r="E1337">
        <v>54.5</v>
      </c>
      <c r="F1337" s="1">
        <v>45708</v>
      </c>
      <c r="G1337" s="1">
        <v>45710</v>
      </c>
      <c r="H1337" t="s">
        <v>22</v>
      </c>
      <c r="I1337" t="s">
        <v>17</v>
      </c>
      <c r="J1337">
        <v>4</v>
      </c>
      <c r="K1337" t="s">
        <v>18</v>
      </c>
      <c r="L1337" t="s">
        <v>32</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1436</v>
      </c>
      <c r="B1338" t="s">
        <v>45</v>
      </c>
      <c r="C1338">
        <v>5</v>
      </c>
      <c r="D1338">
        <v>68.900000000000006</v>
      </c>
      <c r="E1338">
        <v>344.5</v>
      </c>
      <c r="F1338" s="1">
        <v>45708</v>
      </c>
      <c r="G1338" s="1">
        <v>45710</v>
      </c>
      <c r="H1338" t="s">
        <v>22</v>
      </c>
      <c r="I1338" t="s">
        <v>69</v>
      </c>
      <c r="J1338">
        <v>3</v>
      </c>
      <c r="K1338" t="s">
        <v>18</v>
      </c>
      <c r="L1338" t="s">
        <v>32</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1437</v>
      </c>
      <c r="B1339" t="s">
        <v>38</v>
      </c>
      <c r="C1339">
        <v>3</v>
      </c>
      <c r="D1339">
        <v>84</v>
      </c>
      <c r="E1339">
        <v>252</v>
      </c>
      <c r="F1339" s="1">
        <v>45708</v>
      </c>
      <c r="G1339" s="1">
        <v>45709</v>
      </c>
      <c r="H1339" t="s">
        <v>22</v>
      </c>
      <c r="I1339" t="s">
        <v>34</v>
      </c>
      <c r="J1339">
        <v>2</v>
      </c>
      <c r="K1339" t="s">
        <v>18</v>
      </c>
      <c r="L1339" t="s">
        <v>97</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1438</v>
      </c>
      <c r="B1340" t="s">
        <v>122</v>
      </c>
      <c r="C1340">
        <v>8</v>
      </c>
      <c r="D1340">
        <v>23.1</v>
      </c>
      <c r="E1340">
        <v>184.8</v>
      </c>
      <c r="F1340" s="1">
        <v>45708</v>
      </c>
      <c r="G1340" s="1">
        <v>45713</v>
      </c>
      <c r="H1340" t="s">
        <v>22</v>
      </c>
      <c r="I1340" t="s">
        <v>17</v>
      </c>
      <c r="J1340">
        <v>5</v>
      </c>
      <c r="K1340" t="s">
        <v>18</v>
      </c>
      <c r="L1340" t="s">
        <v>157</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1439</v>
      </c>
      <c r="B1341" t="s">
        <v>41</v>
      </c>
      <c r="C1341">
        <v>2</v>
      </c>
      <c r="D1341">
        <v>62.4</v>
      </c>
      <c r="E1341">
        <v>124.8</v>
      </c>
      <c r="F1341" s="1">
        <v>45708</v>
      </c>
      <c r="G1341" s="1">
        <v>45709</v>
      </c>
      <c r="H1341" t="s">
        <v>26</v>
      </c>
      <c r="I1341" t="s">
        <v>17</v>
      </c>
      <c r="J1341">
        <v>3</v>
      </c>
      <c r="K1341" t="s">
        <v>18</v>
      </c>
      <c r="L1341" t="s">
        <v>54</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1440</v>
      </c>
      <c r="B1342" t="s">
        <v>38</v>
      </c>
      <c r="C1342">
        <v>12</v>
      </c>
      <c r="D1342">
        <v>40.700000000000003</v>
      </c>
      <c r="E1342">
        <v>488.40000000000003</v>
      </c>
      <c r="F1342" s="1">
        <v>45708</v>
      </c>
      <c r="G1342" s="1">
        <v>45710</v>
      </c>
      <c r="H1342" t="s">
        <v>22</v>
      </c>
      <c r="I1342" t="s">
        <v>34</v>
      </c>
      <c r="J1342">
        <v>5</v>
      </c>
      <c r="K1342" t="s">
        <v>18</v>
      </c>
      <c r="L1342" t="s">
        <v>54</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1441</v>
      </c>
      <c r="B1343" t="s">
        <v>38</v>
      </c>
      <c r="C1343">
        <v>1</v>
      </c>
      <c r="D1343">
        <v>49.6</v>
      </c>
      <c r="E1343">
        <v>49.6</v>
      </c>
      <c r="F1343" s="1">
        <v>45708</v>
      </c>
      <c r="G1343" s="1">
        <v>45711</v>
      </c>
      <c r="H1343" t="s">
        <v>22</v>
      </c>
      <c r="I1343" t="s">
        <v>39</v>
      </c>
      <c r="J1343">
        <v>4</v>
      </c>
      <c r="K1343" t="s">
        <v>18</v>
      </c>
      <c r="L1343" t="s">
        <v>58</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1442</v>
      </c>
      <c r="B1344" t="s">
        <v>41</v>
      </c>
      <c r="C1344">
        <v>45</v>
      </c>
      <c r="D1344">
        <v>66.599999999999994</v>
      </c>
      <c r="E1344">
        <v>2996.9999999999995</v>
      </c>
      <c r="F1344" s="1">
        <v>45708</v>
      </c>
      <c r="G1344" s="1">
        <v>45711</v>
      </c>
      <c r="H1344" t="s">
        <v>22</v>
      </c>
      <c r="I1344" t="s">
        <v>39</v>
      </c>
      <c r="J1344">
        <v>4</v>
      </c>
      <c r="K1344" t="s">
        <v>18</v>
      </c>
      <c r="L1344" t="s">
        <v>61</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1443</v>
      </c>
      <c r="B1345" t="s">
        <v>43</v>
      </c>
      <c r="C1345">
        <v>3</v>
      </c>
      <c r="D1345">
        <v>26.4</v>
      </c>
      <c r="E1345">
        <v>79.199999999999989</v>
      </c>
      <c r="F1345" s="1">
        <v>45708</v>
      </c>
      <c r="G1345" s="1">
        <v>45709</v>
      </c>
      <c r="H1345" t="s">
        <v>26</v>
      </c>
      <c r="I1345" t="s">
        <v>34</v>
      </c>
      <c r="J1345">
        <v>3</v>
      </c>
      <c r="K1345" t="s">
        <v>18</v>
      </c>
      <c r="L1345" t="s">
        <v>61</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1444</v>
      </c>
      <c r="B1346" t="s">
        <v>16</v>
      </c>
      <c r="C1346">
        <v>2</v>
      </c>
      <c r="D1346">
        <v>17.2</v>
      </c>
      <c r="E1346">
        <v>34.4</v>
      </c>
      <c r="F1346" s="1">
        <v>45708</v>
      </c>
      <c r="G1346" s="1">
        <v>45711</v>
      </c>
      <c r="H1346" t="s">
        <v>22</v>
      </c>
      <c r="I1346" t="s">
        <v>39</v>
      </c>
      <c r="J1346">
        <v>3</v>
      </c>
      <c r="K1346" t="s">
        <v>18</v>
      </c>
      <c r="L1346" t="s">
        <v>61</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1445</v>
      </c>
      <c r="B1347" t="s">
        <v>36</v>
      </c>
      <c r="C1347">
        <v>8</v>
      </c>
      <c r="D1347">
        <v>58.1</v>
      </c>
      <c r="E1347">
        <v>464.8</v>
      </c>
      <c r="F1347" s="1">
        <v>45708</v>
      </c>
      <c r="G1347" s="1">
        <v>45711</v>
      </c>
      <c r="H1347" t="s">
        <v>26</v>
      </c>
      <c r="I1347" t="s">
        <v>69</v>
      </c>
      <c r="J1347">
        <v>4</v>
      </c>
      <c r="K1347" t="s">
        <v>18</v>
      </c>
      <c r="L1347" t="s">
        <v>61</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1446</v>
      </c>
      <c r="B1348" t="s">
        <v>122</v>
      </c>
      <c r="C1348">
        <v>4</v>
      </c>
      <c r="D1348">
        <v>31.5</v>
      </c>
      <c r="E1348">
        <v>126</v>
      </c>
      <c r="F1348" s="1">
        <v>45708</v>
      </c>
      <c r="G1348" s="1">
        <v>45711</v>
      </c>
      <c r="H1348" t="s">
        <v>26</v>
      </c>
      <c r="I1348" t="s">
        <v>69</v>
      </c>
      <c r="J1348">
        <v>2</v>
      </c>
      <c r="K1348" t="s">
        <v>18</v>
      </c>
      <c r="L1348" t="s">
        <v>61</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1447</v>
      </c>
      <c r="B1349" t="s">
        <v>16</v>
      </c>
      <c r="C1349">
        <v>1</v>
      </c>
      <c r="D1349">
        <v>27.1</v>
      </c>
      <c r="E1349">
        <v>27.1</v>
      </c>
      <c r="F1349" s="1">
        <v>45708</v>
      </c>
      <c r="G1349" s="1">
        <v>45710</v>
      </c>
      <c r="H1349" t="s">
        <v>26</v>
      </c>
      <c r="I1349" t="s">
        <v>17</v>
      </c>
      <c r="J1349">
        <v>3</v>
      </c>
      <c r="K1349" t="s">
        <v>18</v>
      </c>
      <c r="L1349" t="s">
        <v>102</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1448</v>
      </c>
      <c r="B1350" t="s">
        <v>145</v>
      </c>
      <c r="C1350">
        <v>4</v>
      </c>
      <c r="D1350">
        <v>28.5</v>
      </c>
      <c r="E1350">
        <v>114</v>
      </c>
      <c r="F1350" s="1">
        <v>45708</v>
      </c>
      <c r="G1350" s="1">
        <v>45710</v>
      </c>
      <c r="H1350" t="s">
        <v>22</v>
      </c>
      <c r="I1350" t="s">
        <v>34</v>
      </c>
      <c r="J1350">
        <v>5</v>
      </c>
      <c r="K1350" t="s">
        <v>18</v>
      </c>
      <c r="L1350" t="s">
        <v>71</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1449</v>
      </c>
      <c r="B1351" t="s">
        <v>53</v>
      </c>
      <c r="C1351">
        <v>1</v>
      </c>
      <c r="D1351">
        <v>40.5</v>
      </c>
      <c r="E1351">
        <v>40.5</v>
      </c>
      <c r="F1351" s="1">
        <v>45709</v>
      </c>
      <c r="G1351" s="1">
        <v>45711</v>
      </c>
      <c r="H1351" t="s">
        <v>88</v>
      </c>
      <c r="I1351" t="s">
        <v>39</v>
      </c>
      <c r="J1351">
        <v>4</v>
      </c>
      <c r="K1351" t="s">
        <v>18</v>
      </c>
      <c r="L1351" t="s">
        <v>71</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1450</v>
      </c>
      <c r="B1352" t="s">
        <v>25</v>
      </c>
      <c r="C1352">
        <v>3</v>
      </c>
      <c r="D1352">
        <v>77.900000000000006</v>
      </c>
      <c r="E1352">
        <v>233.70000000000002</v>
      </c>
      <c r="F1352" s="1">
        <v>45709</v>
      </c>
      <c r="G1352" s="1">
        <v>45713</v>
      </c>
      <c r="H1352" t="s">
        <v>26</v>
      </c>
      <c r="I1352" t="s">
        <v>34</v>
      </c>
      <c r="J1352">
        <v>5</v>
      </c>
      <c r="K1352" t="s">
        <v>18</v>
      </c>
      <c r="L1352" t="s">
        <v>109</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1451</v>
      </c>
      <c r="B1353" t="s">
        <v>145</v>
      </c>
      <c r="C1353">
        <v>4</v>
      </c>
      <c r="D1353">
        <v>37.1</v>
      </c>
      <c r="E1353">
        <v>148.4</v>
      </c>
      <c r="F1353" s="1">
        <v>45709</v>
      </c>
      <c r="G1353" s="1">
        <v>45711</v>
      </c>
      <c r="H1353" t="s">
        <v>22</v>
      </c>
      <c r="I1353" t="s">
        <v>69</v>
      </c>
      <c r="J1353">
        <v>5</v>
      </c>
      <c r="K1353" t="s">
        <v>18</v>
      </c>
      <c r="L1353" t="s">
        <v>109</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1452</v>
      </c>
      <c r="B1354" t="s">
        <v>127</v>
      </c>
      <c r="C1354">
        <v>3</v>
      </c>
      <c r="D1354">
        <v>51.6</v>
      </c>
      <c r="E1354">
        <v>154.80000000000001</v>
      </c>
      <c r="F1354" s="1">
        <v>45709</v>
      </c>
      <c r="G1354" s="1">
        <v>45717</v>
      </c>
      <c r="H1354" t="s">
        <v>26</v>
      </c>
      <c r="I1354" t="s">
        <v>17</v>
      </c>
      <c r="J1354">
        <v>2</v>
      </c>
      <c r="K1354" t="s">
        <v>18</v>
      </c>
      <c r="L1354" t="s">
        <v>109</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1453</v>
      </c>
      <c r="B1355" t="s">
        <v>41</v>
      </c>
      <c r="C1355">
        <v>3</v>
      </c>
      <c r="D1355">
        <v>98</v>
      </c>
      <c r="E1355">
        <v>294</v>
      </c>
      <c r="F1355" s="1">
        <v>45709</v>
      </c>
      <c r="G1355" s="1">
        <v>45710</v>
      </c>
      <c r="H1355" t="s">
        <v>22</v>
      </c>
      <c r="I1355" t="s">
        <v>34</v>
      </c>
      <c r="J1355">
        <v>3</v>
      </c>
      <c r="K1355" t="s">
        <v>18</v>
      </c>
      <c r="L1355" t="s">
        <v>109</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1454</v>
      </c>
      <c r="B1356" t="s">
        <v>38</v>
      </c>
      <c r="C1356">
        <v>7</v>
      </c>
      <c r="D1356">
        <v>41.4</v>
      </c>
      <c r="E1356">
        <v>289.8</v>
      </c>
      <c r="F1356" s="1">
        <v>45709</v>
      </c>
      <c r="G1356" s="1">
        <v>45710</v>
      </c>
      <c r="H1356" t="s">
        <v>22</v>
      </c>
      <c r="I1356" t="s">
        <v>34</v>
      </c>
      <c r="J1356">
        <v>4</v>
      </c>
      <c r="K1356" t="s">
        <v>18</v>
      </c>
      <c r="L1356" t="s">
        <v>112</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1455</v>
      </c>
      <c r="B1357" t="s">
        <v>66</v>
      </c>
      <c r="C1357">
        <v>8</v>
      </c>
      <c r="D1357">
        <v>34</v>
      </c>
      <c r="E1357">
        <v>272</v>
      </c>
      <c r="F1357" s="1">
        <v>45709</v>
      </c>
      <c r="G1357" s="1">
        <v>45714</v>
      </c>
      <c r="H1357" t="s">
        <v>26</v>
      </c>
      <c r="I1357" t="s">
        <v>17</v>
      </c>
      <c r="J1357">
        <v>5</v>
      </c>
      <c r="K1357" t="s">
        <v>18</v>
      </c>
      <c r="L1357" t="s">
        <v>996</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1456</v>
      </c>
      <c r="B1358" t="s">
        <v>38</v>
      </c>
      <c r="C1358">
        <v>1</v>
      </c>
      <c r="D1358">
        <v>66.3</v>
      </c>
      <c r="E1358">
        <v>66.3</v>
      </c>
      <c r="F1358" s="1">
        <v>45709</v>
      </c>
      <c r="G1358" s="1">
        <v>45710</v>
      </c>
      <c r="H1358" t="s">
        <v>26</v>
      </c>
      <c r="I1358" t="s">
        <v>34</v>
      </c>
      <c r="J1358">
        <v>4</v>
      </c>
      <c r="K1358" t="s">
        <v>18</v>
      </c>
      <c r="L1358" t="s">
        <v>81</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1457</v>
      </c>
      <c r="B1359" t="s">
        <v>41</v>
      </c>
      <c r="C1359">
        <v>1</v>
      </c>
      <c r="D1359">
        <v>33.5</v>
      </c>
      <c r="E1359">
        <v>33.5</v>
      </c>
      <c r="F1359" s="1">
        <v>45709</v>
      </c>
      <c r="G1359" s="1">
        <v>45713</v>
      </c>
      <c r="H1359" t="s">
        <v>22</v>
      </c>
      <c r="I1359" t="s">
        <v>39</v>
      </c>
      <c r="J1359">
        <v>4</v>
      </c>
      <c r="K1359" t="s">
        <v>18</v>
      </c>
      <c r="L1359" t="s">
        <v>81</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1458</v>
      </c>
      <c r="B1360" t="s">
        <v>68</v>
      </c>
      <c r="C1360">
        <v>2</v>
      </c>
      <c r="D1360">
        <v>70.8</v>
      </c>
      <c r="E1360">
        <v>141.6</v>
      </c>
      <c r="F1360" s="1">
        <v>45709</v>
      </c>
      <c r="G1360" s="1">
        <v>45710</v>
      </c>
      <c r="I1360" t="s">
        <v>17</v>
      </c>
      <c r="J1360">
        <v>4</v>
      </c>
      <c r="K1360" t="s">
        <v>18</v>
      </c>
      <c r="L1360" t="s">
        <v>242</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1459</v>
      </c>
      <c r="B1361" t="s">
        <v>38</v>
      </c>
      <c r="C1361">
        <v>2</v>
      </c>
      <c r="D1361">
        <v>127.6</v>
      </c>
      <c r="E1361">
        <v>255.2</v>
      </c>
      <c r="F1361" s="1">
        <v>45709</v>
      </c>
      <c r="G1361" s="1">
        <v>45710</v>
      </c>
      <c r="H1361" t="s">
        <v>22</v>
      </c>
      <c r="I1361" t="s">
        <v>17</v>
      </c>
      <c r="J1361">
        <v>4</v>
      </c>
      <c r="K1361" t="s">
        <v>18</v>
      </c>
      <c r="L1361" t="s">
        <v>114</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1460</v>
      </c>
      <c r="B1362" t="s">
        <v>38</v>
      </c>
      <c r="C1362">
        <v>3</v>
      </c>
      <c r="D1362">
        <v>95.9</v>
      </c>
      <c r="E1362">
        <v>287.70000000000005</v>
      </c>
      <c r="F1362" s="1">
        <v>45709</v>
      </c>
      <c r="G1362" s="1">
        <v>45710</v>
      </c>
      <c r="H1362" t="s">
        <v>26</v>
      </c>
      <c r="I1362" t="s">
        <v>34</v>
      </c>
      <c r="J1362">
        <v>3</v>
      </c>
      <c r="K1362" t="s">
        <v>18</v>
      </c>
      <c r="L1362" t="s">
        <v>114</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1461</v>
      </c>
      <c r="B1363" t="s">
        <v>25</v>
      </c>
      <c r="C1363">
        <v>2</v>
      </c>
      <c r="D1363">
        <v>78.099999999999994</v>
      </c>
      <c r="E1363">
        <v>156.19999999999999</v>
      </c>
      <c r="F1363" s="1">
        <v>45709</v>
      </c>
      <c r="G1363" s="1">
        <v>45710</v>
      </c>
      <c r="H1363" t="s">
        <v>22</v>
      </c>
      <c r="I1363" t="s">
        <v>17</v>
      </c>
      <c r="J1363">
        <v>4</v>
      </c>
      <c r="K1363" t="s">
        <v>18</v>
      </c>
      <c r="L1363" t="s">
        <v>23</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1462</v>
      </c>
      <c r="B1364" t="s">
        <v>75</v>
      </c>
      <c r="C1364">
        <v>2</v>
      </c>
      <c r="D1364">
        <v>43.2</v>
      </c>
      <c r="E1364">
        <v>86.4</v>
      </c>
      <c r="F1364" s="1">
        <v>45709</v>
      </c>
      <c r="G1364" s="1">
        <v>45710</v>
      </c>
      <c r="I1364" t="s">
        <v>34</v>
      </c>
      <c r="J1364">
        <v>3</v>
      </c>
      <c r="K1364" t="s">
        <v>18</v>
      </c>
      <c r="L1364" t="s">
        <v>23</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1463</v>
      </c>
      <c r="B1365" t="s">
        <v>43</v>
      </c>
      <c r="C1365">
        <v>4</v>
      </c>
      <c r="D1365">
        <v>28.4</v>
      </c>
      <c r="E1365">
        <v>113.6</v>
      </c>
      <c r="F1365" s="1">
        <v>45709</v>
      </c>
      <c r="G1365" s="1">
        <v>45715</v>
      </c>
      <c r="H1365" t="s">
        <v>22</v>
      </c>
      <c r="I1365" t="s">
        <v>39</v>
      </c>
      <c r="J1365">
        <v>4</v>
      </c>
      <c r="K1365" t="s">
        <v>18</v>
      </c>
      <c r="L1365" t="s">
        <v>32</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1464</v>
      </c>
      <c r="B1366" t="s">
        <v>25</v>
      </c>
      <c r="C1366">
        <v>2</v>
      </c>
      <c r="D1366">
        <v>81.7</v>
      </c>
      <c r="E1366">
        <v>163.4</v>
      </c>
      <c r="F1366" s="1">
        <v>45709</v>
      </c>
      <c r="G1366" s="1">
        <v>45709</v>
      </c>
      <c r="H1366" t="s">
        <v>22</v>
      </c>
      <c r="I1366" t="s">
        <v>17</v>
      </c>
      <c r="J1366">
        <v>4</v>
      </c>
      <c r="K1366" t="s">
        <v>18</v>
      </c>
      <c r="L1366" t="s">
        <v>32</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1465</v>
      </c>
      <c r="B1367" t="s">
        <v>145</v>
      </c>
      <c r="C1367">
        <v>2</v>
      </c>
      <c r="D1367">
        <v>56.7</v>
      </c>
      <c r="E1367">
        <v>113.4</v>
      </c>
      <c r="F1367" s="1">
        <v>45709</v>
      </c>
      <c r="G1367" s="1">
        <v>45711</v>
      </c>
      <c r="I1367" t="s">
        <v>17</v>
      </c>
      <c r="J1367">
        <v>5</v>
      </c>
      <c r="K1367" t="s">
        <v>18</v>
      </c>
      <c r="L1367" t="s">
        <v>32</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1466</v>
      </c>
      <c r="B1368" t="s">
        <v>29</v>
      </c>
      <c r="C1368">
        <v>4</v>
      </c>
      <c r="D1368">
        <v>66.5</v>
      </c>
      <c r="E1368">
        <v>266</v>
      </c>
      <c r="F1368" s="1">
        <v>45709</v>
      </c>
      <c r="G1368" s="1">
        <v>45709</v>
      </c>
      <c r="H1368" t="s">
        <v>26</v>
      </c>
      <c r="I1368" t="s">
        <v>17</v>
      </c>
      <c r="J1368">
        <v>5</v>
      </c>
      <c r="K1368" t="s">
        <v>18</v>
      </c>
      <c r="L1368" t="s">
        <v>32</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1467</v>
      </c>
      <c r="B1369" t="s">
        <v>21</v>
      </c>
      <c r="C1369">
        <v>2</v>
      </c>
      <c r="D1369">
        <v>105.3</v>
      </c>
      <c r="E1369">
        <v>210.6</v>
      </c>
      <c r="F1369" s="1">
        <v>45709</v>
      </c>
      <c r="G1369" s="1">
        <v>45713</v>
      </c>
      <c r="H1369" t="s">
        <v>22</v>
      </c>
      <c r="I1369" t="s">
        <v>17</v>
      </c>
      <c r="J1369">
        <v>3</v>
      </c>
      <c r="K1369" t="s">
        <v>18</v>
      </c>
      <c r="L1369" t="s">
        <v>32</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1468</v>
      </c>
      <c r="B1370" t="s">
        <v>53</v>
      </c>
      <c r="C1370">
        <v>5</v>
      </c>
      <c r="D1370">
        <v>33.799999999999997</v>
      </c>
      <c r="E1370">
        <v>169</v>
      </c>
      <c r="F1370" s="1">
        <v>45709</v>
      </c>
      <c r="G1370" s="1">
        <v>45714</v>
      </c>
      <c r="H1370" t="s">
        <v>22</v>
      </c>
      <c r="I1370" t="s">
        <v>17</v>
      </c>
      <c r="J1370">
        <v>4</v>
      </c>
      <c r="K1370" t="s">
        <v>18</v>
      </c>
      <c r="L1370" t="s">
        <v>32</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1469</v>
      </c>
      <c r="B1371" t="s">
        <v>38</v>
      </c>
      <c r="C1371">
        <v>3</v>
      </c>
      <c r="D1371">
        <v>63.4</v>
      </c>
      <c r="E1371">
        <v>190.2</v>
      </c>
      <c r="F1371" s="1">
        <v>45709</v>
      </c>
      <c r="G1371" s="1">
        <v>45714</v>
      </c>
      <c r="H1371" t="s">
        <v>22</v>
      </c>
      <c r="I1371" t="s">
        <v>50</v>
      </c>
      <c r="J1371">
        <v>3</v>
      </c>
      <c r="K1371" t="s">
        <v>18</v>
      </c>
      <c r="L1371" t="s">
        <v>185</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1470</v>
      </c>
      <c r="B1372" t="s">
        <v>38</v>
      </c>
      <c r="C1372">
        <v>3</v>
      </c>
      <c r="D1372">
        <v>49</v>
      </c>
      <c r="E1372">
        <v>147</v>
      </c>
      <c r="F1372" s="1">
        <v>45709</v>
      </c>
      <c r="G1372" s="1">
        <v>45713</v>
      </c>
      <c r="H1372" t="s">
        <v>22</v>
      </c>
      <c r="I1372" t="s">
        <v>50</v>
      </c>
      <c r="J1372">
        <v>4</v>
      </c>
      <c r="K1372" t="s">
        <v>18</v>
      </c>
      <c r="L1372" t="s">
        <v>801</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1471</v>
      </c>
      <c r="B1373" t="s">
        <v>21</v>
      </c>
      <c r="C1373">
        <v>2</v>
      </c>
      <c r="D1373">
        <v>40</v>
      </c>
      <c r="E1373">
        <v>80</v>
      </c>
      <c r="F1373" s="1">
        <v>45709</v>
      </c>
      <c r="G1373" s="1">
        <v>45710</v>
      </c>
      <c r="H1373" t="s">
        <v>26</v>
      </c>
      <c r="I1373" t="s">
        <v>69</v>
      </c>
      <c r="J1373">
        <v>3</v>
      </c>
      <c r="K1373" t="s">
        <v>18</v>
      </c>
      <c r="L1373" t="s">
        <v>157</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1472</v>
      </c>
      <c r="B1374" t="s">
        <v>38</v>
      </c>
      <c r="C1374">
        <v>4</v>
      </c>
      <c r="D1374">
        <v>86.3</v>
      </c>
      <c r="E1374">
        <v>345.2</v>
      </c>
      <c r="F1374" s="1">
        <v>45709</v>
      </c>
      <c r="G1374" s="1">
        <v>45710</v>
      </c>
      <c r="H1374" t="s">
        <v>88</v>
      </c>
      <c r="I1374" t="s">
        <v>17</v>
      </c>
      <c r="J1374">
        <v>4</v>
      </c>
      <c r="K1374" t="s">
        <v>18</v>
      </c>
      <c r="L1374" t="s">
        <v>54</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1473</v>
      </c>
      <c r="B1375" t="s">
        <v>38</v>
      </c>
      <c r="C1375">
        <v>1</v>
      </c>
      <c r="D1375">
        <v>51.6</v>
      </c>
      <c r="E1375">
        <v>51.6</v>
      </c>
      <c r="F1375" s="1">
        <v>45709</v>
      </c>
      <c r="G1375" s="1">
        <v>45711</v>
      </c>
      <c r="H1375" t="s">
        <v>26</v>
      </c>
      <c r="I1375" t="s">
        <v>39</v>
      </c>
      <c r="J1375">
        <v>5</v>
      </c>
      <c r="K1375" t="s">
        <v>18</v>
      </c>
      <c r="L1375" t="s">
        <v>54</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1474</v>
      </c>
      <c r="B1376" t="s">
        <v>53</v>
      </c>
      <c r="C1376">
        <v>3</v>
      </c>
      <c r="D1376">
        <v>26.7</v>
      </c>
      <c r="E1376">
        <v>80.099999999999994</v>
      </c>
      <c r="F1376" s="1">
        <v>45709</v>
      </c>
      <c r="G1376" s="1">
        <v>45714</v>
      </c>
      <c r="H1376" t="s">
        <v>26</v>
      </c>
      <c r="I1376" t="s">
        <v>39</v>
      </c>
      <c r="J1376">
        <v>3</v>
      </c>
      <c r="K1376" t="s">
        <v>18</v>
      </c>
      <c r="L1376" t="s">
        <v>54</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1475</v>
      </c>
      <c r="B1377" t="s">
        <v>145</v>
      </c>
      <c r="C1377">
        <v>2</v>
      </c>
      <c r="D1377">
        <v>68.099999999999994</v>
      </c>
      <c r="E1377">
        <v>136.19999999999999</v>
      </c>
      <c r="F1377" s="1">
        <v>45709</v>
      </c>
      <c r="G1377" s="1">
        <v>45710</v>
      </c>
      <c r="H1377" t="s">
        <v>22</v>
      </c>
      <c r="I1377" t="s">
        <v>17</v>
      </c>
      <c r="J1377">
        <v>3</v>
      </c>
      <c r="K1377" t="s">
        <v>18</v>
      </c>
      <c r="L1377" t="s">
        <v>54</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1476</v>
      </c>
      <c r="B1378" t="s">
        <v>21</v>
      </c>
      <c r="C1378">
        <v>1</v>
      </c>
      <c r="D1378">
        <v>81.7</v>
      </c>
      <c r="E1378">
        <v>81.7</v>
      </c>
      <c r="F1378" s="1">
        <v>45709</v>
      </c>
      <c r="G1378" s="1">
        <v>45710</v>
      </c>
      <c r="H1378" t="s">
        <v>22</v>
      </c>
      <c r="I1378" t="s">
        <v>17</v>
      </c>
      <c r="J1378">
        <v>4</v>
      </c>
      <c r="K1378" t="s">
        <v>18</v>
      </c>
      <c r="L1378" t="s">
        <v>58</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1477</v>
      </c>
      <c r="B1379" t="s">
        <v>145</v>
      </c>
      <c r="C1379">
        <v>10</v>
      </c>
      <c r="D1379">
        <v>25.1</v>
      </c>
      <c r="E1379">
        <v>251</v>
      </c>
      <c r="F1379" s="1">
        <v>45709</v>
      </c>
      <c r="G1379" s="1">
        <v>45712</v>
      </c>
      <c r="H1379" t="s">
        <v>22</v>
      </c>
      <c r="I1379" t="s">
        <v>50</v>
      </c>
      <c r="J1379">
        <v>3</v>
      </c>
      <c r="K1379" t="s">
        <v>18</v>
      </c>
      <c r="L1379" t="s">
        <v>61</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1478</v>
      </c>
      <c r="B1380" t="s">
        <v>43</v>
      </c>
      <c r="C1380">
        <v>1</v>
      </c>
      <c r="D1380">
        <v>20.2</v>
      </c>
      <c r="E1380">
        <v>20.2</v>
      </c>
      <c r="F1380" s="1">
        <v>45709</v>
      </c>
      <c r="G1380" s="1">
        <v>45713</v>
      </c>
      <c r="H1380" t="s">
        <v>26</v>
      </c>
      <c r="I1380" t="s">
        <v>17</v>
      </c>
      <c r="J1380">
        <v>4</v>
      </c>
      <c r="K1380" t="s">
        <v>18</v>
      </c>
      <c r="L1380" t="s">
        <v>61</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1479</v>
      </c>
      <c r="B1381" t="s">
        <v>43</v>
      </c>
      <c r="C1381">
        <v>3</v>
      </c>
      <c r="D1381">
        <v>15.4</v>
      </c>
      <c r="E1381">
        <v>46.2</v>
      </c>
      <c r="F1381" s="1">
        <v>45709</v>
      </c>
      <c r="G1381" s="1">
        <v>45710</v>
      </c>
      <c r="H1381" t="s">
        <v>22</v>
      </c>
      <c r="I1381" t="s">
        <v>34</v>
      </c>
      <c r="J1381">
        <v>5</v>
      </c>
      <c r="K1381" t="s">
        <v>18</v>
      </c>
      <c r="L1381" t="s">
        <v>61</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1480</v>
      </c>
      <c r="B1382" t="s">
        <v>53</v>
      </c>
      <c r="C1382">
        <v>1</v>
      </c>
      <c r="D1382">
        <v>59.2</v>
      </c>
      <c r="E1382">
        <v>59.2</v>
      </c>
      <c r="F1382" s="1">
        <v>45709</v>
      </c>
      <c r="G1382" s="1">
        <v>45710</v>
      </c>
      <c r="H1382" t="s">
        <v>22</v>
      </c>
      <c r="I1382" t="s">
        <v>39</v>
      </c>
      <c r="J1382">
        <v>5</v>
      </c>
      <c r="K1382" t="s">
        <v>18</v>
      </c>
      <c r="L1382" t="s">
        <v>102</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1481</v>
      </c>
      <c r="B1383" t="s">
        <v>16</v>
      </c>
      <c r="C1383">
        <v>1</v>
      </c>
      <c r="D1383">
        <v>46.7</v>
      </c>
      <c r="E1383">
        <v>46.7</v>
      </c>
      <c r="F1383" s="1">
        <v>45709</v>
      </c>
      <c r="G1383" s="1">
        <v>45714</v>
      </c>
      <c r="H1383" t="s">
        <v>22</v>
      </c>
      <c r="I1383" t="s">
        <v>17</v>
      </c>
      <c r="J1383">
        <v>4</v>
      </c>
      <c r="K1383" t="s">
        <v>18</v>
      </c>
      <c r="L1383" t="s">
        <v>102</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1482</v>
      </c>
      <c r="B1384" t="s">
        <v>38</v>
      </c>
      <c r="C1384">
        <v>15</v>
      </c>
      <c r="D1384">
        <v>41.6</v>
      </c>
      <c r="E1384">
        <v>624</v>
      </c>
      <c r="F1384" s="1">
        <v>45709</v>
      </c>
      <c r="G1384" s="1">
        <v>45711</v>
      </c>
      <c r="H1384" t="s">
        <v>22</v>
      </c>
      <c r="I1384" t="s">
        <v>34</v>
      </c>
      <c r="J1384">
        <v>4</v>
      </c>
      <c r="K1384" t="s">
        <v>18</v>
      </c>
      <c r="L1384" t="s">
        <v>200</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1483</v>
      </c>
      <c r="B1385" t="s">
        <v>43</v>
      </c>
      <c r="C1385">
        <v>2</v>
      </c>
      <c r="D1385">
        <v>19.2</v>
      </c>
      <c r="E1385">
        <v>38.4</v>
      </c>
      <c r="F1385" s="1">
        <v>45709</v>
      </c>
      <c r="G1385" s="1">
        <v>45712</v>
      </c>
      <c r="H1385" t="s">
        <v>22</v>
      </c>
      <c r="I1385" t="s">
        <v>69</v>
      </c>
      <c r="J1385">
        <v>5</v>
      </c>
      <c r="K1385" t="s">
        <v>18</v>
      </c>
      <c r="L1385" t="s">
        <v>71</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1484</v>
      </c>
      <c r="B1386" t="s">
        <v>134</v>
      </c>
      <c r="C1386">
        <v>7</v>
      </c>
      <c r="D1386">
        <v>41.8</v>
      </c>
      <c r="E1386">
        <v>292.59999999999997</v>
      </c>
      <c r="F1386" s="1">
        <v>45709</v>
      </c>
      <c r="G1386" s="1">
        <v>45711</v>
      </c>
      <c r="H1386" t="s">
        <v>26</v>
      </c>
      <c r="I1386" t="s">
        <v>39</v>
      </c>
      <c r="J1386">
        <v>4</v>
      </c>
      <c r="K1386" t="s">
        <v>18</v>
      </c>
      <c r="L1386" t="s">
        <v>76</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1485</v>
      </c>
      <c r="B1387" t="s">
        <v>43</v>
      </c>
      <c r="C1387">
        <v>6</v>
      </c>
      <c r="D1387">
        <v>37.4</v>
      </c>
      <c r="E1387">
        <v>224.39999999999998</v>
      </c>
      <c r="F1387" s="1">
        <v>45709</v>
      </c>
      <c r="G1387" s="1">
        <v>45711</v>
      </c>
      <c r="H1387" t="s">
        <v>22</v>
      </c>
      <c r="I1387" t="s">
        <v>17</v>
      </c>
      <c r="J1387">
        <v>5</v>
      </c>
      <c r="K1387" t="s">
        <v>18</v>
      </c>
      <c r="L1387" t="s">
        <v>76</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1486</v>
      </c>
      <c r="B1388" t="s">
        <v>53</v>
      </c>
      <c r="C1388">
        <v>3</v>
      </c>
      <c r="D1388">
        <v>60.2</v>
      </c>
      <c r="E1388">
        <v>180.60000000000002</v>
      </c>
      <c r="F1388" s="1">
        <v>45709</v>
      </c>
      <c r="G1388" s="1">
        <v>45712</v>
      </c>
      <c r="H1388" t="s">
        <v>22</v>
      </c>
      <c r="I1388" t="s">
        <v>69</v>
      </c>
      <c r="J1388">
        <v>3</v>
      </c>
      <c r="K1388" t="s">
        <v>18</v>
      </c>
      <c r="L1388" t="s">
        <v>376</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1487</v>
      </c>
      <c r="B1389" t="s">
        <v>45</v>
      </c>
      <c r="C1389">
        <v>2</v>
      </c>
      <c r="D1389">
        <v>91.5</v>
      </c>
      <c r="E1389">
        <v>183</v>
      </c>
      <c r="F1389" s="1">
        <v>45710</v>
      </c>
      <c r="G1389" s="1">
        <v>45711</v>
      </c>
      <c r="H1389" t="s">
        <v>22</v>
      </c>
      <c r="I1389" t="s">
        <v>17</v>
      </c>
      <c r="J1389">
        <v>4</v>
      </c>
      <c r="K1389" t="s">
        <v>18</v>
      </c>
      <c r="L1389" t="s">
        <v>81</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1488</v>
      </c>
      <c r="B1390" t="s">
        <v>29</v>
      </c>
      <c r="C1390">
        <v>5</v>
      </c>
      <c r="D1390">
        <v>55.7</v>
      </c>
      <c r="E1390">
        <v>278.5</v>
      </c>
      <c r="F1390" s="1">
        <v>45710</v>
      </c>
      <c r="G1390" s="1">
        <v>45712</v>
      </c>
      <c r="I1390" t="s">
        <v>34</v>
      </c>
      <c r="J1390">
        <v>5</v>
      </c>
      <c r="K1390" t="s">
        <v>18</v>
      </c>
      <c r="L1390" t="s">
        <v>114</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1489</v>
      </c>
      <c r="B1391" t="s">
        <v>41</v>
      </c>
      <c r="C1391">
        <v>2</v>
      </c>
      <c r="D1391">
        <v>76.7</v>
      </c>
      <c r="E1391">
        <v>153.4</v>
      </c>
      <c r="F1391" s="1">
        <v>45710</v>
      </c>
      <c r="G1391" s="1">
        <v>45712</v>
      </c>
      <c r="H1391" t="s">
        <v>22</v>
      </c>
      <c r="I1391" t="s">
        <v>17</v>
      </c>
      <c r="J1391">
        <v>3</v>
      </c>
      <c r="K1391" t="s">
        <v>18</v>
      </c>
      <c r="L1391" t="s">
        <v>114</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1490</v>
      </c>
      <c r="B1392" t="s">
        <v>43</v>
      </c>
      <c r="C1392">
        <v>21</v>
      </c>
      <c r="D1392">
        <v>28.2</v>
      </c>
      <c r="E1392">
        <v>592.19999999999993</v>
      </c>
      <c r="F1392" s="1">
        <v>45710</v>
      </c>
      <c r="G1392" s="1">
        <v>45715</v>
      </c>
      <c r="H1392" t="s">
        <v>22</v>
      </c>
      <c r="I1392" t="s">
        <v>39</v>
      </c>
      <c r="J1392">
        <v>4</v>
      </c>
      <c r="K1392" t="s">
        <v>18</v>
      </c>
      <c r="L1392" t="s">
        <v>23</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1491</v>
      </c>
      <c r="B1393" t="s">
        <v>41</v>
      </c>
      <c r="C1393">
        <v>5</v>
      </c>
      <c r="D1393">
        <v>93.2</v>
      </c>
      <c r="E1393">
        <v>466</v>
      </c>
      <c r="F1393" s="1">
        <v>45710</v>
      </c>
      <c r="G1393" s="1">
        <v>45712</v>
      </c>
      <c r="H1393" t="s">
        <v>26</v>
      </c>
      <c r="I1393" t="s">
        <v>69</v>
      </c>
      <c r="J1393">
        <v>5</v>
      </c>
      <c r="K1393" t="s">
        <v>18</v>
      </c>
      <c r="L1393" t="s">
        <v>23</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1492</v>
      </c>
      <c r="B1394" t="s">
        <v>134</v>
      </c>
      <c r="C1394">
        <v>1</v>
      </c>
      <c r="D1394">
        <v>33.299999999999997</v>
      </c>
      <c r="E1394">
        <v>33.299999999999997</v>
      </c>
      <c r="F1394" s="1">
        <v>45710</v>
      </c>
      <c r="G1394" s="1">
        <v>45711</v>
      </c>
      <c r="H1394" t="s">
        <v>22</v>
      </c>
      <c r="I1394" t="s">
        <v>69</v>
      </c>
      <c r="J1394">
        <v>4</v>
      </c>
      <c r="K1394" t="s">
        <v>18</v>
      </c>
      <c r="L1394" t="s">
        <v>27</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1493</v>
      </c>
      <c r="B1395" t="s">
        <v>53</v>
      </c>
      <c r="C1395">
        <v>2</v>
      </c>
      <c r="D1395">
        <v>39.1</v>
      </c>
      <c r="E1395">
        <v>78.2</v>
      </c>
      <c r="F1395" s="1">
        <v>45710</v>
      </c>
      <c r="G1395" s="1">
        <v>45713</v>
      </c>
      <c r="H1395" t="s">
        <v>22</v>
      </c>
      <c r="I1395" t="s">
        <v>17</v>
      </c>
      <c r="J1395">
        <v>4</v>
      </c>
      <c r="K1395" t="s">
        <v>18</v>
      </c>
      <c r="L1395" t="s">
        <v>586</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1494</v>
      </c>
      <c r="B1396" t="s">
        <v>41</v>
      </c>
      <c r="C1396">
        <v>12</v>
      </c>
      <c r="D1396">
        <v>45.3</v>
      </c>
      <c r="E1396">
        <v>543.59999999999991</v>
      </c>
      <c r="F1396" s="1">
        <v>45710</v>
      </c>
      <c r="G1396" s="1">
        <v>45711</v>
      </c>
      <c r="H1396" t="s">
        <v>22</v>
      </c>
      <c r="I1396" t="s">
        <v>39</v>
      </c>
      <c r="J1396">
        <v>4</v>
      </c>
      <c r="K1396" t="s">
        <v>18</v>
      </c>
      <c r="L1396" t="s">
        <v>330</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1495</v>
      </c>
      <c r="B1397" t="s">
        <v>45</v>
      </c>
      <c r="C1397">
        <v>7</v>
      </c>
      <c r="D1397">
        <v>33.9</v>
      </c>
      <c r="E1397">
        <v>237.29999999999998</v>
      </c>
      <c r="F1397" s="1">
        <v>45710</v>
      </c>
      <c r="G1397" s="1">
        <v>45711</v>
      </c>
      <c r="H1397" t="s">
        <v>22</v>
      </c>
      <c r="I1397" t="s">
        <v>69</v>
      </c>
      <c r="J1397">
        <v>4</v>
      </c>
      <c r="K1397" t="s">
        <v>18</v>
      </c>
      <c r="L1397" t="s">
        <v>330</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1496</v>
      </c>
      <c r="B1398" t="s">
        <v>43</v>
      </c>
      <c r="C1398">
        <v>3</v>
      </c>
      <c r="D1398">
        <v>19</v>
      </c>
      <c r="E1398">
        <v>57</v>
      </c>
      <c r="F1398" s="1">
        <v>45710</v>
      </c>
      <c r="G1398" s="1">
        <v>45711</v>
      </c>
      <c r="H1398" t="s">
        <v>22</v>
      </c>
      <c r="I1398" t="s">
        <v>17</v>
      </c>
      <c r="J1398">
        <v>5</v>
      </c>
      <c r="K1398" t="s">
        <v>18</v>
      </c>
      <c r="L1398" t="s">
        <v>85</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1497</v>
      </c>
      <c r="B1399" t="s">
        <v>31</v>
      </c>
      <c r="C1399">
        <v>1</v>
      </c>
      <c r="D1399">
        <v>41.9</v>
      </c>
      <c r="E1399">
        <v>41.9</v>
      </c>
      <c r="F1399" s="1">
        <v>45710</v>
      </c>
      <c r="G1399" s="1">
        <v>45713</v>
      </c>
      <c r="H1399" t="s">
        <v>26</v>
      </c>
      <c r="I1399" t="s">
        <v>39</v>
      </c>
      <c r="J1399">
        <v>4</v>
      </c>
      <c r="K1399" t="s">
        <v>18</v>
      </c>
      <c r="L1399" t="s">
        <v>146</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1498</v>
      </c>
      <c r="B1400" t="s">
        <v>21</v>
      </c>
      <c r="C1400">
        <v>4</v>
      </c>
      <c r="D1400">
        <v>37.5</v>
      </c>
      <c r="E1400">
        <v>150</v>
      </c>
      <c r="F1400" s="1">
        <v>45710</v>
      </c>
      <c r="G1400" s="1">
        <v>45710</v>
      </c>
      <c r="H1400" t="s">
        <v>26</v>
      </c>
      <c r="I1400" t="s">
        <v>17</v>
      </c>
      <c r="J1400">
        <v>4</v>
      </c>
      <c r="K1400" t="s">
        <v>18</v>
      </c>
      <c r="L1400" t="s">
        <v>32</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1499</v>
      </c>
      <c r="B1401" t="s">
        <v>16</v>
      </c>
      <c r="C1401">
        <v>2</v>
      </c>
      <c r="D1401">
        <v>40.799999999999997</v>
      </c>
      <c r="E1401">
        <v>81.599999999999994</v>
      </c>
      <c r="F1401" s="1">
        <v>45710</v>
      </c>
      <c r="G1401" s="1">
        <v>45713</v>
      </c>
      <c r="H1401" t="s">
        <v>22</v>
      </c>
      <c r="I1401" t="s">
        <v>17</v>
      </c>
      <c r="J1401">
        <v>4</v>
      </c>
      <c r="K1401" t="s">
        <v>18</v>
      </c>
      <c r="L1401" t="s">
        <v>32</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1500</v>
      </c>
      <c r="B1402" t="s">
        <v>16</v>
      </c>
      <c r="C1402">
        <v>4</v>
      </c>
      <c r="D1402">
        <v>23.1</v>
      </c>
      <c r="E1402">
        <v>92.4</v>
      </c>
      <c r="F1402" s="1">
        <v>45710</v>
      </c>
      <c r="G1402" s="1">
        <v>45711</v>
      </c>
      <c r="H1402" t="s">
        <v>26</v>
      </c>
      <c r="I1402" t="s">
        <v>69</v>
      </c>
      <c r="J1402">
        <v>4</v>
      </c>
      <c r="K1402" t="s">
        <v>18</v>
      </c>
      <c r="L1402" t="s">
        <v>32</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1501</v>
      </c>
      <c r="B1403" t="s">
        <v>43</v>
      </c>
      <c r="C1403">
        <v>5</v>
      </c>
      <c r="D1403">
        <v>39.299999999999997</v>
      </c>
      <c r="E1403">
        <v>196.5</v>
      </c>
      <c r="F1403" s="1">
        <v>45710</v>
      </c>
      <c r="G1403" s="1">
        <v>45711</v>
      </c>
      <c r="H1403" t="s">
        <v>26</v>
      </c>
      <c r="I1403" t="s">
        <v>17</v>
      </c>
      <c r="J1403">
        <v>4</v>
      </c>
      <c r="K1403" t="s">
        <v>18</v>
      </c>
      <c r="L1403" t="s">
        <v>32</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1502</v>
      </c>
      <c r="B1404" t="s">
        <v>25</v>
      </c>
      <c r="C1404">
        <v>4</v>
      </c>
      <c r="D1404">
        <v>85.2</v>
      </c>
      <c r="E1404">
        <v>340.8</v>
      </c>
      <c r="F1404" s="1">
        <v>45710</v>
      </c>
      <c r="G1404" s="1">
        <v>45715</v>
      </c>
      <c r="H1404" t="s">
        <v>22</v>
      </c>
      <c r="I1404" t="s">
        <v>39</v>
      </c>
      <c r="J1404">
        <v>4</v>
      </c>
      <c r="K1404" t="s">
        <v>18</v>
      </c>
      <c r="L1404" t="s">
        <v>32</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1503</v>
      </c>
      <c r="B1405" t="s">
        <v>43</v>
      </c>
      <c r="C1405">
        <v>6</v>
      </c>
      <c r="D1405">
        <v>16</v>
      </c>
      <c r="E1405">
        <v>96</v>
      </c>
      <c r="F1405" s="1">
        <v>45710</v>
      </c>
      <c r="G1405" s="1">
        <v>45713</v>
      </c>
      <c r="H1405" t="s">
        <v>22</v>
      </c>
      <c r="I1405" t="s">
        <v>34</v>
      </c>
      <c r="J1405">
        <v>4</v>
      </c>
      <c r="K1405" t="s">
        <v>18</v>
      </c>
      <c r="L1405" t="s">
        <v>32</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1504</v>
      </c>
      <c r="B1406" t="s">
        <v>21</v>
      </c>
      <c r="C1406">
        <v>2</v>
      </c>
      <c r="D1406">
        <v>33.799999999999997</v>
      </c>
      <c r="E1406">
        <v>67.599999999999994</v>
      </c>
      <c r="F1406" s="1">
        <v>45710</v>
      </c>
      <c r="G1406" s="1">
        <v>45714</v>
      </c>
      <c r="H1406" t="s">
        <v>26</v>
      </c>
      <c r="I1406" t="s">
        <v>34</v>
      </c>
      <c r="J1406">
        <v>4</v>
      </c>
      <c r="K1406" t="s">
        <v>18</v>
      </c>
      <c r="L1406" t="s">
        <v>32</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1505</v>
      </c>
      <c r="B1407" t="s">
        <v>29</v>
      </c>
      <c r="C1407">
        <v>1</v>
      </c>
      <c r="D1407">
        <v>70</v>
      </c>
      <c r="E1407">
        <v>70</v>
      </c>
      <c r="F1407" s="1">
        <v>45710</v>
      </c>
      <c r="G1407" s="1">
        <v>45711</v>
      </c>
      <c r="H1407" t="s">
        <v>26</v>
      </c>
      <c r="I1407" t="s">
        <v>17</v>
      </c>
      <c r="J1407">
        <v>4</v>
      </c>
      <c r="K1407" t="s">
        <v>18</v>
      </c>
      <c r="L1407" t="s">
        <v>32</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1506</v>
      </c>
      <c r="B1408" t="s">
        <v>45</v>
      </c>
      <c r="C1408">
        <v>1</v>
      </c>
      <c r="D1408">
        <v>88</v>
      </c>
      <c r="E1408">
        <v>88</v>
      </c>
      <c r="F1408" s="1">
        <v>45710</v>
      </c>
      <c r="G1408" s="1">
        <v>45715</v>
      </c>
      <c r="H1408" t="s">
        <v>26</v>
      </c>
      <c r="I1408" t="s">
        <v>50</v>
      </c>
      <c r="J1408">
        <v>4</v>
      </c>
      <c r="K1408" t="s">
        <v>18</v>
      </c>
      <c r="L1408" t="s">
        <v>32</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1507</v>
      </c>
      <c r="B1409" t="s">
        <v>25</v>
      </c>
      <c r="C1409">
        <v>3</v>
      </c>
      <c r="D1409">
        <v>74.099999999999994</v>
      </c>
      <c r="E1409">
        <v>222.29999999999998</v>
      </c>
      <c r="F1409" s="1">
        <v>45710</v>
      </c>
      <c r="G1409" s="1">
        <v>45710</v>
      </c>
      <c r="H1409" t="s">
        <v>22</v>
      </c>
      <c r="I1409" t="s">
        <v>69</v>
      </c>
      <c r="J1409">
        <v>3</v>
      </c>
      <c r="K1409" t="s">
        <v>18</v>
      </c>
      <c r="L1409" t="s">
        <v>32</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1508</v>
      </c>
      <c r="B1410" t="s">
        <v>25</v>
      </c>
      <c r="C1410">
        <v>1</v>
      </c>
      <c r="D1410">
        <v>161.9</v>
      </c>
      <c r="E1410">
        <v>161.9</v>
      </c>
      <c r="F1410" s="1">
        <v>45710</v>
      </c>
      <c r="G1410" s="1">
        <v>45712</v>
      </c>
      <c r="H1410" t="s">
        <v>22</v>
      </c>
      <c r="I1410" t="s">
        <v>39</v>
      </c>
      <c r="J1410">
        <v>4</v>
      </c>
      <c r="K1410" t="s">
        <v>18</v>
      </c>
      <c r="L1410" t="s">
        <v>32</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1509</v>
      </c>
      <c r="B1411" t="s">
        <v>31</v>
      </c>
      <c r="C1411">
        <v>2</v>
      </c>
      <c r="D1411">
        <v>44</v>
      </c>
      <c r="E1411">
        <v>88</v>
      </c>
      <c r="F1411" s="1">
        <v>45710</v>
      </c>
      <c r="G1411" s="1">
        <v>45711</v>
      </c>
      <c r="H1411" t="s">
        <v>88</v>
      </c>
      <c r="I1411" t="s">
        <v>69</v>
      </c>
      <c r="J1411">
        <v>3</v>
      </c>
      <c r="K1411" t="s">
        <v>18</v>
      </c>
      <c r="L1411" t="s">
        <v>32</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1510</v>
      </c>
      <c r="B1412" t="s">
        <v>66</v>
      </c>
      <c r="C1412">
        <v>1</v>
      </c>
      <c r="D1412">
        <v>32.1</v>
      </c>
      <c r="E1412">
        <v>32.1</v>
      </c>
      <c r="F1412" s="1">
        <v>45710</v>
      </c>
      <c r="G1412" s="1">
        <v>45710</v>
      </c>
      <c r="H1412" t="s">
        <v>26</v>
      </c>
      <c r="I1412" t="s">
        <v>50</v>
      </c>
      <c r="J1412">
        <v>1</v>
      </c>
      <c r="K1412" t="s">
        <v>18</v>
      </c>
      <c r="L1412" t="s">
        <v>32</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1511</v>
      </c>
      <c r="B1413" t="s">
        <v>25</v>
      </c>
      <c r="C1413">
        <v>4</v>
      </c>
      <c r="D1413">
        <v>104.8</v>
      </c>
      <c r="E1413">
        <v>419.2</v>
      </c>
      <c r="F1413" s="1">
        <v>45711</v>
      </c>
      <c r="G1413" s="1">
        <v>45713</v>
      </c>
      <c r="H1413" t="s">
        <v>88</v>
      </c>
      <c r="I1413" t="s">
        <v>17</v>
      </c>
      <c r="J1413">
        <v>4</v>
      </c>
      <c r="K1413" t="s">
        <v>18</v>
      </c>
      <c r="L1413" t="s">
        <v>32</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1512</v>
      </c>
      <c r="B1414" t="s">
        <v>45</v>
      </c>
      <c r="C1414">
        <v>6</v>
      </c>
      <c r="D1414">
        <v>67.400000000000006</v>
      </c>
      <c r="E1414">
        <v>404.40000000000003</v>
      </c>
      <c r="F1414" s="1">
        <v>45711</v>
      </c>
      <c r="G1414" s="1">
        <v>45712</v>
      </c>
      <c r="H1414" t="s">
        <v>26</v>
      </c>
      <c r="I1414" t="s">
        <v>50</v>
      </c>
      <c r="J1414">
        <v>4</v>
      </c>
      <c r="K1414" t="s">
        <v>18</v>
      </c>
      <c r="L1414" t="s">
        <v>32</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1513</v>
      </c>
      <c r="B1415" t="s">
        <v>38</v>
      </c>
      <c r="C1415">
        <v>2</v>
      </c>
      <c r="D1415">
        <v>115.2</v>
      </c>
      <c r="E1415">
        <v>230.4</v>
      </c>
      <c r="F1415" s="1">
        <v>45711</v>
      </c>
      <c r="G1415" s="1">
        <v>45712</v>
      </c>
      <c r="H1415" t="s">
        <v>26</v>
      </c>
      <c r="I1415" t="s">
        <v>34</v>
      </c>
      <c r="J1415">
        <v>4</v>
      </c>
      <c r="K1415" t="s">
        <v>18</v>
      </c>
      <c r="L1415" t="s">
        <v>48</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1514</v>
      </c>
      <c r="B1416" t="s">
        <v>43</v>
      </c>
      <c r="C1416">
        <v>29</v>
      </c>
      <c r="D1416">
        <v>15.5</v>
      </c>
      <c r="E1416">
        <v>449.5</v>
      </c>
      <c r="F1416" s="1">
        <v>45711</v>
      </c>
      <c r="G1416" s="1">
        <v>45713</v>
      </c>
      <c r="H1416" t="s">
        <v>26</v>
      </c>
      <c r="I1416" t="s">
        <v>17</v>
      </c>
      <c r="J1416">
        <v>3</v>
      </c>
      <c r="K1416" t="s">
        <v>18</v>
      </c>
      <c r="L1416" t="s">
        <v>157</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1515</v>
      </c>
      <c r="B1417" t="s">
        <v>38</v>
      </c>
      <c r="C1417">
        <v>11</v>
      </c>
      <c r="D1417">
        <v>66.400000000000006</v>
      </c>
      <c r="E1417">
        <v>730.40000000000009</v>
      </c>
      <c r="F1417" s="1">
        <v>45711</v>
      </c>
      <c r="G1417" s="1">
        <v>45713</v>
      </c>
      <c r="H1417" t="s">
        <v>26</v>
      </c>
      <c r="I1417" t="s">
        <v>17</v>
      </c>
      <c r="J1417">
        <v>4</v>
      </c>
      <c r="K1417" t="s">
        <v>18</v>
      </c>
      <c r="L1417" t="s">
        <v>54</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1516</v>
      </c>
      <c r="B1418" t="s">
        <v>45</v>
      </c>
      <c r="C1418">
        <v>12</v>
      </c>
      <c r="D1418">
        <v>68.099999999999994</v>
      </c>
      <c r="E1418">
        <v>817.19999999999993</v>
      </c>
      <c r="F1418" s="1">
        <v>45711</v>
      </c>
      <c r="G1418" s="1">
        <v>45712</v>
      </c>
      <c r="H1418" t="s">
        <v>26</v>
      </c>
      <c r="I1418" t="s">
        <v>39</v>
      </c>
      <c r="J1418">
        <v>4</v>
      </c>
      <c r="K1418" t="s">
        <v>18</v>
      </c>
      <c r="L1418" t="s">
        <v>61</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1517</v>
      </c>
      <c r="B1419" t="s">
        <v>43</v>
      </c>
      <c r="C1419">
        <v>5</v>
      </c>
      <c r="D1419">
        <v>32.5</v>
      </c>
      <c r="E1419">
        <v>162.5</v>
      </c>
      <c r="F1419" s="1">
        <v>45711</v>
      </c>
      <c r="G1419" s="1">
        <v>45715</v>
      </c>
      <c r="H1419" t="s">
        <v>22</v>
      </c>
      <c r="I1419" t="s">
        <v>39</v>
      </c>
      <c r="J1419">
        <v>3</v>
      </c>
      <c r="K1419" t="s">
        <v>18</v>
      </c>
      <c r="L1419" t="s">
        <v>61</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1518</v>
      </c>
      <c r="B1420" t="s">
        <v>122</v>
      </c>
      <c r="C1420">
        <v>3</v>
      </c>
      <c r="D1420">
        <v>61.2</v>
      </c>
      <c r="E1420">
        <v>183.60000000000002</v>
      </c>
      <c r="F1420" s="1">
        <v>45711</v>
      </c>
      <c r="G1420" s="1">
        <v>45713</v>
      </c>
      <c r="H1420" t="s">
        <v>26</v>
      </c>
      <c r="I1420" t="s">
        <v>34</v>
      </c>
      <c r="J1420">
        <v>3</v>
      </c>
      <c r="K1420" t="s">
        <v>18</v>
      </c>
      <c r="L1420" t="s">
        <v>61</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1519</v>
      </c>
      <c r="B1421" t="s">
        <v>45</v>
      </c>
      <c r="C1421">
        <v>2</v>
      </c>
      <c r="D1421">
        <v>54.2</v>
      </c>
      <c r="E1421">
        <v>108.4</v>
      </c>
      <c r="F1421" s="1">
        <v>45711</v>
      </c>
      <c r="G1421" s="1">
        <v>45712</v>
      </c>
      <c r="H1421" t="s">
        <v>26</v>
      </c>
      <c r="I1421" t="s">
        <v>34</v>
      </c>
      <c r="J1421">
        <v>4</v>
      </c>
      <c r="K1421" t="s">
        <v>18</v>
      </c>
      <c r="L1421" t="s">
        <v>61</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1520</v>
      </c>
      <c r="B1422" t="s">
        <v>66</v>
      </c>
      <c r="C1422">
        <v>8</v>
      </c>
      <c r="D1422">
        <v>28.7</v>
      </c>
      <c r="E1422">
        <v>229.6</v>
      </c>
      <c r="F1422" s="1">
        <v>45711</v>
      </c>
      <c r="G1422" s="1">
        <v>45713</v>
      </c>
      <c r="H1422" t="s">
        <v>22</v>
      </c>
      <c r="I1422" t="s">
        <v>34</v>
      </c>
      <c r="J1422">
        <v>4</v>
      </c>
      <c r="K1422" t="s">
        <v>18</v>
      </c>
      <c r="L1422" t="s">
        <v>71</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1521</v>
      </c>
      <c r="B1423" t="s">
        <v>68</v>
      </c>
      <c r="C1423">
        <v>6</v>
      </c>
      <c r="D1423">
        <v>38.200000000000003</v>
      </c>
      <c r="E1423">
        <v>229.20000000000002</v>
      </c>
      <c r="F1423" s="1">
        <v>45711</v>
      </c>
      <c r="G1423" s="1">
        <v>45715</v>
      </c>
      <c r="H1423" t="s">
        <v>26</v>
      </c>
      <c r="I1423" t="s">
        <v>17</v>
      </c>
      <c r="J1423">
        <v>3</v>
      </c>
      <c r="K1423" t="s">
        <v>18</v>
      </c>
      <c r="L1423" t="s">
        <v>71</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1522</v>
      </c>
      <c r="B1424" t="s">
        <v>43</v>
      </c>
      <c r="C1424">
        <v>12</v>
      </c>
      <c r="D1424">
        <v>17.600000000000001</v>
      </c>
      <c r="E1424">
        <v>211.20000000000002</v>
      </c>
      <c r="F1424" s="1">
        <v>45711</v>
      </c>
      <c r="G1424" s="1">
        <v>45712</v>
      </c>
      <c r="H1424" t="s">
        <v>26</v>
      </c>
      <c r="I1424" t="s">
        <v>39</v>
      </c>
      <c r="J1424">
        <v>3</v>
      </c>
      <c r="K1424" t="s">
        <v>18</v>
      </c>
      <c r="L1424" t="s">
        <v>71</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1523</v>
      </c>
      <c r="B1425" t="s">
        <v>53</v>
      </c>
      <c r="C1425">
        <v>3</v>
      </c>
      <c r="D1425">
        <v>74.599999999999994</v>
      </c>
      <c r="E1425">
        <v>223.79999999999998</v>
      </c>
      <c r="F1425" s="1">
        <v>45711</v>
      </c>
      <c r="G1425" s="1">
        <v>45711</v>
      </c>
      <c r="H1425" t="s">
        <v>26</v>
      </c>
      <c r="I1425" t="s">
        <v>39</v>
      </c>
      <c r="J1425">
        <v>4</v>
      </c>
      <c r="K1425" t="s">
        <v>18</v>
      </c>
      <c r="L1425" t="s">
        <v>76</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1524</v>
      </c>
      <c r="B1426" t="s">
        <v>127</v>
      </c>
      <c r="C1426">
        <v>15</v>
      </c>
      <c r="D1426">
        <v>72.599999999999994</v>
      </c>
      <c r="E1426">
        <v>1089</v>
      </c>
      <c r="F1426" s="1">
        <v>45711</v>
      </c>
      <c r="G1426" s="1">
        <v>45711</v>
      </c>
      <c r="I1426" t="s">
        <v>34</v>
      </c>
      <c r="J1426">
        <v>3</v>
      </c>
      <c r="K1426" t="s">
        <v>18</v>
      </c>
      <c r="L1426" t="s">
        <v>76</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1525</v>
      </c>
      <c r="B1427" t="s">
        <v>41</v>
      </c>
      <c r="C1427">
        <v>1</v>
      </c>
      <c r="D1427">
        <v>62.3</v>
      </c>
      <c r="E1427">
        <v>62.3</v>
      </c>
      <c r="F1427" s="1">
        <v>45711</v>
      </c>
      <c r="G1427" s="1">
        <v>45712</v>
      </c>
      <c r="H1427" t="s">
        <v>26</v>
      </c>
      <c r="I1427" t="s">
        <v>34</v>
      </c>
      <c r="J1427">
        <v>4</v>
      </c>
      <c r="K1427" t="s">
        <v>18</v>
      </c>
      <c r="L1427" t="s">
        <v>76</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1526</v>
      </c>
      <c r="B1428" t="s">
        <v>29</v>
      </c>
      <c r="C1428">
        <v>3</v>
      </c>
      <c r="D1428">
        <v>33.799999999999997</v>
      </c>
      <c r="E1428">
        <v>101.39999999999999</v>
      </c>
      <c r="F1428" s="1">
        <v>45711</v>
      </c>
      <c r="G1428" s="1">
        <v>45713</v>
      </c>
      <c r="H1428" t="s">
        <v>22</v>
      </c>
      <c r="I1428" t="s">
        <v>17</v>
      </c>
      <c r="J1428">
        <v>5</v>
      </c>
      <c r="K1428" t="s">
        <v>18</v>
      </c>
      <c r="L1428" t="s">
        <v>112</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1527</v>
      </c>
      <c r="B1429" t="s">
        <v>45</v>
      </c>
      <c r="C1429">
        <v>1</v>
      </c>
      <c r="D1429">
        <v>85.7</v>
      </c>
      <c r="E1429">
        <v>85.7</v>
      </c>
      <c r="F1429" s="1">
        <v>45711</v>
      </c>
      <c r="G1429" s="1">
        <v>45714</v>
      </c>
      <c r="H1429" t="s">
        <v>22</v>
      </c>
      <c r="I1429" t="s">
        <v>50</v>
      </c>
      <c r="J1429">
        <v>3</v>
      </c>
      <c r="K1429" t="s">
        <v>18</v>
      </c>
      <c r="L1429" t="s">
        <v>114</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1528</v>
      </c>
      <c r="B1430" t="s">
        <v>38</v>
      </c>
      <c r="C1430">
        <v>2</v>
      </c>
      <c r="D1430">
        <v>92.1</v>
      </c>
      <c r="E1430">
        <v>184.2</v>
      </c>
      <c r="F1430" s="1">
        <v>45711</v>
      </c>
      <c r="G1430" s="1">
        <v>45713</v>
      </c>
      <c r="H1430" t="s">
        <v>22</v>
      </c>
      <c r="I1430" t="s">
        <v>34</v>
      </c>
      <c r="J1430">
        <v>4</v>
      </c>
      <c r="K1430" t="s">
        <v>18</v>
      </c>
      <c r="L1430" t="s">
        <v>114</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1529</v>
      </c>
      <c r="B1431" t="s">
        <v>127</v>
      </c>
      <c r="C1431">
        <v>3</v>
      </c>
      <c r="D1431">
        <v>65.099999999999994</v>
      </c>
      <c r="E1431">
        <v>195.29999999999998</v>
      </c>
      <c r="F1431" s="1">
        <v>45711</v>
      </c>
      <c r="G1431" s="1">
        <v>45714</v>
      </c>
      <c r="H1431" t="s">
        <v>22</v>
      </c>
      <c r="I1431" t="s">
        <v>17</v>
      </c>
      <c r="J1431">
        <v>4</v>
      </c>
      <c r="K1431" t="s">
        <v>18</v>
      </c>
      <c r="L1431" t="s">
        <v>23</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1530</v>
      </c>
      <c r="B1432" t="s">
        <v>45</v>
      </c>
      <c r="C1432">
        <v>7</v>
      </c>
      <c r="D1432">
        <v>20.3</v>
      </c>
      <c r="E1432">
        <v>142.1</v>
      </c>
      <c r="F1432" s="1">
        <v>45711</v>
      </c>
      <c r="G1432" s="1">
        <v>45712</v>
      </c>
      <c r="H1432" t="s">
        <v>26</v>
      </c>
      <c r="I1432" t="s">
        <v>39</v>
      </c>
      <c r="J1432">
        <v>5</v>
      </c>
      <c r="K1432" t="s">
        <v>18</v>
      </c>
      <c r="L1432" t="s">
        <v>27</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1531</v>
      </c>
      <c r="B1433" t="s">
        <v>170</v>
      </c>
      <c r="C1433">
        <v>2</v>
      </c>
      <c r="D1433">
        <v>29.8</v>
      </c>
      <c r="E1433">
        <v>59.6</v>
      </c>
      <c r="F1433" s="1">
        <v>45711</v>
      </c>
      <c r="G1433" s="1">
        <v>45713</v>
      </c>
      <c r="H1433" t="s">
        <v>26</v>
      </c>
      <c r="I1433" t="s">
        <v>34</v>
      </c>
      <c r="J1433">
        <v>5</v>
      </c>
      <c r="K1433" t="s">
        <v>18</v>
      </c>
      <c r="L1433" t="s">
        <v>333</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1532</v>
      </c>
      <c r="B1434" t="s">
        <v>16</v>
      </c>
      <c r="C1434">
        <v>2</v>
      </c>
      <c r="D1434">
        <v>24.2</v>
      </c>
      <c r="E1434">
        <v>48.4</v>
      </c>
      <c r="F1434" s="1">
        <v>45711</v>
      </c>
      <c r="G1434" s="1">
        <v>45713</v>
      </c>
      <c r="H1434" t="s">
        <v>26</v>
      </c>
      <c r="I1434" t="s">
        <v>50</v>
      </c>
      <c r="J1434">
        <v>5</v>
      </c>
      <c r="K1434" t="s">
        <v>18</v>
      </c>
      <c r="L1434" t="s">
        <v>32</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1533</v>
      </c>
      <c r="B1435" t="s">
        <v>29</v>
      </c>
      <c r="C1435">
        <v>1</v>
      </c>
      <c r="D1435">
        <v>57.3</v>
      </c>
      <c r="E1435">
        <v>57.3</v>
      </c>
      <c r="F1435" s="1">
        <v>45711</v>
      </c>
      <c r="G1435" s="1">
        <v>45713</v>
      </c>
      <c r="H1435" t="s">
        <v>22</v>
      </c>
      <c r="I1435" t="s">
        <v>17</v>
      </c>
      <c r="J1435">
        <v>4</v>
      </c>
      <c r="K1435" t="s">
        <v>18</v>
      </c>
      <c r="L1435" t="s">
        <v>32</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1534</v>
      </c>
      <c r="B1436" t="s">
        <v>25</v>
      </c>
      <c r="C1436">
        <v>1</v>
      </c>
      <c r="D1436">
        <v>108.9</v>
      </c>
      <c r="E1436">
        <v>108.9</v>
      </c>
      <c r="F1436" s="1">
        <v>45711</v>
      </c>
      <c r="G1436" s="1">
        <v>45713</v>
      </c>
      <c r="H1436" t="s">
        <v>26</v>
      </c>
      <c r="I1436" t="s">
        <v>34</v>
      </c>
      <c r="J1436">
        <v>4</v>
      </c>
      <c r="K1436" t="s">
        <v>18</v>
      </c>
      <c r="L1436" t="s">
        <v>32</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1535</v>
      </c>
      <c r="B1437" t="s">
        <v>41</v>
      </c>
      <c r="C1437">
        <v>5</v>
      </c>
      <c r="D1437">
        <v>50.7</v>
      </c>
      <c r="E1437">
        <v>253.5</v>
      </c>
      <c r="F1437" s="1">
        <v>45711</v>
      </c>
      <c r="G1437" s="1">
        <v>45712</v>
      </c>
      <c r="H1437" t="s">
        <v>26</v>
      </c>
      <c r="I1437" t="s">
        <v>17</v>
      </c>
      <c r="J1437">
        <v>4</v>
      </c>
      <c r="K1437" t="s">
        <v>18</v>
      </c>
      <c r="L1437" t="s">
        <v>32</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1536</v>
      </c>
      <c r="B1438" t="s">
        <v>41</v>
      </c>
      <c r="C1438">
        <v>9</v>
      </c>
      <c r="D1438">
        <v>66.099999999999994</v>
      </c>
      <c r="E1438">
        <v>594.9</v>
      </c>
      <c r="F1438" s="1">
        <v>45711</v>
      </c>
      <c r="G1438" s="1">
        <v>45725</v>
      </c>
      <c r="H1438" t="s">
        <v>26</v>
      </c>
      <c r="I1438" t="s">
        <v>34</v>
      </c>
      <c r="J1438">
        <v>4</v>
      </c>
      <c r="K1438" t="s">
        <v>18</v>
      </c>
      <c r="L1438" t="s">
        <v>32</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1537</v>
      </c>
      <c r="B1439" t="s">
        <v>68</v>
      </c>
      <c r="C1439">
        <v>5</v>
      </c>
      <c r="D1439">
        <v>36.700000000000003</v>
      </c>
      <c r="E1439">
        <v>183.5</v>
      </c>
      <c r="F1439" s="1">
        <v>45711</v>
      </c>
      <c r="G1439" s="1">
        <v>45715</v>
      </c>
      <c r="H1439" t="s">
        <v>26</v>
      </c>
      <c r="I1439" t="s">
        <v>69</v>
      </c>
      <c r="J1439">
        <v>4</v>
      </c>
      <c r="K1439" t="s">
        <v>18</v>
      </c>
      <c r="L1439" t="s">
        <v>32</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1538</v>
      </c>
      <c r="B1440" t="s">
        <v>43</v>
      </c>
      <c r="C1440">
        <v>17</v>
      </c>
      <c r="D1440">
        <v>19.3</v>
      </c>
      <c r="E1440">
        <v>328.1</v>
      </c>
      <c r="F1440" s="1">
        <v>45711</v>
      </c>
      <c r="G1440" s="1">
        <v>45713</v>
      </c>
      <c r="H1440" t="s">
        <v>22</v>
      </c>
      <c r="I1440" t="s">
        <v>17</v>
      </c>
      <c r="J1440">
        <v>4</v>
      </c>
      <c r="K1440" t="s">
        <v>18</v>
      </c>
      <c r="L1440" t="s">
        <v>544</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1539</v>
      </c>
      <c r="B1441" t="s">
        <v>43</v>
      </c>
      <c r="C1441">
        <v>4</v>
      </c>
      <c r="D1441">
        <v>20.7</v>
      </c>
      <c r="E1441">
        <v>82.8</v>
      </c>
      <c r="F1441" s="1">
        <v>45711</v>
      </c>
      <c r="G1441" s="1">
        <v>45712</v>
      </c>
      <c r="H1441" t="s">
        <v>22</v>
      </c>
      <c r="I1441" t="s">
        <v>34</v>
      </c>
      <c r="J1441">
        <v>5</v>
      </c>
      <c r="K1441" t="s">
        <v>18</v>
      </c>
      <c r="L1441" t="s">
        <v>54</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1540</v>
      </c>
      <c r="B1442" t="s">
        <v>36</v>
      </c>
      <c r="C1442">
        <v>3</v>
      </c>
      <c r="D1442">
        <v>54.7</v>
      </c>
      <c r="E1442">
        <v>164.10000000000002</v>
      </c>
      <c r="F1442" s="1">
        <v>45711</v>
      </c>
      <c r="G1442" s="1">
        <v>45711</v>
      </c>
      <c r="H1442" t="s">
        <v>88</v>
      </c>
      <c r="I1442" t="s">
        <v>34</v>
      </c>
      <c r="J1442">
        <v>2</v>
      </c>
      <c r="K1442" t="s">
        <v>18</v>
      </c>
      <c r="L1442" t="s">
        <v>54</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1541</v>
      </c>
      <c r="B1443" t="s">
        <v>31</v>
      </c>
      <c r="C1443">
        <v>2</v>
      </c>
      <c r="D1443">
        <v>19.8</v>
      </c>
      <c r="E1443">
        <v>39.6</v>
      </c>
      <c r="F1443" s="1">
        <v>45711</v>
      </c>
      <c r="G1443" s="1">
        <v>45715</v>
      </c>
      <c r="H1443" t="s">
        <v>26</v>
      </c>
      <c r="I1443" t="s">
        <v>69</v>
      </c>
      <c r="J1443">
        <v>3</v>
      </c>
      <c r="K1443" t="s">
        <v>18</v>
      </c>
      <c r="L1443" t="s">
        <v>61</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1542</v>
      </c>
      <c r="B1444" t="s">
        <v>41</v>
      </c>
      <c r="C1444">
        <v>1</v>
      </c>
      <c r="D1444">
        <v>41.1</v>
      </c>
      <c r="E1444">
        <v>41.1</v>
      </c>
      <c r="F1444" s="1">
        <v>45711</v>
      </c>
      <c r="G1444" s="1">
        <v>45713</v>
      </c>
      <c r="H1444" t="s">
        <v>26</v>
      </c>
      <c r="I1444" t="s">
        <v>17</v>
      </c>
      <c r="J1444">
        <v>5</v>
      </c>
      <c r="K1444" t="s">
        <v>18</v>
      </c>
      <c r="L1444" t="s">
        <v>61</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1543</v>
      </c>
      <c r="B1445" t="s">
        <v>66</v>
      </c>
      <c r="C1445">
        <v>8</v>
      </c>
      <c r="D1445">
        <v>43.5</v>
      </c>
      <c r="E1445">
        <v>348</v>
      </c>
      <c r="F1445" s="1">
        <v>45711</v>
      </c>
      <c r="G1445" s="1">
        <v>45715</v>
      </c>
      <c r="H1445" t="s">
        <v>26</v>
      </c>
      <c r="I1445" t="s">
        <v>50</v>
      </c>
      <c r="J1445">
        <v>4</v>
      </c>
      <c r="K1445" t="s">
        <v>18</v>
      </c>
      <c r="L1445" t="s">
        <v>61</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1544</v>
      </c>
      <c r="B1446" t="s">
        <v>43</v>
      </c>
      <c r="C1446">
        <v>14</v>
      </c>
      <c r="D1446">
        <v>19</v>
      </c>
      <c r="E1446">
        <v>266</v>
      </c>
      <c r="F1446" s="1">
        <v>45711</v>
      </c>
      <c r="G1446" s="1">
        <v>45712</v>
      </c>
      <c r="H1446" t="s">
        <v>22</v>
      </c>
      <c r="I1446" t="s">
        <v>17</v>
      </c>
      <c r="J1446">
        <v>4</v>
      </c>
      <c r="K1446" t="s">
        <v>18</v>
      </c>
      <c r="L1446" t="s">
        <v>200</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1545</v>
      </c>
      <c r="B1447" t="s">
        <v>25</v>
      </c>
      <c r="C1447">
        <v>4</v>
      </c>
      <c r="D1447">
        <v>51.4</v>
      </c>
      <c r="E1447">
        <v>205.6</v>
      </c>
      <c r="F1447" s="1">
        <v>45711</v>
      </c>
      <c r="G1447" s="1">
        <v>45711</v>
      </c>
      <c r="H1447" t="s">
        <v>26</v>
      </c>
      <c r="I1447" t="s">
        <v>17</v>
      </c>
      <c r="J1447">
        <v>4</v>
      </c>
      <c r="K1447" t="s">
        <v>18</v>
      </c>
      <c r="L1447" t="s">
        <v>200</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1546</v>
      </c>
      <c r="B1448" t="s">
        <v>53</v>
      </c>
      <c r="C1448">
        <v>2</v>
      </c>
      <c r="D1448">
        <v>39.799999999999997</v>
      </c>
      <c r="E1448">
        <v>79.599999999999994</v>
      </c>
      <c r="F1448" s="1">
        <v>45711</v>
      </c>
      <c r="G1448" s="1">
        <v>45714</v>
      </c>
      <c r="H1448" t="s">
        <v>22</v>
      </c>
      <c r="I1448" t="s">
        <v>50</v>
      </c>
      <c r="J1448">
        <v>3</v>
      </c>
      <c r="K1448" t="s">
        <v>18</v>
      </c>
      <c r="L1448" t="s">
        <v>81</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1547</v>
      </c>
      <c r="B1449" t="s">
        <v>38</v>
      </c>
      <c r="C1449">
        <v>5</v>
      </c>
      <c r="D1449">
        <v>61</v>
      </c>
      <c r="E1449">
        <v>305</v>
      </c>
      <c r="F1449" s="1">
        <v>45711</v>
      </c>
      <c r="G1449" s="1">
        <v>45712</v>
      </c>
      <c r="I1449" t="s">
        <v>17</v>
      </c>
      <c r="J1449">
        <v>5</v>
      </c>
      <c r="K1449" t="s">
        <v>18</v>
      </c>
      <c r="L1449" t="s">
        <v>114</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1548</v>
      </c>
      <c r="B1450" t="s">
        <v>43</v>
      </c>
      <c r="C1450">
        <v>11</v>
      </c>
      <c r="D1450">
        <v>15.1</v>
      </c>
      <c r="E1450">
        <v>166.1</v>
      </c>
      <c r="F1450" s="1">
        <v>45712</v>
      </c>
      <c r="G1450" s="1">
        <v>45717</v>
      </c>
      <c r="H1450" t="s">
        <v>22</v>
      </c>
      <c r="I1450" t="s">
        <v>50</v>
      </c>
      <c r="J1450">
        <v>5</v>
      </c>
      <c r="K1450" t="s">
        <v>18</v>
      </c>
      <c r="L1450" t="s">
        <v>27</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1549</v>
      </c>
      <c r="B1451" t="s">
        <v>21</v>
      </c>
      <c r="C1451">
        <v>7</v>
      </c>
      <c r="D1451">
        <v>71.3</v>
      </c>
      <c r="E1451">
        <v>499.09999999999997</v>
      </c>
      <c r="F1451" s="1">
        <v>45712</v>
      </c>
      <c r="G1451" s="1">
        <v>45713</v>
      </c>
      <c r="H1451" t="s">
        <v>22</v>
      </c>
      <c r="I1451" t="s">
        <v>69</v>
      </c>
      <c r="J1451">
        <v>4</v>
      </c>
      <c r="K1451" t="s">
        <v>18</v>
      </c>
      <c r="L1451" t="s">
        <v>32</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1550</v>
      </c>
      <c r="B1452" t="s">
        <v>53</v>
      </c>
      <c r="C1452">
        <v>1</v>
      </c>
      <c r="D1452">
        <v>25.8</v>
      </c>
      <c r="E1452">
        <v>25.8</v>
      </c>
      <c r="F1452" s="1">
        <v>45712</v>
      </c>
      <c r="G1452" s="1">
        <v>45714</v>
      </c>
      <c r="H1452" t="s">
        <v>26</v>
      </c>
      <c r="I1452" t="s">
        <v>17</v>
      </c>
      <c r="J1452">
        <v>5</v>
      </c>
      <c r="K1452" t="s">
        <v>18</v>
      </c>
      <c r="L1452" t="s">
        <v>32</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1551</v>
      </c>
      <c r="B1453" t="s">
        <v>43</v>
      </c>
      <c r="C1453">
        <v>5</v>
      </c>
      <c r="D1453">
        <v>39.6</v>
      </c>
      <c r="E1453">
        <v>198</v>
      </c>
      <c r="F1453" s="1">
        <v>45712</v>
      </c>
      <c r="G1453" s="1">
        <v>45714</v>
      </c>
      <c r="H1453" t="s">
        <v>22</v>
      </c>
      <c r="I1453" t="s">
        <v>34</v>
      </c>
      <c r="J1453">
        <v>5</v>
      </c>
      <c r="K1453" t="s">
        <v>18</v>
      </c>
      <c r="L1453" t="s">
        <v>32</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1552</v>
      </c>
      <c r="B1454" t="s">
        <v>36</v>
      </c>
      <c r="C1454">
        <v>2</v>
      </c>
      <c r="D1454">
        <v>64</v>
      </c>
      <c r="E1454">
        <v>128</v>
      </c>
      <c r="F1454" s="1">
        <v>45712</v>
      </c>
      <c r="G1454" s="1">
        <v>45712</v>
      </c>
      <c r="H1454" t="s">
        <v>22</v>
      </c>
      <c r="I1454" t="s">
        <v>34</v>
      </c>
      <c r="J1454">
        <v>3</v>
      </c>
      <c r="K1454" t="s">
        <v>18</v>
      </c>
      <c r="L1454" t="s">
        <v>32</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1553</v>
      </c>
      <c r="B1455" t="s">
        <v>43</v>
      </c>
      <c r="C1455">
        <v>2</v>
      </c>
      <c r="D1455">
        <v>30.6</v>
      </c>
      <c r="E1455">
        <v>61.2</v>
      </c>
      <c r="F1455" s="1">
        <v>45712</v>
      </c>
      <c r="G1455" s="1">
        <v>45715</v>
      </c>
      <c r="H1455" t="s">
        <v>22</v>
      </c>
      <c r="I1455" t="s">
        <v>17</v>
      </c>
      <c r="J1455">
        <v>5</v>
      </c>
      <c r="K1455" t="s">
        <v>18</v>
      </c>
      <c r="L1455" t="s">
        <v>32</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1554</v>
      </c>
      <c r="B1456" t="s">
        <v>43</v>
      </c>
      <c r="C1456">
        <v>2</v>
      </c>
      <c r="D1456">
        <v>21.3</v>
      </c>
      <c r="E1456">
        <v>42.6</v>
      </c>
      <c r="F1456" s="1">
        <v>45712</v>
      </c>
      <c r="G1456" s="1">
        <v>45713</v>
      </c>
      <c r="H1456" t="s">
        <v>22</v>
      </c>
      <c r="I1456" t="s">
        <v>17</v>
      </c>
      <c r="J1456">
        <v>3</v>
      </c>
      <c r="K1456" t="s">
        <v>18</v>
      </c>
      <c r="L1456" t="s">
        <v>32</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1555</v>
      </c>
      <c r="B1457" t="s">
        <v>41</v>
      </c>
      <c r="C1457">
        <v>1</v>
      </c>
      <c r="D1457">
        <v>40.799999999999997</v>
      </c>
      <c r="E1457">
        <v>40.799999999999997</v>
      </c>
      <c r="F1457" s="1">
        <v>45712</v>
      </c>
      <c r="G1457" s="1">
        <v>45714</v>
      </c>
      <c r="H1457" t="s">
        <v>26</v>
      </c>
      <c r="I1457" t="s">
        <v>69</v>
      </c>
      <c r="J1457">
        <v>4</v>
      </c>
      <c r="K1457" t="s">
        <v>18</v>
      </c>
      <c r="L1457" t="s">
        <v>32</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1556</v>
      </c>
      <c r="B1458" t="s">
        <v>45</v>
      </c>
      <c r="C1458">
        <v>4</v>
      </c>
      <c r="D1458">
        <v>27.7</v>
      </c>
      <c r="E1458">
        <v>110.8</v>
      </c>
      <c r="F1458" s="1">
        <v>45712</v>
      </c>
      <c r="G1458" s="1">
        <v>45713</v>
      </c>
      <c r="H1458" t="s">
        <v>26</v>
      </c>
      <c r="I1458" t="s">
        <v>17</v>
      </c>
      <c r="J1458">
        <v>3</v>
      </c>
      <c r="K1458" t="s">
        <v>18</v>
      </c>
      <c r="L1458" t="s">
        <v>32</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1557</v>
      </c>
      <c r="B1459" t="s">
        <v>38</v>
      </c>
      <c r="C1459">
        <v>2</v>
      </c>
      <c r="D1459">
        <v>64.599999999999994</v>
      </c>
      <c r="E1459">
        <v>129.19999999999999</v>
      </c>
      <c r="F1459" s="1">
        <v>45712</v>
      </c>
      <c r="G1459" s="1">
        <v>45713</v>
      </c>
      <c r="H1459" t="s">
        <v>22</v>
      </c>
      <c r="I1459" t="s">
        <v>17</v>
      </c>
      <c r="J1459">
        <v>3</v>
      </c>
      <c r="K1459" t="s">
        <v>18</v>
      </c>
      <c r="L1459" t="s">
        <v>32</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1558</v>
      </c>
      <c r="B1460" t="s">
        <v>38</v>
      </c>
      <c r="C1460">
        <v>16</v>
      </c>
      <c r="D1460">
        <v>91.1</v>
      </c>
      <c r="E1460">
        <v>1457.6</v>
      </c>
      <c r="F1460" s="1">
        <v>45712</v>
      </c>
      <c r="G1460" s="1">
        <v>45713</v>
      </c>
      <c r="H1460" t="s">
        <v>26</v>
      </c>
      <c r="I1460" t="s">
        <v>34</v>
      </c>
      <c r="J1460">
        <v>5</v>
      </c>
      <c r="K1460" t="s">
        <v>18</v>
      </c>
      <c r="L1460" t="s">
        <v>32</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1559</v>
      </c>
      <c r="B1461" t="s">
        <v>21</v>
      </c>
      <c r="C1461">
        <v>1</v>
      </c>
      <c r="D1461">
        <v>39.5</v>
      </c>
      <c r="E1461">
        <v>39.5</v>
      </c>
      <c r="F1461" s="1">
        <v>45712</v>
      </c>
      <c r="G1461" s="1">
        <v>45720</v>
      </c>
      <c r="H1461" t="s">
        <v>26</v>
      </c>
      <c r="I1461" t="s">
        <v>17</v>
      </c>
      <c r="J1461">
        <v>4</v>
      </c>
      <c r="K1461" t="s">
        <v>18</v>
      </c>
      <c r="L1461" t="s">
        <v>32</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1560</v>
      </c>
      <c r="B1462" t="s">
        <v>45</v>
      </c>
      <c r="C1462">
        <v>2</v>
      </c>
      <c r="D1462">
        <v>21.8</v>
      </c>
      <c r="E1462">
        <v>43.6</v>
      </c>
      <c r="F1462" s="1">
        <v>45712</v>
      </c>
      <c r="G1462" s="1">
        <v>45716</v>
      </c>
      <c r="H1462" t="s">
        <v>22</v>
      </c>
      <c r="I1462" t="s">
        <v>69</v>
      </c>
      <c r="J1462">
        <v>5</v>
      </c>
      <c r="K1462" t="s">
        <v>18</v>
      </c>
      <c r="L1462" t="s">
        <v>32</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1561</v>
      </c>
      <c r="B1463" t="s">
        <v>43</v>
      </c>
      <c r="C1463">
        <v>2</v>
      </c>
      <c r="D1463">
        <v>51</v>
      </c>
      <c r="E1463">
        <v>102</v>
      </c>
      <c r="F1463" s="1">
        <v>45712</v>
      </c>
      <c r="G1463" s="1">
        <v>45715</v>
      </c>
      <c r="H1463" t="s">
        <v>22</v>
      </c>
      <c r="I1463" t="s">
        <v>50</v>
      </c>
      <c r="J1463">
        <v>5</v>
      </c>
      <c r="K1463" t="s">
        <v>18</v>
      </c>
      <c r="L1463" t="s">
        <v>32</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1562</v>
      </c>
      <c r="B1464" t="s">
        <v>25</v>
      </c>
      <c r="C1464">
        <v>1</v>
      </c>
      <c r="D1464">
        <v>92.6</v>
      </c>
      <c r="E1464">
        <v>92.6</v>
      </c>
      <c r="F1464" s="1">
        <v>45712</v>
      </c>
      <c r="G1464" s="1">
        <v>45715</v>
      </c>
      <c r="H1464" t="s">
        <v>26</v>
      </c>
      <c r="I1464" t="s">
        <v>17</v>
      </c>
      <c r="J1464">
        <v>5</v>
      </c>
      <c r="K1464" t="s">
        <v>18</v>
      </c>
      <c r="L1464" t="s">
        <v>337</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1563</v>
      </c>
      <c r="B1465" t="s">
        <v>45</v>
      </c>
      <c r="C1465">
        <v>2</v>
      </c>
      <c r="D1465">
        <v>31.1</v>
      </c>
      <c r="E1465">
        <v>62.2</v>
      </c>
      <c r="F1465" s="1">
        <v>45712</v>
      </c>
      <c r="G1465" s="1">
        <v>45717</v>
      </c>
      <c r="I1465" t="s">
        <v>34</v>
      </c>
      <c r="J1465">
        <v>1</v>
      </c>
      <c r="K1465" t="s">
        <v>18</v>
      </c>
      <c r="L1465" t="s">
        <v>157</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1564</v>
      </c>
      <c r="B1466" t="s">
        <v>36</v>
      </c>
      <c r="C1466">
        <v>3</v>
      </c>
      <c r="D1466">
        <v>56.4</v>
      </c>
      <c r="E1466">
        <v>169.2</v>
      </c>
      <c r="F1466" s="1">
        <v>45712</v>
      </c>
      <c r="G1466" s="1">
        <v>45713</v>
      </c>
      <c r="I1466" t="s">
        <v>34</v>
      </c>
      <c r="J1466">
        <v>4</v>
      </c>
      <c r="K1466" t="s">
        <v>18</v>
      </c>
      <c r="L1466" t="s">
        <v>54</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1565</v>
      </c>
      <c r="B1467" t="s">
        <v>45</v>
      </c>
      <c r="C1467">
        <v>1</v>
      </c>
      <c r="D1467">
        <v>41.9</v>
      </c>
      <c r="E1467">
        <v>41.9</v>
      </c>
      <c r="F1467" s="1">
        <v>45712</v>
      </c>
      <c r="G1467" s="1">
        <v>45712</v>
      </c>
      <c r="H1467" t="s">
        <v>22</v>
      </c>
      <c r="I1467" t="s">
        <v>34</v>
      </c>
      <c r="J1467">
        <v>4</v>
      </c>
      <c r="K1467" t="s">
        <v>18</v>
      </c>
      <c r="L1467" t="s">
        <v>54</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1566</v>
      </c>
      <c r="B1468" t="s">
        <v>53</v>
      </c>
      <c r="C1468">
        <v>7</v>
      </c>
      <c r="D1468">
        <v>45.9</v>
      </c>
      <c r="E1468">
        <v>321.3</v>
      </c>
      <c r="F1468" s="1">
        <v>45712</v>
      </c>
      <c r="G1468" s="1">
        <v>45713</v>
      </c>
      <c r="H1468" t="s">
        <v>22</v>
      </c>
      <c r="I1468" t="s">
        <v>50</v>
      </c>
      <c r="J1468">
        <v>5</v>
      </c>
      <c r="K1468" t="s">
        <v>18</v>
      </c>
      <c r="L1468" t="s">
        <v>61</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1567</v>
      </c>
      <c r="B1469" t="s">
        <v>80</v>
      </c>
      <c r="C1469">
        <v>9</v>
      </c>
      <c r="D1469">
        <v>24.4</v>
      </c>
      <c r="E1469">
        <v>219.6</v>
      </c>
      <c r="F1469" s="1">
        <v>45712</v>
      </c>
      <c r="G1469" s="1">
        <v>45716</v>
      </c>
      <c r="H1469" t="s">
        <v>22</v>
      </c>
      <c r="I1469" t="s">
        <v>50</v>
      </c>
      <c r="J1469">
        <v>5</v>
      </c>
      <c r="K1469" t="s">
        <v>18</v>
      </c>
      <c r="L1469" t="s">
        <v>61</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1568</v>
      </c>
      <c r="B1470" t="s">
        <v>43</v>
      </c>
      <c r="C1470">
        <v>1</v>
      </c>
      <c r="D1470">
        <v>18.2</v>
      </c>
      <c r="E1470">
        <v>18.2</v>
      </c>
      <c r="F1470" s="1">
        <v>45712</v>
      </c>
      <c r="G1470" s="1">
        <v>45713</v>
      </c>
      <c r="H1470" t="s">
        <v>26</v>
      </c>
      <c r="I1470" t="s">
        <v>39</v>
      </c>
      <c r="J1470">
        <v>5</v>
      </c>
      <c r="K1470" t="s">
        <v>18</v>
      </c>
      <c r="L1470" t="s">
        <v>61</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1569</v>
      </c>
      <c r="B1471" t="s">
        <v>43</v>
      </c>
      <c r="C1471">
        <v>4</v>
      </c>
      <c r="D1471">
        <v>51.2</v>
      </c>
      <c r="E1471">
        <v>204.8</v>
      </c>
      <c r="F1471" s="1">
        <v>45712</v>
      </c>
      <c r="G1471" s="1">
        <v>45713</v>
      </c>
      <c r="H1471" t="s">
        <v>26</v>
      </c>
      <c r="I1471" t="s">
        <v>17</v>
      </c>
      <c r="J1471">
        <v>4</v>
      </c>
      <c r="K1471" t="s">
        <v>18</v>
      </c>
      <c r="L1471" t="s">
        <v>61</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1570</v>
      </c>
      <c r="B1472" t="s">
        <v>38</v>
      </c>
      <c r="C1472">
        <v>1</v>
      </c>
      <c r="D1472">
        <v>59.7</v>
      </c>
      <c r="E1472">
        <v>59.7</v>
      </c>
      <c r="F1472" s="1">
        <v>45712</v>
      </c>
      <c r="G1472" s="1">
        <v>45715</v>
      </c>
      <c r="H1472" t="s">
        <v>22</v>
      </c>
      <c r="I1472" t="s">
        <v>17</v>
      </c>
      <c r="J1472">
        <v>5</v>
      </c>
      <c r="K1472" t="s">
        <v>18</v>
      </c>
      <c r="L1472" t="s">
        <v>61</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1571</v>
      </c>
      <c r="B1473" t="s">
        <v>31</v>
      </c>
      <c r="C1473">
        <v>2</v>
      </c>
      <c r="D1473">
        <v>33.6</v>
      </c>
      <c r="E1473">
        <v>67.2</v>
      </c>
      <c r="F1473" s="1">
        <v>45712</v>
      </c>
      <c r="G1473" s="1">
        <v>45714</v>
      </c>
      <c r="H1473" t="s">
        <v>26</v>
      </c>
      <c r="I1473" t="s">
        <v>17</v>
      </c>
      <c r="J1473">
        <v>4</v>
      </c>
      <c r="K1473" t="s">
        <v>18</v>
      </c>
      <c r="L1473" t="s">
        <v>102</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1572</v>
      </c>
      <c r="B1474" t="s">
        <v>68</v>
      </c>
      <c r="C1474">
        <v>1</v>
      </c>
      <c r="D1474">
        <v>90.4</v>
      </c>
      <c r="E1474">
        <v>90.4</v>
      </c>
      <c r="F1474" s="1">
        <v>45712</v>
      </c>
      <c r="G1474" s="1">
        <v>45716</v>
      </c>
      <c r="H1474" t="s">
        <v>22</v>
      </c>
      <c r="I1474" t="s">
        <v>34</v>
      </c>
      <c r="J1474">
        <v>5</v>
      </c>
      <c r="K1474" t="s">
        <v>18</v>
      </c>
      <c r="L1474" t="s">
        <v>73</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1573</v>
      </c>
      <c r="B1475" t="s">
        <v>66</v>
      </c>
      <c r="C1475">
        <v>3</v>
      </c>
      <c r="D1475">
        <v>70.3</v>
      </c>
      <c r="E1475">
        <v>210.89999999999998</v>
      </c>
      <c r="F1475" s="1">
        <v>45712</v>
      </c>
      <c r="G1475" s="1">
        <v>45712</v>
      </c>
      <c r="H1475" t="s">
        <v>22</v>
      </c>
      <c r="I1475" t="s">
        <v>34</v>
      </c>
      <c r="J1475">
        <v>5</v>
      </c>
      <c r="K1475" t="s">
        <v>18</v>
      </c>
      <c r="L1475" t="s">
        <v>76</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1574</v>
      </c>
      <c r="B1476" t="s">
        <v>31</v>
      </c>
      <c r="C1476">
        <v>2</v>
      </c>
      <c r="D1476">
        <v>20.5</v>
      </c>
      <c r="E1476">
        <v>41</v>
      </c>
      <c r="F1476" s="1">
        <v>45712</v>
      </c>
      <c r="G1476" s="1">
        <v>45715</v>
      </c>
      <c r="H1476" t="s">
        <v>26</v>
      </c>
      <c r="I1476" t="s">
        <v>17</v>
      </c>
      <c r="J1476">
        <v>3</v>
      </c>
      <c r="K1476" t="s">
        <v>18</v>
      </c>
      <c r="L1476" t="s">
        <v>76</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1575</v>
      </c>
      <c r="B1477" t="s">
        <v>36</v>
      </c>
      <c r="C1477">
        <v>11</v>
      </c>
      <c r="D1477">
        <v>37.6</v>
      </c>
      <c r="E1477">
        <v>413.6</v>
      </c>
      <c r="F1477" s="1">
        <v>45712</v>
      </c>
      <c r="G1477" s="1">
        <v>45713</v>
      </c>
      <c r="H1477" t="s">
        <v>22</v>
      </c>
      <c r="I1477" t="s">
        <v>17</v>
      </c>
      <c r="J1477">
        <v>4</v>
      </c>
      <c r="K1477" t="s">
        <v>18</v>
      </c>
      <c r="L1477" t="s">
        <v>376</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1576</v>
      </c>
      <c r="B1478" t="s">
        <v>36</v>
      </c>
      <c r="C1478">
        <v>4</v>
      </c>
      <c r="D1478">
        <v>61.5</v>
      </c>
      <c r="E1478">
        <v>246</v>
      </c>
      <c r="F1478" s="1">
        <v>45712</v>
      </c>
      <c r="G1478" s="1">
        <v>45719</v>
      </c>
      <c r="H1478" t="s">
        <v>26</v>
      </c>
      <c r="I1478" t="s">
        <v>34</v>
      </c>
      <c r="J1478">
        <v>2</v>
      </c>
      <c r="K1478" t="s">
        <v>18</v>
      </c>
      <c r="L1478" t="s">
        <v>81</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1577</v>
      </c>
      <c r="B1479" t="s">
        <v>45</v>
      </c>
      <c r="C1479">
        <v>1</v>
      </c>
      <c r="D1479">
        <v>33.5</v>
      </c>
      <c r="E1479">
        <v>33.5</v>
      </c>
      <c r="F1479" s="1">
        <v>45713</v>
      </c>
      <c r="G1479" s="1">
        <v>45717</v>
      </c>
      <c r="H1479" t="s">
        <v>22</v>
      </c>
      <c r="I1479" t="s">
        <v>69</v>
      </c>
      <c r="J1479">
        <v>3</v>
      </c>
      <c r="K1479" t="s">
        <v>18</v>
      </c>
      <c r="L1479" t="s">
        <v>114</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1578</v>
      </c>
      <c r="B1480" t="s">
        <v>31</v>
      </c>
      <c r="C1480">
        <v>3</v>
      </c>
      <c r="D1480">
        <v>29.3</v>
      </c>
      <c r="E1480">
        <v>87.9</v>
      </c>
      <c r="F1480" s="1">
        <v>45713</v>
      </c>
      <c r="G1480" s="1">
        <v>45715</v>
      </c>
      <c r="H1480" t="s">
        <v>26</v>
      </c>
      <c r="I1480" t="s">
        <v>34</v>
      </c>
      <c r="J1480">
        <v>5</v>
      </c>
      <c r="K1480" t="s">
        <v>18</v>
      </c>
      <c r="L1480" t="s">
        <v>23</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1579</v>
      </c>
      <c r="B1481" t="s">
        <v>25</v>
      </c>
      <c r="C1481">
        <v>2</v>
      </c>
      <c r="D1481">
        <v>125.9</v>
      </c>
      <c r="E1481">
        <v>251.8</v>
      </c>
      <c r="F1481" s="1">
        <v>45713</v>
      </c>
      <c r="G1481" s="1">
        <v>45718</v>
      </c>
      <c r="H1481" t="s">
        <v>26</v>
      </c>
      <c r="I1481" t="s">
        <v>69</v>
      </c>
      <c r="J1481">
        <v>3</v>
      </c>
      <c r="K1481" t="s">
        <v>18</v>
      </c>
      <c r="L1481" t="s">
        <v>23</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1580</v>
      </c>
      <c r="B1482" t="s">
        <v>36</v>
      </c>
      <c r="C1482">
        <v>5</v>
      </c>
      <c r="D1482">
        <v>29.3</v>
      </c>
      <c r="E1482">
        <v>146.5</v>
      </c>
      <c r="F1482" s="1">
        <v>45713</v>
      </c>
      <c r="G1482" s="1">
        <v>45713</v>
      </c>
      <c r="H1482" t="s">
        <v>22</v>
      </c>
      <c r="I1482" t="s">
        <v>39</v>
      </c>
      <c r="J1482">
        <v>4</v>
      </c>
      <c r="K1482" t="s">
        <v>18</v>
      </c>
      <c r="L1482" t="s">
        <v>586</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1581</v>
      </c>
      <c r="B1483" t="s">
        <v>45</v>
      </c>
      <c r="C1483">
        <v>1</v>
      </c>
      <c r="D1483">
        <v>37.799999999999997</v>
      </c>
      <c r="E1483">
        <v>37.799999999999997</v>
      </c>
      <c r="F1483" s="1">
        <v>45713</v>
      </c>
      <c r="G1483" s="1">
        <v>45716</v>
      </c>
      <c r="H1483" t="s">
        <v>26</v>
      </c>
      <c r="I1483" t="s">
        <v>17</v>
      </c>
      <c r="J1483">
        <v>5</v>
      </c>
      <c r="K1483" t="s">
        <v>18</v>
      </c>
      <c r="L1483" t="s">
        <v>32</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1582</v>
      </c>
      <c r="B1484" t="s">
        <v>16</v>
      </c>
      <c r="C1484">
        <v>4</v>
      </c>
      <c r="D1484">
        <v>31.7</v>
      </c>
      <c r="E1484">
        <v>126.8</v>
      </c>
      <c r="F1484" s="1">
        <v>45713</v>
      </c>
      <c r="G1484" s="1">
        <v>45714</v>
      </c>
      <c r="H1484" t="s">
        <v>22</v>
      </c>
      <c r="I1484" t="s">
        <v>39</v>
      </c>
      <c r="J1484">
        <v>5</v>
      </c>
      <c r="K1484" t="s">
        <v>18</v>
      </c>
      <c r="L1484" t="s">
        <v>32</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1583</v>
      </c>
      <c r="B1485" t="s">
        <v>43</v>
      </c>
      <c r="C1485">
        <v>5</v>
      </c>
      <c r="D1485">
        <v>26.3</v>
      </c>
      <c r="E1485">
        <v>131.5</v>
      </c>
      <c r="F1485" s="1">
        <v>45713</v>
      </c>
      <c r="G1485" s="1">
        <v>45714</v>
      </c>
      <c r="H1485" t="s">
        <v>26</v>
      </c>
      <c r="I1485" t="s">
        <v>50</v>
      </c>
      <c r="J1485">
        <v>5</v>
      </c>
      <c r="K1485" t="s">
        <v>18</v>
      </c>
      <c r="L1485" t="s">
        <v>32</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1584</v>
      </c>
      <c r="B1486" t="s">
        <v>43</v>
      </c>
      <c r="C1486">
        <v>3</v>
      </c>
      <c r="D1486">
        <v>23.1</v>
      </c>
      <c r="E1486">
        <v>69.300000000000011</v>
      </c>
      <c r="F1486" s="1">
        <v>45713</v>
      </c>
      <c r="G1486" s="1">
        <v>45714</v>
      </c>
      <c r="H1486" t="s">
        <v>88</v>
      </c>
      <c r="I1486" t="s">
        <v>39</v>
      </c>
      <c r="J1486">
        <v>3</v>
      </c>
      <c r="K1486" t="s">
        <v>18</v>
      </c>
      <c r="L1486" t="s">
        <v>32</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1585</v>
      </c>
      <c r="B1487" t="s">
        <v>31</v>
      </c>
      <c r="C1487">
        <v>1</v>
      </c>
      <c r="D1487">
        <v>22.3</v>
      </c>
      <c r="E1487">
        <v>22.3</v>
      </c>
      <c r="F1487" s="1">
        <v>45713</v>
      </c>
      <c r="G1487" s="1">
        <v>45715</v>
      </c>
      <c r="H1487" t="s">
        <v>26</v>
      </c>
      <c r="I1487" t="s">
        <v>39</v>
      </c>
      <c r="J1487">
        <v>4</v>
      </c>
      <c r="K1487" t="s">
        <v>18</v>
      </c>
      <c r="L1487" t="s">
        <v>32</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1586</v>
      </c>
      <c r="B1488" t="s">
        <v>68</v>
      </c>
      <c r="C1488">
        <v>2</v>
      </c>
      <c r="D1488">
        <v>99.5</v>
      </c>
      <c r="E1488">
        <v>199</v>
      </c>
      <c r="F1488" s="1">
        <v>45713</v>
      </c>
      <c r="G1488" s="1">
        <v>45715</v>
      </c>
      <c r="H1488" t="s">
        <v>26</v>
      </c>
      <c r="I1488" t="s">
        <v>39</v>
      </c>
      <c r="J1488">
        <v>4</v>
      </c>
      <c r="K1488" t="s">
        <v>18</v>
      </c>
      <c r="L1488" t="s">
        <v>32</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1587</v>
      </c>
      <c r="B1489" t="s">
        <v>68</v>
      </c>
      <c r="C1489">
        <v>4</v>
      </c>
      <c r="D1489">
        <v>47.4</v>
      </c>
      <c r="E1489">
        <v>189.6</v>
      </c>
      <c r="F1489" s="1">
        <v>45713</v>
      </c>
      <c r="G1489" s="1">
        <v>45716</v>
      </c>
      <c r="H1489" t="s">
        <v>26</v>
      </c>
      <c r="I1489" t="s">
        <v>34</v>
      </c>
      <c r="J1489">
        <v>4</v>
      </c>
      <c r="K1489" t="s">
        <v>18</v>
      </c>
      <c r="L1489" t="s">
        <v>32</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1588</v>
      </c>
      <c r="B1490" t="s">
        <v>16</v>
      </c>
      <c r="C1490">
        <v>11</v>
      </c>
      <c r="D1490">
        <v>37.5</v>
      </c>
      <c r="E1490">
        <v>412.5</v>
      </c>
      <c r="F1490" s="1">
        <v>45713</v>
      </c>
      <c r="G1490" s="1">
        <v>45715</v>
      </c>
      <c r="H1490" t="s">
        <v>26</v>
      </c>
      <c r="I1490" t="s">
        <v>17</v>
      </c>
      <c r="J1490">
        <v>1</v>
      </c>
      <c r="K1490" t="s">
        <v>18</v>
      </c>
      <c r="L1490" t="s">
        <v>32</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1589</v>
      </c>
      <c r="B1491" t="s">
        <v>53</v>
      </c>
      <c r="C1491">
        <v>1</v>
      </c>
      <c r="D1491">
        <v>45.1</v>
      </c>
      <c r="E1491">
        <v>45.1</v>
      </c>
      <c r="F1491" s="1">
        <v>45713</v>
      </c>
      <c r="G1491" s="1">
        <v>45718</v>
      </c>
      <c r="H1491" t="s">
        <v>22</v>
      </c>
      <c r="I1491" t="s">
        <v>50</v>
      </c>
      <c r="J1491">
        <v>5</v>
      </c>
      <c r="K1491" t="s">
        <v>18</v>
      </c>
      <c r="L1491" t="s">
        <v>185</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1590</v>
      </c>
      <c r="B1492" t="s">
        <v>36</v>
      </c>
      <c r="C1492">
        <v>10</v>
      </c>
      <c r="D1492">
        <v>34.4</v>
      </c>
      <c r="E1492">
        <v>344</v>
      </c>
      <c r="F1492" s="1">
        <v>45713</v>
      </c>
      <c r="G1492" s="1">
        <v>45716</v>
      </c>
      <c r="H1492" t="s">
        <v>22</v>
      </c>
      <c r="I1492" t="s">
        <v>39</v>
      </c>
      <c r="J1492">
        <v>4</v>
      </c>
      <c r="K1492" t="s">
        <v>18</v>
      </c>
      <c r="L1492" t="s">
        <v>97</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1591</v>
      </c>
      <c r="B1493" t="s">
        <v>31</v>
      </c>
      <c r="C1493">
        <v>2</v>
      </c>
      <c r="D1493">
        <v>38</v>
      </c>
      <c r="E1493">
        <v>76</v>
      </c>
      <c r="F1493" s="1">
        <v>45713</v>
      </c>
      <c r="G1493" s="1">
        <v>45715</v>
      </c>
      <c r="H1493" t="s">
        <v>26</v>
      </c>
      <c r="I1493" t="s">
        <v>34</v>
      </c>
      <c r="J1493">
        <v>4</v>
      </c>
      <c r="K1493" t="s">
        <v>18</v>
      </c>
      <c r="L1493" t="s">
        <v>51</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1592</v>
      </c>
      <c r="B1494" t="s">
        <v>29</v>
      </c>
      <c r="C1494">
        <v>14</v>
      </c>
      <c r="D1494">
        <v>32.4</v>
      </c>
      <c r="E1494">
        <v>453.59999999999997</v>
      </c>
      <c r="F1494" s="1">
        <v>45713</v>
      </c>
      <c r="G1494" s="1">
        <v>45716</v>
      </c>
      <c r="H1494" t="s">
        <v>22</v>
      </c>
      <c r="I1494" t="s">
        <v>69</v>
      </c>
      <c r="J1494">
        <v>4</v>
      </c>
      <c r="K1494" t="s">
        <v>18</v>
      </c>
      <c r="L1494" t="s">
        <v>54</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1593</v>
      </c>
      <c r="B1495" t="s">
        <v>38</v>
      </c>
      <c r="C1495">
        <v>3</v>
      </c>
      <c r="D1495">
        <v>40.9</v>
      </c>
      <c r="E1495">
        <v>122.69999999999999</v>
      </c>
      <c r="F1495" s="1">
        <v>45713</v>
      </c>
      <c r="G1495" s="1">
        <v>45713</v>
      </c>
      <c r="I1495" t="s">
        <v>34</v>
      </c>
      <c r="J1495">
        <v>4</v>
      </c>
      <c r="K1495" t="s">
        <v>18</v>
      </c>
      <c r="L1495" t="s">
        <v>61</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1594</v>
      </c>
      <c r="B1496" t="s">
        <v>41</v>
      </c>
      <c r="C1496">
        <v>7</v>
      </c>
      <c r="D1496">
        <v>76.2</v>
      </c>
      <c r="E1496">
        <v>533.4</v>
      </c>
      <c r="F1496" s="1">
        <v>45713</v>
      </c>
      <c r="G1496" s="1">
        <v>45715</v>
      </c>
      <c r="H1496" t="s">
        <v>26</v>
      </c>
      <c r="I1496" t="s">
        <v>39</v>
      </c>
      <c r="J1496">
        <v>3</v>
      </c>
      <c r="K1496" t="s">
        <v>18</v>
      </c>
      <c r="L1496" t="s">
        <v>61</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1595</v>
      </c>
      <c r="B1497" t="s">
        <v>25</v>
      </c>
      <c r="C1497">
        <v>1</v>
      </c>
      <c r="D1497">
        <v>85.6</v>
      </c>
      <c r="E1497">
        <v>85.6</v>
      </c>
      <c r="F1497" s="1">
        <v>45713</v>
      </c>
      <c r="G1497" s="1">
        <v>45715</v>
      </c>
      <c r="H1497" t="s">
        <v>22</v>
      </c>
      <c r="I1497" t="s">
        <v>39</v>
      </c>
      <c r="J1497">
        <v>4</v>
      </c>
      <c r="K1497" t="s">
        <v>18</v>
      </c>
      <c r="L1497" t="s">
        <v>61</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1596</v>
      </c>
      <c r="B1498" t="s">
        <v>31</v>
      </c>
      <c r="C1498">
        <v>4</v>
      </c>
      <c r="D1498">
        <v>25</v>
      </c>
      <c r="E1498">
        <v>100</v>
      </c>
      <c r="F1498" s="1">
        <v>45713</v>
      </c>
      <c r="G1498" s="1">
        <v>45715</v>
      </c>
      <c r="H1498" t="s">
        <v>26</v>
      </c>
      <c r="I1498" t="s">
        <v>39</v>
      </c>
      <c r="J1498">
        <v>5</v>
      </c>
      <c r="K1498" t="s">
        <v>18</v>
      </c>
      <c r="L1498" t="s">
        <v>61</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1597</v>
      </c>
      <c r="B1499" t="s">
        <v>25</v>
      </c>
      <c r="C1499">
        <v>5</v>
      </c>
      <c r="D1499">
        <v>150.69999999999999</v>
      </c>
      <c r="E1499">
        <v>753.5</v>
      </c>
      <c r="F1499" s="1">
        <v>45713</v>
      </c>
      <c r="G1499" s="1">
        <v>45714</v>
      </c>
      <c r="I1499" t="s">
        <v>17</v>
      </c>
      <c r="J1499">
        <v>5</v>
      </c>
      <c r="K1499" t="s">
        <v>18</v>
      </c>
      <c r="L1499" t="s">
        <v>61</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1598</v>
      </c>
      <c r="B1500" t="s">
        <v>43</v>
      </c>
      <c r="C1500">
        <v>1</v>
      </c>
      <c r="D1500">
        <v>19.600000000000001</v>
      </c>
      <c r="E1500">
        <v>19.600000000000001</v>
      </c>
      <c r="F1500" s="1">
        <v>45713</v>
      </c>
      <c r="G1500" s="1">
        <v>45714</v>
      </c>
      <c r="H1500" t="s">
        <v>22</v>
      </c>
      <c r="I1500" t="s">
        <v>34</v>
      </c>
      <c r="J1500">
        <v>2</v>
      </c>
      <c r="K1500" t="s">
        <v>18</v>
      </c>
      <c r="L1500" t="s">
        <v>61</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1599</v>
      </c>
      <c r="B1501" t="s">
        <v>75</v>
      </c>
      <c r="C1501">
        <v>2</v>
      </c>
      <c r="D1501">
        <v>37.5</v>
      </c>
      <c r="E1501">
        <v>75</v>
      </c>
      <c r="F1501" s="1">
        <v>45713</v>
      </c>
      <c r="G1501" s="1">
        <v>45716</v>
      </c>
      <c r="H1501" t="s">
        <v>26</v>
      </c>
      <c r="I1501" t="s">
        <v>34</v>
      </c>
      <c r="J1501">
        <v>5</v>
      </c>
      <c r="K1501" t="s">
        <v>18</v>
      </c>
      <c r="L1501" t="s">
        <v>102</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1600</v>
      </c>
      <c r="B1502" t="s">
        <v>45</v>
      </c>
      <c r="C1502">
        <v>3</v>
      </c>
      <c r="D1502">
        <v>51.9</v>
      </c>
      <c r="E1502">
        <v>155.69999999999999</v>
      </c>
      <c r="F1502" s="1">
        <v>45713</v>
      </c>
      <c r="G1502" s="1">
        <v>45719</v>
      </c>
      <c r="H1502" t="s">
        <v>26</v>
      </c>
      <c r="I1502" t="s">
        <v>17</v>
      </c>
      <c r="J1502">
        <v>2</v>
      </c>
      <c r="K1502" t="s">
        <v>18</v>
      </c>
      <c r="L1502" t="s">
        <v>76</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1601</v>
      </c>
      <c r="B1503" t="s">
        <v>21</v>
      </c>
      <c r="C1503">
        <v>2</v>
      </c>
      <c r="D1503">
        <v>30.9</v>
      </c>
      <c r="E1503">
        <v>61.8</v>
      </c>
      <c r="F1503" s="1">
        <v>45713</v>
      </c>
      <c r="G1503" s="1">
        <v>45715</v>
      </c>
      <c r="H1503" t="s">
        <v>26</v>
      </c>
      <c r="I1503" t="s">
        <v>34</v>
      </c>
      <c r="J1503">
        <v>4</v>
      </c>
      <c r="K1503" t="s">
        <v>18</v>
      </c>
      <c r="L1503" t="s">
        <v>107</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1602</v>
      </c>
      <c r="B1504" t="s">
        <v>31</v>
      </c>
      <c r="C1504">
        <v>3</v>
      </c>
      <c r="D1504">
        <v>21.2</v>
      </c>
      <c r="E1504">
        <v>63.599999999999994</v>
      </c>
      <c r="F1504" s="1">
        <v>45713</v>
      </c>
      <c r="G1504" s="1">
        <v>45716</v>
      </c>
      <c r="H1504" t="s">
        <v>26</v>
      </c>
      <c r="I1504" t="s">
        <v>34</v>
      </c>
      <c r="J1504">
        <v>4</v>
      </c>
      <c r="K1504" t="s">
        <v>18</v>
      </c>
      <c r="L1504" t="s">
        <v>109</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1603</v>
      </c>
      <c r="B1505" t="s">
        <v>75</v>
      </c>
      <c r="C1505">
        <v>17</v>
      </c>
      <c r="D1505">
        <v>17.5</v>
      </c>
      <c r="E1505">
        <v>297.5</v>
      </c>
      <c r="F1505" s="1">
        <v>45713</v>
      </c>
      <c r="G1505" s="1">
        <v>45714</v>
      </c>
      <c r="H1505" t="s">
        <v>22</v>
      </c>
      <c r="I1505" t="s">
        <v>34</v>
      </c>
      <c r="J1505">
        <v>3</v>
      </c>
      <c r="K1505" t="s">
        <v>18</v>
      </c>
      <c r="L1505" t="s">
        <v>81</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1604</v>
      </c>
      <c r="B1506" t="s">
        <v>68</v>
      </c>
      <c r="C1506">
        <v>2</v>
      </c>
      <c r="D1506">
        <v>53.8</v>
      </c>
      <c r="E1506">
        <v>107.6</v>
      </c>
      <c r="F1506" s="1">
        <v>45713</v>
      </c>
      <c r="G1506" s="1">
        <v>45718</v>
      </c>
      <c r="H1506" t="s">
        <v>26</v>
      </c>
      <c r="I1506" t="s">
        <v>17</v>
      </c>
      <c r="J1506">
        <v>5</v>
      </c>
      <c r="K1506" t="s">
        <v>18</v>
      </c>
      <c r="L1506" t="s">
        <v>114</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1605</v>
      </c>
      <c r="B1507" t="s">
        <v>170</v>
      </c>
      <c r="C1507">
        <v>2</v>
      </c>
      <c r="D1507">
        <v>17</v>
      </c>
      <c r="E1507">
        <v>34</v>
      </c>
      <c r="F1507" s="1">
        <v>45713</v>
      </c>
      <c r="G1507" s="1">
        <v>45714</v>
      </c>
      <c r="H1507" t="s">
        <v>22</v>
      </c>
      <c r="I1507" t="s">
        <v>50</v>
      </c>
      <c r="J1507">
        <v>4</v>
      </c>
      <c r="K1507" t="s">
        <v>18</v>
      </c>
      <c r="L1507" t="s">
        <v>114</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1606</v>
      </c>
      <c r="B1508" t="s">
        <v>38</v>
      </c>
      <c r="C1508">
        <v>1</v>
      </c>
      <c r="D1508">
        <v>103.2</v>
      </c>
      <c r="E1508">
        <v>103.2</v>
      </c>
      <c r="F1508" s="1">
        <v>45713</v>
      </c>
      <c r="G1508" s="1">
        <v>45721</v>
      </c>
      <c r="H1508" t="s">
        <v>22</v>
      </c>
      <c r="I1508" t="s">
        <v>39</v>
      </c>
      <c r="J1508">
        <v>3</v>
      </c>
      <c r="K1508" t="s">
        <v>18</v>
      </c>
      <c r="L1508" t="s">
        <v>23</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1607</v>
      </c>
      <c r="B1509" t="s">
        <v>38</v>
      </c>
      <c r="C1509">
        <v>4</v>
      </c>
      <c r="D1509">
        <v>70.3</v>
      </c>
      <c r="E1509">
        <v>281.2</v>
      </c>
      <c r="F1509" s="1">
        <v>45713</v>
      </c>
      <c r="G1509" s="1">
        <v>45714</v>
      </c>
      <c r="H1509" t="s">
        <v>22</v>
      </c>
      <c r="I1509" t="s">
        <v>17</v>
      </c>
      <c r="J1509">
        <v>4</v>
      </c>
      <c r="K1509" t="s">
        <v>18</v>
      </c>
      <c r="L1509" t="s">
        <v>32</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1608</v>
      </c>
      <c r="B1510" t="s">
        <v>25</v>
      </c>
      <c r="C1510">
        <v>2</v>
      </c>
      <c r="D1510">
        <v>73.8</v>
      </c>
      <c r="E1510">
        <v>147.6</v>
      </c>
      <c r="F1510" s="1">
        <v>45713</v>
      </c>
      <c r="G1510" s="1">
        <v>45713</v>
      </c>
      <c r="H1510" t="s">
        <v>22</v>
      </c>
      <c r="I1510" t="s">
        <v>50</v>
      </c>
      <c r="J1510">
        <v>5</v>
      </c>
      <c r="K1510" t="s">
        <v>18</v>
      </c>
      <c r="L1510" t="s">
        <v>32</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1609</v>
      </c>
      <c r="B1511" t="s">
        <v>21</v>
      </c>
      <c r="C1511">
        <v>12</v>
      </c>
      <c r="D1511">
        <v>67.7</v>
      </c>
      <c r="E1511">
        <v>812.40000000000009</v>
      </c>
      <c r="F1511" s="1">
        <v>45713</v>
      </c>
      <c r="G1511" s="1">
        <v>45717</v>
      </c>
      <c r="H1511" t="s">
        <v>22</v>
      </c>
      <c r="I1511" t="s">
        <v>34</v>
      </c>
      <c r="J1511">
        <v>3</v>
      </c>
      <c r="K1511" t="s">
        <v>18</v>
      </c>
      <c r="L1511" t="s">
        <v>32</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1610</v>
      </c>
      <c r="B1512" t="s">
        <v>75</v>
      </c>
      <c r="C1512">
        <v>7</v>
      </c>
      <c r="D1512">
        <v>43.8</v>
      </c>
      <c r="E1512">
        <v>306.59999999999997</v>
      </c>
      <c r="F1512" s="1">
        <v>45713</v>
      </c>
      <c r="G1512" s="1">
        <v>45715</v>
      </c>
      <c r="H1512" t="s">
        <v>22</v>
      </c>
      <c r="I1512" t="s">
        <v>34</v>
      </c>
      <c r="J1512">
        <v>4</v>
      </c>
      <c r="K1512" t="s">
        <v>18</v>
      </c>
      <c r="L1512" t="s">
        <v>32</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1611</v>
      </c>
      <c r="B1513" t="s">
        <v>134</v>
      </c>
      <c r="C1513">
        <v>6</v>
      </c>
      <c r="D1513">
        <v>71.900000000000006</v>
      </c>
      <c r="E1513">
        <v>431.40000000000003</v>
      </c>
      <c r="F1513" s="1">
        <v>45713</v>
      </c>
      <c r="G1513" s="1">
        <v>45714</v>
      </c>
      <c r="H1513" t="s">
        <v>26</v>
      </c>
      <c r="I1513" t="s">
        <v>39</v>
      </c>
      <c r="J1513">
        <v>4</v>
      </c>
      <c r="K1513" t="s">
        <v>18</v>
      </c>
      <c r="L1513" t="s">
        <v>32</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1612</v>
      </c>
      <c r="B1514" t="s">
        <v>43</v>
      </c>
      <c r="C1514">
        <v>2</v>
      </c>
      <c r="D1514">
        <v>26.3</v>
      </c>
      <c r="E1514">
        <v>52.6</v>
      </c>
      <c r="F1514" s="1">
        <v>45714</v>
      </c>
      <c r="G1514" s="1">
        <v>45716</v>
      </c>
      <c r="H1514" t="s">
        <v>26</v>
      </c>
      <c r="I1514" t="s">
        <v>17</v>
      </c>
      <c r="J1514">
        <v>3</v>
      </c>
      <c r="K1514" t="s">
        <v>18</v>
      </c>
      <c r="L1514" t="s">
        <v>32</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1613</v>
      </c>
      <c r="B1515" t="s">
        <v>38</v>
      </c>
      <c r="C1515">
        <v>4</v>
      </c>
      <c r="D1515">
        <v>52.6</v>
      </c>
      <c r="E1515">
        <v>210.4</v>
      </c>
      <c r="F1515" s="1">
        <v>45714</v>
      </c>
      <c r="G1515" s="1">
        <v>45716</v>
      </c>
      <c r="H1515" t="s">
        <v>26</v>
      </c>
      <c r="I1515" t="s">
        <v>39</v>
      </c>
      <c r="J1515">
        <v>3</v>
      </c>
      <c r="K1515" t="s">
        <v>18</v>
      </c>
      <c r="L1515" t="s">
        <v>32</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1614</v>
      </c>
      <c r="B1516" t="s">
        <v>53</v>
      </c>
      <c r="C1516">
        <v>1</v>
      </c>
      <c r="D1516">
        <v>32.700000000000003</v>
      </c>
      <c r="E1516">
        <v>32.700000000000003</v>
      </c>
      <c r="F1516" s="1">
        <v>45714</v>
      </c>
      <c r="G1516" s="1">
        <v>45721</v>
      </c>
      <c r="H1516" t="s">
        <v>26</v>
      </c>
      <c r="I1516" t="s">
        <v>17</v>
      </c>
      <c r="J1516">
        <v>5</v>
      </c>
      <c r="K1516" t="s">
        <v>18</v>
      </c>
      <c r="L1516" t="s">
        <v>32</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1615</v>
      </c>
      <c r="B1517" t="s">
        <v>36</v>
      </c>
      <c r="C1517">
        <v>4</v>
      </c>
      <c r="D1517">
        <v>38.9</v>
      </c>
      <c r="E1517">
        <v>155.6</v>
      </c>
      <c r="F1517" s="1">
        <v>45714</v>
      </c>
      <c r="G1517" s="1">
        <v>45715</v>
      </c>
      <c r="H1517" t="s">
        <v>26</v>
      </c>
      <c r="I1517" t="s">
        <v>17</v>
      </c>
      <c r="J1517">
        <v>4</v>
      </c>
      <c r="K1517" t="s">
        <v>18</v>
      </c>
      <c r="L1517" t="s">
        <v>32</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1616</v>
      </c>
      <c r="B1518" t="s">
        <v>45</v>
      </c>
      <c r="C1518">
        <v>5</v>
      </c>
      <c r="D1518">
        <v>35</v>
      </c>
      <c r="E1518">
        <v>175</v>
      </c>
      <c r="F1518" s="1">
        <v>45714</v>
      </c>
      <c r="G1518" s="1">
        <v>45716</v>
      </c>
      <c r="H1518" t="s">
        <v>22</v>
      </c>
      <c r="I1518" t="s">
        <v>17</v>
      </c>
      <c r="J1518">
        <v>4</v>
      </c>
      <c r="K1518" t="s">
        <v>18</v>
      </c>
      <c r="L1518" t="s">
        <v>32</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1617</v>
      </c>
      <c r="B1519" t="s">
        <v>25</v>
      </c>
      <c r="C1519">
        <v>2</v>
      </c>
      <c r="D1519">
        <v>121</v>
      </c>
      <c r="E1519">
        <v>242</v>
      </c>
      <c r="F1519" s="1">
        <v>45714</v>
      </c>
      <c r="G1519" s="1">
        <v>45715</v>
      </c>
      <c r="H1519" t="s">
        <v>26</v>
      </c>
      <c r="I1519" t="s">
        <v>34</v>
      </c>
      <c r="J1519">
        <v>3</v>
      </c>
      <c r="K1519" t="s">
        <v>18</v>
      </c>
      <c r="L1519" t="s">
        <v>32</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1618</v>
      </c>
      <c r="B1520" t="s">
        <v>38</v>
      </c>
      <c r="C1520">
        <v>3</v>
      </c>
      <c r="D1520">
        <v>65.099999999999994</v>
      </c>
      <c r="E1520">
        <v>195.29999999999998</v>
      </c>
      <c r="F1520" s="1">
        <v>45714</v>
      </c>
      <c r="G1520" s="1">
        <v>45718</v>
      </c>
      <c r="H1520" t="s">
        <v>22</v>
      </c>
      <c r="I1520" t="s">
        <v>39</v>
      </c>
      <c r="J1520">
        <v>4</v>
      </c>
      <c r="K1520" t="s">
        <v>18</v>
      </c>
      <c r="L1520" t="s">
        <v>341</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1619</v>
      </c>
      <c r="B1521" t="s">
        <v>21</v>
      </c>
      <c r="C1521">
        <v>21</v>
      </c>
      <c r="D1521">
        <v>63.8</v>
      </c>
      <c r="E1521">
        <v>1339.8</v>
      </c>
      <c r="F1521" s="1">
        <v>45714</v>
      </c>
      <c r="G1521" s="1">
        <v>45716</v>
      </c>
      <c r="H1521" t="s">
        <v>26</v>
      </c>
      <c r="I1521" t="s">
        <v>17</v>
      </c>
      <c r="J1521">
        <v>4</v>
      </c>
      <c r="K1521" t="s">
        <v>18</v>
      </c>
      <c r="L1521" t="s">
        <v>61</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1620</v>
      </c>
      <c r="B1522" t="s">
        <v>41</v>
      </c>
      <c r="C1522">
        <v>1</v>
      </c>
      <c r="D1522">
        <v>77.7</v>
      </c>
      <c r="E1522">
        <v>77.7</v>
      </c>
      <c r="F1522" s="1">
        <v>45714</v>
      </c>
      <c r="G1522" s="1">
        <v>45716</v>
      </c>
      <c r="H1522" t="s">
        <v>22</v>
      </c>
      <c r="I1522" t="s">
        <v>17</v>
      </c>
      <c r="J1522">
        <v>4</v>
      </c>
      <c r="K1522" t="s">
        <v>18</v>
      </c>
      <c r="L1522" t="s">
        <v>61</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1621</v>
      </c>
      <c r="B1523" t="s">
        <v>36</v>
      </c>
      <c r="C1523">
        <v>4</v>
      </c>
      <c r="D1523">
        <v>60.3</v>
      </c>
      <c r="E1523">
        <v>241.2</v>
      </c>
      <c r="F1523" s="1">
        <v>45714</v>
      </c>
      <c r="G1523" s="1">
        <v>45714</v>
      </c>
      <c r="H1523" t="s">
        <v>22</v>
      </c>
      <c r="I1523" t="s">
        <v>17</v>
      </c>
      <c r="J1523">
        <v>5</v>
      </c>
      <c r="K1523" t="s">
        <v>18</v>
      </c>
      <c r="L1523" t="s">
        <v>61</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1622</v>
      </c>
      <c r="B1524" t="s">
        <v>36</v>
      </c>
      <c r="C1524">
        <v>2</v>
      </c>
      <c r="D1524">
        <v>124.1</v>
      </c>
      <c r="E1524">
        <v>248.2</v>
      </c>
      <c r="F1524" s="1">
        <v>45714</v>
      </c>
      <c r="G1524" s="1">
        <v>45717</v>
      </c>
      <c r="H1524" t="s">
        <v>26</v>
      </c>
      <c r="I1524" t="s">
        <v>17</v>
      </c>
      <c r="J1524">
        <v>5</v>
      </c>
      <c r="K1524" t="s">
        <v>18</v>
      </c>
      <c r="L1524" t="s">
        <v>61</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1623</v>
      </c>
      <c r="B1525" t="s">
        <v>127</v>
      </c>
      <c r="C1525">
        <v>7</v>
      </c>
      <c r="D1525">
        <v>66</v>
      </c>
      <c r="E1525">
        <v>462</v>
      </c>
      <c r="F1525" s="1">
        <v>45714</v>
      </c>
      <c r="G1525" s="1">
        <v>45714</v>
      </c>
      <c r="I1525" t="s">
        <v>50</v>
      </c>
      <c r="J1525">
        <v>4</v>
      </c>
      <c r="K1525" t="s">
        <v>18</v>
      </c>
      <c r="L1525" t="s">
        <v>102</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1624</v>
      </c>
      <c r="B1526" t="s">
        <v>25</v>
      </c>
      <c r="C1526">
        <v>63</v>
      </c>
      <c r="D1526">
        <v>118.2</v>
      </c>
      <c r="E1526">
        <v>7446.6</v>
      </c>
      <c r="F1526" s="1">
        <v>45714</v>
      </c>
      <c r="G1526" s="1">
        <v>45719</v>
      </c>
      <c r="I1526" t="s">
        <v>17</v>
      </c>
      <c r="J1526">
        <v>4</v>
      </c>
      <c r="K1526" t="s">
        <v>18</v>
      </c>
      <c r="L1526" t="s">
        <v>102</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1625</v>
      </c>
      <c r="B1527" t="s">
        <v>36</v>
      </c>
      <c r="C1527">
        <v>5</v>
      </c>
      <c r="D1527">
        <v>64.3</v>
      </c>
      <c r="E1527">
        <v>321.5</v>
      </c>
      <c r="F1527" s="1">
        <v>45714</v>
      </c>
      <c r="G1527" s="1">
        <v>45715</v>
      </c>
      <c r="H1527" t="s">
        <v>22</v>
      </c>
      <c r="I1527" t="s">
        <v>69</v>
      </c>
      <c r="J1527">
        <v>2</v>
      </c>
      <c r="K1527" t="s">
        <v>18</v>
      </c>
      <c r="L1527" t="s">
        <v>200</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1626</v>
      </c>
      <c r="B1528" t="s">
        <v>21</v>
      </c>
      <c r="C1528">
        <v>2</v>
      </c>
      <c r="D1528">
        <v>54.8</v>
      </c>
      <c r="E1528">
        <v>109.6</v>
      </c>
      <c r="F1528" s="1">
        <v>45714</v>
      </c>
      <c r="G1528" s="1">
        <v>45714</v>
      </c>
      <c r="H1528" t="s">
        <v>22</v>
      </c>
      <c r="I1528" t="s">
        <v>17</v>
      </c>
      <c r="J1528">
        <v>3</v>
      </c>
      <c r="K1528" t="s">
        <v>18</v>
      </c>
      <c r="L1528" t="s">
        <v>200</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1627</v>
      </c>
      <c r="B1529" t="s">
        <v>41</v>
      </c>
      <c r="C1529">
        <v>2</v>
      </c>
      <c r="D1529">
        <v>78.599999999999994</v>
      </c>
      <c r="E1529">
        <v>157.19999999999999</v>
      </c>
      <c r="F1529" s="1">
        <v>45714</v>
      </c>
      <c r="G1529" s="1">
        <v>45715</v>
      </c>
      <c r="H1529" t="s">
        <v>22</v>
      </c>
      <c r="I1529" t="s">
        <v>17</v>
      </c>
      <c r="J1529">
        <v>5</v>
      </c>
      <c r="K1529" t="s">
        <v>18</v>
      </c>
      <c r="L1529" t="s">
        <v>71</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1628</v>
      </c>
      <c r="B1530" t="s">
        <v>25</v>
      </c>
      <c r="C1530">
        <v>5</v>
      </c>
      <c r="D1530">
        <v>158.5</v>
      </c>
      <c r="E1530">
        <v>792.5</v>
      </c>
      <c r="F1530" s="1">
        <v>45714</v>
      </c>
      <c r="G1530" s="1">
        <v>45716</v>
      </c>
      <c r="I1530" t="s">
        <v>39</v>
      </c>
      <c r="J1530">
        <v>5</v>
      </c>
      <c r="K1530" t="s">
        <v>18</v>
      </c>
      <c r="L1530" t="s">
        <v>71</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1629</v>
      </c>
      <c r="B1531" t="s">
        <v>31</v>
      </c>
      <c r="C1531">
        <v>10</v>
      </c>
      <c r="D1531">
        <v>23.5</v>
      </c>
      <c r="E1531">
        <v>235</v>
      </c>
      <c r="F1531" s="1">
        <v>45714</v>
      </c>
      <c r="G1531" s="1">
        <v>45717</v>
      </c>
      <c r="H1531" t="s">
        <v>22</v>
      </c>
      <c r="I1531" t="s">
        <v>17</v>
      </c>
      <c r="J1531">
        <v>2</v>
      </c>
      <c r="K1531" t="s">
        <v>18</v>
      </c>
      <c r="L1531" t="s">
        <v>73</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1630</v>
      </c>
      <c r="B1532" t="s">
        <v>36</v>
      </c>
      <c r="C1532">
        <v>2</v>
      </c>
      <c r="D1532">
        <v>32.1</v>
      </c>
      <c r="E1532">
        <v>64.2</v>
      </c>
      <c r="F1532" s="1">
        <v>45714</v>
      </c>
      <c r="G1532" s="1">
        <v>45716</v>
      </c>
      <c r="I1532" t="s">
        <v>50</v>
      </c>
      <c r="J1532">
        <v>4</v>
      </c>
      <c r="K1532" t="s">
        <v>18</v>
      </c>
      <c r="L1532" t="s">
        <v>73</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1631</v>
      </c>
      <c r="B1533" t="s">
        <v>134</v>
      </c>
      <c r="C1533">
        <v>4</v>
      </c>
      <c r="D1533">
        <v>71.900000000000006</v>
      </c>
      <c r="E1533">
        <v>287.60000000000002</v>
      </c>
      <c r="F1533" s="1">
        <v>45714</v>
      </c>
      <c r="G1533" s="1">
        <v>45714</v>
      </c>
      <c r="H1533" t="s">
        <v>22</v>
      </c>
      <c r="I1533" t="s">
        <v>39</v>
      </c>
      <c r="J1533">
        <v>4</v>
      </c>
      <c r="K1533" t="s">
        <v>18</v>
      </c>
      <c r="L1533" t="s">
        <v>109</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1632</v>
      </c>
      <c r="B1534" t="s">
        <v>31</v>
      </c>
      <c r="C1534">
        <v>6</v>
      </c>
      <c r="D1534">
        <v>22.3</v>
      </c>
      <c r="E1534">
        <v>133.80000000000001</v>
      </c>
      <c r="F1534" s="1">
        <v>45714</v>
      </c>
      <c r="G1534" s="1">
        <v>45715</v>
      </c>
      <c r="I1534" t="s">
        <v>50</v>
      </c>
      <c r="J1534">
        <v>5</v>
      </c>
      <c r="K1534" t="s">
        <v>18</v>
      </c>
      <c r="L1534" t="s">
        <v>81</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1633</v>
      </c>
      <c r="B1535" t="s">
        <v>66</v>
      </c>
      <c r="C1535">
        <v>2</v>
      </c>
      <c r="D1535">
        <v>29.5</v>
      </c>
      <c r="E1535">
        <v>59</v>
      </c>
      <c r="F1535" s="1">
        <v>45714</v>
      </c>
      <c r="G1535" s="1">
        <v>45715</v>
      </c>
      <c r="H1535" t="s">
        <v>26</v>
      </c>
      <c r="I1535" t="s">
        <v>17</v>
      </c>
      <c r="J1535">
        <v>5</v>
      </c>
      <c r="K1535" t="s">
        <v>18</v>
      </c>
      <c r="L1535" t="s">
        <v>81</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1634</v>
      </c>
      <c r="B1536" t="s">
        <v>38</v>
      </c>
      <c r="C1536">
        <v>4</v>
      </c>
      <c r="D1536">
        <v>41.9</v>
      </c>
      <c r="E1536">
        <v>167.6</v>
      </c>
      <c r="F1536" s="1">
        <v>45714</v>
      </c>
      <c r="G1536" s="1">
        <v>45718</v>
      </c>
      <c r="H1536" t="s">
        <v>26</v>
      </c>
      <c r="I1536" t="s">
        <v>17</v>
      </c>
      <c r="J1536">
        <v>3</v>
      </c>
      <c r="K1536" t="s">
        <v>18</v>
      </c>
      <c r="L1536" t="s">
        <v>114</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1635</v>
      </c>
      <c r="B1537" t="s">
        <v>38</v>
      </c>
      <c r="C1537">
        <v>3</v>
      </c>
      <c r="D1537">
        <v>107.8</v>
      </c>
      <c r="E1537">
        <v>323.39999999999998</v>
      </c>
      <c r="F1537" s="1">
        <v>45714</v>
      </c>
      <c r="G1537" s="1">
        <v>45715</v>
      </c>
      <c r="H1537" t="s">
        <v>22</v>
      </c>
      <c r="I1537" t="s">
        <v>34</v>
      </c>
      <c r="J1537">
        <v>5</v>
      </c>
      <c r="K1537" t="s">
        <v>18</v>
      </c>
      <c r="L1537" t="s">
        <v>640</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1636</v>
      </c>
      <c r="B1538" t="s">
        <v>31</v>
      </c>
      <c r="C1538">
        <v>5</v>
      </c>
      <c r="D1538">
        <v>18.100000000000001</v>
      </c>
      <c r="E1538">
        <v>90.5</v>
      </c>
      <c r="F1538" s="1">
        <v>45714</v>
      </c>
      <c r="G1538" s="1">
        <v>45717</v>
      </c>
      <c r="H1538" t="s">
        <v>22</v>
      </c>
      <c r="I1538" t="s">
        <v>17</v>
      </c>
      <c r="J1538">
        <v>5</v>
      </c>
      <c r="K1538" t="s">
        <v>18</v>
      </c>
      <c r="L1538" t="s">
        <v>27</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1637</v>
      </c>
      <c r="B1539" t="s">
        <v>68</v>
      </c>
      <c r="C1539">
        <v>9</v>
      </c>
      <c r="D1539">
        <v>79.8</v>
      </c>
      <c r="E1539">
        <v>718.19999999999993</v>
      </c>
      <c r="F1539" s="1">
        <v>45714</v>
      </c>
      <c r="G1539" s="1">
        <v>45715</v>
      </c>
      <c r="H1539" t="s">
        <v>26</v>
      </c>
      <c r="I1539" t="s">
        <v>34</v>
      </c>
      <c r="J1539">
        <v>3</v>
      </c>
      <c r="K1539" t="s">
        <v>18</v>
      </c>
      <c r="L1539" t="s">
        <v>146</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1638</v>
      </c>
      <c r="B1540" t="s">
        <v>16</v>
      </c>
      <c r="C1540">
        <v>3</v>
      </c>
      <c r="D1540">
        <v>22.3</v>
      </c>
      <c r="E1540">
        <v>66.900000000000006</v>
      </c>
      <c r="F1540" s="1">
        <v>45714</v>
      </c>
      <c r="G1540" s="1">
        <v>45717</v>
      </c>
      <c r="H1540" t="s">
        <v>26</v>
      </c>
      <c r="I1540" t="s">
        <v>17</v>
      </c>
      <c r="J1540">
        <v>5</v>
      </c>
      <c r="K1540" t="s">
        <v>18</v>
      </c>
      <c r="L1540" t="s">
        <v>146</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1639</v>
      </c>
      <c r="B1541" t="s">
        <v>43</v>
      </c>
      <c r="C1541">
        <v>1</v>
      </c>
      <c r="D1541">
        <v>22.9</v>
      </c>
      <c r="E1541">
        <v>22.9</v>
      </c>
      <c r="F1541" s="1">
        <v>45714</v>
      </c>
      <c r="G1541" s="1">
        <v>45714</v>
      </c>
      <c r="H1541" t="s">
        <v>26</v>
      </c>
      <c r="I1541" t="s">
        <v>34</v>
      </c>
      <c r="J1541">
        <v>4</v>
      </c>
      <c r="K1541" t="s">
        <v>18</v>
      </c>
      <c r="L1541" t="s">
        <v>146</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1640</v>
      </c>
      <c r="B1542" t="s">
        <v>16</v>
      </c>
      <c r="C1542">
        <v>3</v>
      </c>
      <c r="D1542">
        <v>16.2</v>
      </c>
      <c r="E1542">
        <v>48.599999999999994</v>
      </c>
      <c r="F1542" s="1">
        <v>45715</v>
      </c>
      <c r="G1542" s="1">
        <v>45715</v>
      </c>
      <c r="H1542" t="s">
        <v>22</v>
      </c>
      <c r="I1542" t="s">
        <v>69</v>
      </c>
      <c r="J1542">
        <v>5</v>
      </c>
      <c r="K1542" t="s">
        <v>18</v>
      </c>
      <c r="L1542" t="s">
        <v>32</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1641</v>
      </c>
      <c r="B1543" t="s">
        <v>53</v>
      </c>
      <c r="C1543">
        <v>4</v>
      </c>
      <c r="D1543">
        <v>59.5</v>
      </c>
      <c r="E1543">
        <v>238</v>
      </c>
      <c r="F1543" s="1">
        <v>45715</v>
      </c>
      <c r="G1543" s="1">
        <v>45716</v>
      </c>
      <c r="H1543" t="s">
        <v>22</v>
      </c>
      <c r="I1543" t="s">
        <v>34</v>
      </c>
      <c r="J1543">
        <v>5</v>
      </c>
      <c r="K1543" t="s">
        <v>18</v>
      </c>
      <c r="L1543" t="s">
        <v>32</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1642</v>
      </c>
      <c r="B1544" t="s">
        <v>145</v>
      </c>
      <c r="C1544">
        <v>5</v>
      </c>
      <c r="D1544">
        <v>26.2</v>
      </c>
      <c r="E1544">
        <v>131</v>
      </c>
      <c r="F1544" s="1">
        <v>45715</v>
      </c>
      <c r="G1544" s="1">
        <v>45718</v>
      </c>
      <c r="H1544" t="s">
        <v>22</v>
      </c>
      <c r="I1544" t="s">
        <v>50</v>
      </c>
      <c r="J1544">
        <v>2</v>
      </c>
      <c r="K1544" t="s">
        <v>18</v>
      </c>
      <c r="L1544" t="s">
        <v>32</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1643</v>
      </c>
      <c r="B1545" t="s">
        <v>29</v>
      </c>
      <c r="C1545">
        <v>1</v>
      </c>
      <c r="D1545">
        <v>44.2</v>
      </c>
      <c r="E1545">
        <v>44.2</v>
      </c>
      <c r="F1545" s="1">
        <v>45715</v>
      </c>
      <c r="G1545" s="1">
        <v>45718</v>
      </c>
      <c r="H1545" t="s">
        <v>26</v>
      </c>
      <c r="I1545" t="s">
        <v>34</v>
      </c>
      <c r="J1545">
        <v>4</v>
      </c>
      <c r="K1545" t="s">
        <v>18</v>
      </c>
      <c r="L1545" t="s">
        <v>32</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1644</v>
      </c>
      <c r="B1546" t="s">
        <v>45</v>
      </c>
      <c r="C1546">
        <v>2</v>
      </c>
      <c r="D1546">
        <v>59.2</v>
      </c>
      <c r="E1546">
        <v>118.4</v>
      </c>
      <c r="F1546" s="1">
        <v>45715</v>
      </c>
      <c r="G1546" s="1">
        <v>45715</v>
      </c>
      <c r="H1546" t="s">
        <v>26</v>
      </c>
      <c r="I1546" t="s">
        <v>34</v>
      </c>
      <c r="J1546">
        <v>2</v>
      </c>
      <c r="K1546" t="s">
        <v>18</v>
      </c>
      <c r="L1546" t="s">
        <v>32</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1645</v>
      </c>
      <c r="B1547" t="s">
        <v>122</v>
      </c>
      <c r="C1547">
        <v>4</v>
      </c>
      <c r="D1547">
        <v>41.5</v>
      </c>
      <c r="E1547">
        <v>166</v>
      </c>
      <c r="F1547" s="1">
        <v>45715</v>
      </c>
      <c r="G1547" s="1">
        <v>45717</v>
      </c>
      <c r="H1547" t="s">
        <v>26</v>
      </c>
      <c r="I1547" t="s">
        <v>17</v>
      </c>
      <c r="J1547">
        <v>4</v>
      </c>
      <c r="K1547" t="s">
        <v>18</v>
      </c>
      <c r="L1547" t="s">
        <v>97</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1646</v>
      </c>
      <c r="B1548" t="s">
        <v>38</v>
      </c>
      <c r="C1548">
        <v>12</v>
      </c>
      <c r="D1548">
        <v>67.099999999999994</v>
      </c>
      <c r="E1548">
        <v>805.19999999999993</v>
      </c>
      <c r="F1548" s="1">
        <v>45715</v>
      </c>
      <c r="G1548" s="1">
        <v>45729</v>
      </c>
      <c r="H1548" t="s">
        <v>26</v>
      </c>
      <c r="I1548" t="s">
        <v>17</v>
      </c>
      <c r="J1548">
        <v>5</v>
      </c>
      <c r="K1548" t="s">
        <v>18</v>
      </c>
      <c r="L1548" t="s">
        <v>157</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1647</v>
      </c>
      <c r="B1549" t="s">
        <v>43</v>
      </c>
      <c r="C1549">
        <v>2</v>
      </c>
      <c r="D1549">
        <v>28.7</v>
      </c>
      <c r="E1549">
        <v>57.4</v>
      </c>
      <c r="F1549" s="1">
        <v>45715</v>
      </c>
      <c r="G1549" s="1">
        <v>45719</v>
      </c>
      <c r="H1549" t="s">
        <v>26</v>
      </c>
      <c r="I1549" t="s">
        <v>34</v>
      </c>
      <c r="J1549">
        <v>4</v>
      </c>
      <c r="K1549" t="s">
        <v>18</v>
      </c>
      <c r="L1549" t="s">
        <v>54</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1648</v>
      </c>
      <c r="B1550" t="s">
        <v>25</v>
      </c>
      <c r="C1550">
        <v>4</v>
      </c>
      <c r="D1550">
        <v>132.1</v>
      </c>
      <c r="E1550">
        <v>528.4</v>
      </c>
      <c r="F1550" s="1">
        <v>45715</v>
      </c>
      <c r="G1550" s="1">
        <v>45716</v>
      </c>
      <c r="H1550" t="s">
        <v>26</v>
      </c>
      <c r="I1550" t="s">
        <v>17</v>
      </c>
      <c r="J1550">
        <v>3</v>
      </c>
      <c r="K1550" t="s">
        <v>18</v>
      </c>
      <c r="L1550" t="s">
        <v>54</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1649</v>
      </c>
      <c r="B1551" t="s">
        <v>145</v>
      </c>
      <c r="C1551">
        <v>2</v>
      </c>
      <c r="D1551">
        <v>47</v>
      </c>
      <c r="E1551">
        <v>94</v>
      </c>
      <c r="F1551" s="1">
        <v>45715</v>
      </c>
      <c r="G1551" s="1">
        <v>45717</v>
      </c>
      <c r="H1551" t="s">
        <v>22</v>
      </c>
      <c r="I1551" t="s">
        <v>69</v>
      </c>
      <c r="J1551">
        <v>4</v>
      </c>
      <c r="K1551" t="s">
        <v>18</v>
      </c>
      <c r="L1551" t="s">
        <v>61</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1650</v>
      </c>
      <c r="B1552" t="s">
        <v>43</v>
      </c>
      <c r="C1552">
        <v>2</v>
      </c>
      <c r="D1552">
        <v>41.6</v>
      </c>
      <c r="E1552">
        <v>83.2</v>
      </c>
      <c r="F1552" s="1">
        <v>45715</v>
      </c>
      <c r="G1552" s="1">
        <v>45719</v>
      </c>
      <c r="H1552" t="s">
        <v>22</v>
      </c>
      <c r="I1552" t="s">
        <v>34</v>
      </c>
      <c r="J1552">
        <v>5</v>
      </c>
      <c r="K1552" t="s">
        <v>18</v>
      </c>
      <c r="L1552" t="s">
        <v>61</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1651</v>
      </c>
      <c r="B1553" t="s">
        <v>43</v>
      </c>
      <c r="C1553">
        <v>38</v>
      </c>
      <c r="D1553">
        <v>17.3</v>
      </c>
      <c r="E1553">
        <v>657.4</v>
      </c>
      <c r="F1553" s="1">
        <v>45715</v>
      </c>
      <c r="G1553" s="1">
        <v>45717</v>
      </c>
      <c r="H1553" t="s">
        <v>22</v>
      </c>
      <c r="I1553" t="s">
        <v>39</v>
      </c>
      <c r="J1553">
        <v>5</v>
      </c>
      <c r="K1553" t="s">
        <v>18</v>
      </c>
      <c r="L1553" t="s">
        <v>61</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1652</v>
      </c>
      <c r="B1554" t="s">
        <v>75</v>
      </c>
      <c r="C1554">
        <v>3</v>
      </c>
      <c r="D1554">
        <v>41.8</v>
      </c>
      <c r="E1554">
        <v>125.39999999999999</v>
      </c>
      <c r="F1554" s="1">
        <v>45715</v>
      </c>
      <c r="G1554" s="1">
        <v>45718</v>
      </c>
      <c r="H1554" t="s">
        <v>22</v>
      </c>
      <c r="I1554" t="s">
        <v>17</v>
      </c>
      <c r="J1554">
        <v>5</v>
      </c>
      <c r="K1554" t="s">
        <v>18</v>
      </c>
      <c r="L1554" t="s">
        <v>61</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1653</v>
      </c>
      <c r="B1555" t="s">
        <v>53</v>
      </c>
      <c r="C1555">
        <v>1</v>
      </c>
      <c r="D1555">
        <v>24</v>
      </c>
      <c r="E1555">
        <v>24</v>
      </c>
      <c r="F1555" s="1">
        <v>45715</v>
      </c>
      <c r="G1555" s="1">
        <v>45716</v>
      </c>
      <c r="H1555" t="s">
        <v>26</v>
      </c>
      <c r="I1555" t="s">
        <v>17</v>
      </c>
      <c r="J1555">
        <v>4</v>
      </c>
      <c r="K1555" t="s">
        <v>18</v>
      </c>
      <c r="L1555" t="s">
        <v>102</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1654</v>
      </c>
      <c r="B1556" t="s">
        <v>80</v>
      </c>
      <c r="C1556">
        <v>9</v>
      </c>
      <c r="D1556">
        <v>18.5</v>
      </c>
      <c r="E1556">
        <v>166.5</v>
      </c>
      <c r="F1556" s="1">
        <v>45715</v>
      </c>
      <c r="G1556" s="1">
        <v>45717</v>
      </c>
      <c r="H1556" t="s">
        <v>26</v>
      </c>
      <c r="I1556" t="s">
        <v>17</v>
      </c>
      <c r="J1556">
        <v>4</v>
      </c>
      <c r="K1556" t="s">
        <v>18</v>
      </c>
      <c r="L1556" t="s">
        <v>71</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1655</v>
      </c>
      <c r="B1557" t="s">
        <v>29</v>
      </c>
      <c r="C1557">
        <v>12</v>
      </c>
      <c r="D1557">
        <v>66.7</v>
      </c>
      <c r="E1557">
        <v>800.40000000000009</v>
      </c>
      <c r="F1557" s="1">
        <v>45715</v>
      </c>
      <c r="G1557" s="1">
        <v>45718</v>
      </c>
      <c r="I1557" t="s">
        <v>17</v>
      </c>
      <c r="J1557">
        <v>5</v>
      </c>
      <c r="K1557" t="s">
        <v>18</v>
      </c>
      <c r="L1557" t="s">
        <v>76</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1656</v>
      </c>
      <c r="B1558" t="s">
        <v>21</v>
      </c>
      <c r="C1558">
        <v>4</v>
      </c>
      <c r="D1558">
        <v>33.1</v>
      </c>
      <c r="E1558">
        <v>132.4</v>
      </c>
      <c r="F1558" s="1">
        <v>45715</v>
      </c>
      <c r="G1558" s="1">
        <v>45720</v>
      </c>
      <c r="H1558" t="s">
        <v>22</v>
      </c>
      <c r="I1558" t="s">
        <v>50</v>
      </c>
      <c r="J1558">
        <v>4</v>
      </c>
      <c r="K1558" t="s">
        <v>18</v>
      </c>
      <c r="L1558" t="s">
        <v>76</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1657</v>
      </c>
      <c r="B1559" t="s">
        <v>170</v>
      </c>
      <c r="C1559">
        <v>9</v>
      </c>
      <c r="D1559">
        <v>42.1</v>
      </c>
      <c r="E1559">
        <v>378.90000000000003</v>
      </c>
      <c r="F1559" s="1">
        <v>45715</v>
      </c>
      <c r="G1559" s="1">
        <v>45726</v>
      </c>
      <c r="H1559" t="s">
        <v>22</v>
      </c>
      <c r="I1559" t="s">
        <v>34</v>
      </c>
      <c r="J1559">
        <v>4</v>
      </c>
      <c r="K1559" t="s">
        <v>18</v>
      </c>
      <c r="L1559" t="s">
        <v>107</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1658</v>
      </c>
      <c r="B1560" t="s">
        <v>145</v>
      </c>
      <c r="C1560">
        <v>7</v>
      </c>
      <c r="D1560">
        <v>58.7</v>
      </c>
      <c r="E1560">
        <v>410.90000000000003</v>
      </c>
      <c r="F1560" s="1">
        <v>45715</v>
      </c>
      <c r="G1560" s="1">
        <v>45715</v>
      </c>
      <c r="H1560" t="s">
        <v>88</v>
      </c>
      <c r="I1560" t="s">
        <v>50</v>
      </c>
      <c r="J1560">
        <v>4</v>
      </c>
      <c r="K1560" t="s">
        <v>18</v>
      </c>
      <c r="L1560" t="s">
        <v>291</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1659</v>
      </c>
      <c r="B1561" t="s">
        <v>38</v>
      </c>
      <c r="C1561">
        <v>4</v>
      </c>
      <c r="D1561">
        <v>54</v>
      </c>
      <c r="E1561">
        <v>216</v>
      </c>
      <c r="F1561" s="1">
        <v>45715</v>
      </c>
      <c r="G1561" s="1">
        <v>45717</v>
      </c>
      <c r="H1561" t="s">
        <v>26</v>
      </c>
      <c r="I1561" t="s">
        <v>34</v>
      </c>
      <c r="J1561">
        <v>4</v>
      </c>
      <c r="K1561" t="s">
        <v>18</v>
      </c>
      <c r="L1561" t="s">
        <v>23</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1660</v>
      </c>
      <c r="B1562" t="s">
        <v>43</v>
      </c>
      <c r="C1562">
        <v>1</v>
      </c>
      <c r="D1562">
        <v>52.1</v>
      </c>
      <c r="E1562">
        <v>52.1</v>
      </c>
      <c r="F1562" s="1">
        <v>45715</v>
      </c>
      <c r="G1562" s="1">
        <v>45716</v>
      </c>
      <c r="H1562" t="s">
        <v>26</v>
      </c>
      <c r="I1562" t="s">
        <v>39</v>
      </c>
      <c r="J1562">
        <v>5</v>
      </c>
      <c r="K1562" t="s">
        <v>18</v>
      </c>
      <c r="L1562" t="s">
        <v>27</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1661</v>
      </c>
      <c r="B1563" t="s">
        <v>170</v>
      </c>
      <c r="C1563">
        <v>2</v>
      </c>
      <c r="D1563">
        <v>27</v>
      </c>
      <c r="E1563">
        <v>54</v>
      </c>
      <c r="F1563" s="1">
        <v>45715</v>
      </c>
      <c r="G1563" s="1">
        <v>45718</v>
      </c>
      <c r="H1563" t="s">
        <v>88</v>
      </c>
      <c r="I1563" t="s">
        <v>39</v>
      </c>
      <c r="J1563">
        <v>4</v>
      </c>
      <c r="K1563" t="s">
        <v>18</v>
      </c>
      <c r="L1563" t="s">
        <v>146</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1662</v>
      </c>
      <c r="B1564" t="s">
        <v>68</v>
      </c>
      <c r="C1564">
        <v>10</v>
      </c>
      <c r="D1564">
        <v>31</v>
      </c>
      <c r="E1564">
        <v>310</v>
      </c>
      <c r="F1564" s="1">
        <v>45716</v>
      </c>
      <c r="G1564" s="1">
        <v>45717</v>
      </c>
      <c r="H1564" t="s">
        <v>26</v>
      </c>
      <c r="I1564" t="s">
        <v>50</v>
      </c>
      <c r="J1564">
        <v>5</v>
      </c>
      <c r="K1564" t="s">
        <v>18</v>
      </c>
      <c r="L1564" t="s">
        <v>146</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1663</v>
      </c>
      <c r="B1565" t="s">
        <v>53</v>
      </c>
      <c r="C1565">
        <v>2</v>
      </c>
      <c r="D1565">
        <v>46.7</v>
      </c>
      <c r="E1565">
        <v>93.4</v>
      </c>
      <c r="F1565" s="1">
        <v>45716</v>
      </c>
      <c r="G1565" s="1">
        <v>45716</v>
      </c>
      <c r="H1565" t="s">
        <v>26</v>
      </c>
      <c r="I1565" t="s">
        <v>17</v>
      </c>
      <c r="J1565">
        <v>4</v>
      </c>
      <c r="K1565" t="s">
        <v>18</v>
      </c>
      <c r="L1565" t="s">
        <v>333</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1664</v>
      </c>
      <c r="B1566" t="s">
        <v>38</v>
      </c>
      <c r="C1566">
        <v>1</v>
      </c>
      <c r="D1566">
        <v>144.69999999999999</v>
      </c>
      <c r="E1566">
        <v>144.69999999999999</v>
      </c>
      <c r="F1566" s="1">
        <v>45716</v>
      </c>
      <c r="G1566" s="1">
        <v>45719</v>
      </c>
      <c r="H1566" t="s">
        <v>22</v>
      </c>
      <c r="I1566" t="s">
        <v>17</v>
      </c>
      <c r="J1566">
        <v>5</v>
      </c>
      <c r="K1566" t="s">
        <v>18</v>
      </c>
      <c r="L1566" t="s">
        <v>32</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1665</v>
      </c>
      <c r="B1567" t="s">
        <v>25</v>
      </c>
      <c r="C1567">
        <v>9</v>
      </c>
      <c r="D1567">
        <v>90.9</v>
      </c>
      <c r="E1567">
        <v>818.1</v>
      </c>
      <c r="F1567" s="1">
        <v>45716</v>
      </c>
      <c r="G1567" s="1">
        <v>45717</v>
      </c>
      <c r="H1567" t="s">
        <v>22</v>
      </c>
      <c r="I1567" t="s">
        <v>17</v>
      </c>
      <c r="J1567">
        <v>5</v>
      </c>
      <c r="K1567" t="s">
        <v>18</v>
      </c>
      <c r="L1567" t="s">
        <v>32</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1666</v>
      </c>
      <c r="B1568" t="s">
        <v>21</v>
      </c>
      <c r="C1568">
        <v>2</v>
      </c>
      <c r="D1568">
        <v>75.8</v>
      </c>
      <c r="E1568">
        <v>151.6</v>
      </c>
      <c r="F1568" s="1">
        <v>45716</v>
      </c>
      <c r="G1568" s="1">
        <v>45717</v>
      </c>
      <c r="H1568" t="s">
        <v>26</v>
      </c>
      <c r="I1568" t="s">
        <v>39</v>
      </c>
      <c r="J1568">
        <v>3</v>
      </c>
      <c r="K1568" t="s">
        <v>18</v>
      </c>
      <c r="L1568" t="s">
        <v>32</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1667</v>
      </c>
      <c r="B1569" t="s">
        <v>41</v>
      </c>
      <c r="C1569">
        <v>5</v>
      </c>
      <c r="D1569">
        <v>57.9</v>
      </c>
      <c r="E1569">
        <v>289.5</v>
      </c>
      <c r="F1569" s="1">
        <v>45716</v>
      </c>
      <c r="G1569" s="1">
        <v>45718</v>
      </c>
      <c r="H1569" t="s">
        <v>22</v>
      </c>
      <c r="I1569" t="s">
        <v>39</v>
      </c>
      <c r="J1569">
        <v>5</v>
      </c>
      <c r="K1569" t="s">
        <v>18</v>
      </c>
      <c r="L1569" t="s">
        <v>32</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1668</v>
      </c>
      <c r="B1570" t="s">
        <v>43</v>
      </c>
      <c r="C1570">
        <v>5</v>
      </c>
      <c r="D1570">
        <v>44.8</v>
      </c>
      <c r="E1570">
        <v>224</v>
      </c>
      <c r="F1570" s="1">
        <v>45716</v>
      </c>
      <c r="G1570" s="1">
        <v>45717</v>
      </c>
      <c r="H1570" t="s">
        <v>26</v>
      </c>
      <c r="I1570" t="s">
        <v>50</v>
      </c>
      <c r="J1570">
        <v>5</v>
      </c>
      <c r="K1570" t="s">
        <v>18</v>
      </c>
      <c r="L1570" t="s">
        <v>32</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1669</v>
      </c>
      <c r="B1571" t="s">
        <v>45</v>
      </c>
      <c r="C1571">
        <v>3</v>
      </c>
      <c r="D1571">
        <v>44.2</v>
      </c>
      <c r="E1571">
        <v>132.60000000000002</v>
      </c>
      <c r="F1571" s="1">
        <v>45716</v>
      </c>
      <c r="G1571" s="1">
        <v>45720</v>
      </c>
      <c r="H1571" t="s">
        <v>22</v>
      </c>
      <c r="I1571" t="s">
        <v>39</v>
      </c>
      <c r="J1571">
        <v>5</v>
      </c>
      <c r="K1571" t="s">
        <v>18</v>
      </c>
      <c r="L1571" t="s">
        <v>32</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1670</v>
      </c>
      <c r="B1572" t="s">
        <v>36</v>
      </c>
      <c r="C1572">
        <v>5</v>
      </c>
      <c r="D1572">
        <v>53.5</v>
      </c>
      <c r="E1572">
        <v>267.5</v>
      </c>
      <c r="F1572" s="1">
        <v>45716</v>
      </c>
      <c r="G1572" s="1">
        <v>45718</v>
      </c>
      <c r="H1572" t="s">
        <v>22</v>
      </c>
      <c r="I1572" t="s">
        <v>17</v>
      </c>
      <c r="J1572">
        <v>4</v>
      </c>
      <c r="K1572" t="s">
        <v>18</v>
      </c>
      <c r="L1572" t="s">
        <v>363</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1671</v>
      </c>
      <c r="B1573" t="s">
        <v>38</v>
      </c>
      <c r="C1573">
        <v>2</v>
      </c>
      <c r="D1573">
        <v>72.2</v>
      </c>
      <c r="E1573">
        <v>144.4</v>
      </c>
      <c r="F1573" s="1">
        <v>45716</v>
      </c>
      <c r="G1573" s="1">
        <v>45717</v>
      </c>
      <c r="H1573" t="s">
        <v>22</v>
      </c>
      <c r="I1573" t="s">
        <v>17</v>
      </c>
      <c r="J1573">
        <v>5</v>
      </c>
      <c r="K1573" t="s">
        <v>18</v>
      </c>
      <c r="L1573" t="s">
        <v>187</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1672</v>
      </c>
      <c r="B1574" t="s">
        <v>38</v>
      </c>
      <c r="C1574">
        <v>4</v>
      </c>
      <c r="D1574">
        <v>62.4</v>
      </c>
      <c r="E1574">
        <v>249.6</v>
      </c>
      <c r="F1574" s="1">
        <v>45716</v>
      </c>
      <c r="G1574" s="1">
        <v>45719</v>
      </c>
      <c r="H1574" t="s">
        <v>26</v>
      </c>
      <c r="I1574" t="s">
        <v>17</v>
      </c>
      <c r="J1574">
        <v>3</v>
      </c>
      <c r="K1574" t="s">
        <v>18</v>
      </c>
      <c r="L1574" t="s">
        <v>157</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1673</v>
      </c>
      <c r="B1575" t="s">
        <v>53</v>
      </c>
      <c r="C1575">
        <v>5</v>
      </c>
      <c r="D1575">
        <v>24.7</v>
      </c>
      <c r="E1575">
        <v>123.5</v>
      </c>
      <c r="F1575" s="1">
        <v>45716</v>
      </c>
      <c r="G1575" s="1">
        <v>45717</v>
      </c>
      <c r="H1575" t="s">
        <v>26</v>
      </c>
      <c r="I1575" t="s">
        <v>17</v>
      </c>
      <c r="J1575">
        <v>4</v>
      </c>
      <c r="K1575" t="s">
        <v>18</v>
      </c>
      <c r="L1575" t="s">
        <v>54</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1674</v>
      </c>
      <c r="B1576" t="s">
        <v>21</v>
      </c>
      <c r="C1576">
        <v>5</v>
      </c>
      <c r="D1576">
        <v>61.7</v>
      </c>
      <c r="E1576">
        <v>308.5</v>
      </c>
      <c r="F1576" s="1">
        <v>45716</v>
      </c>
      <c r="G1576" s="1">
        <v>45718</v>
      </c>
      <c r="H1576" t="s">
        <v>26</v>
      </c>
      <c r="I1576" t="s">
        <v>39</v>
      </c>
      <c r="J1576">
        <v>4</v>
      </c>
      <c r="K1576" t="s">
        <v>18</v>
      </c>
      <c r="L1576" t="s">
        <v>61</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1675</v>
      </c>
      <c r="B1577" t="s">
        <v>43</v>
      </c>
      <c r="C1577">
        <v>5</v>
      </c>
      <c r="D1577">
        <v>18.2</v>
      </c>
      <c r="E1577">
        <v>91</v>
      </c>
      <c r="F1577" s="1">
        <v>45716</v>
      </c>
      <c r="G1577" s="1">
        <v>45718</v>
      </c>
      <c r="H1577" t="s">
        <v>26</v>
      </c>
      <c r="I1577" t="s">
        <v>50</v>
      </c>
      <c r="J1577">
        <v>4</v>
      </c>
      <c r="K1577" t="s">
        <v>18</v>
      </c>
      <c r="L1577" t="s">
        <v>61</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1676</v>
      </c>
      <c r="B1578" t="s">
        <v>53</v>
      </c>
      <c r="C1578">
        <v>4</v>
      </c>
      <c r="D1578">
        <v>37.200000000000003</v>
      </c>
      <c r="E1578">
        <v>148.80000000000001</v>
      </c>
      <c r="F1578" s="1">
        <v>45716</v>
      </c>
      <c r="G1578" s="1">
        <v>45722</v>
      </c>
      <c r="H1578" t="s">
        <v>26</v>
      </c>
      <c r="I1578" t="s">
        <v>17</v>
      </c>
      <c r="J1578">
        <v>4</v>
      </c>
      <c r="K1578" t="s">
        <v>18</v>
      </c>
      <c r="L1578" t="s">
        <v>61</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1677</v>
      </c>
      <c r="B1579" t="s">
        <v>45</v>
      </c>
      <c r="C1579">
        <v>3</v>
      </c>
      <c r="D1579">
        <v>53.5</v>
      </c>
      <c r="E1579">
        <v>160.5</v>
      </c>
      <c r="F1579" s="1">
        <v>45716</v>
      </c>
      <c r="G1579" s="1">
        <v>45718</v>
      </c>
      <c r="H1579" t="s">
        <v>26</v>
      </c>
      <c r="I1579" t="s">
        <v>34</v>
      </c>
      <c r="J1579">
        <v>5</v>
      </c>
      <c r="K1579" t="s">
        <v>18</v>
      </c>
      <c r="L1579" t="s">
        <v>71</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1678</v>
      </c>
      <c r="B1580" t="s">
        <v>43</v>
      </c>
      <c r="C1580">
        <v>3</v>
      </c>
      <c r="D1580">
        <v>43.6</v>
      </c>
      <c r="E1580">
        <v>130.80000000000001</v>
      </c>
      <c r="F1580" s="1">
        <v>45716</v>
      </c>
      <c r="G1580" s="1">
        <v>45716</v>
      </c>
      <c r="H1580" t="s">
        <v>26</v>
      </c>
      <c r="I1580" t="s">
        <v>17</v>
      </c>
      <c r="J1580">
        <v>4</v>
      </c>
      <c r="K1580" t="s">
        <v>18</v>
      </c>
      <c r="L1580" t="s">
        <v>71</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1679</v>
      </c>
      <c r="B1581" t="s">
        <v>21</v>
      </c>
      <c r="C1581">
        <v>10</v>
      </c>
      <c r="D1581">
        <v>135</v>
      </c>
      <c r="E1581">
        <v>1350</v>
      </c>
      <c r="F1581" s="1">
        <v>45716</v>
      </c>
      <c r="G1581" s="1">
        <v>45718</v>
      </c>
      <c r="H1581" t="s">
        <v>26</v>
      </c>
      <c r="I1581" t="s">
        <v>17</v>
      </c>
      <c r="J1581">
        <v>5</v>
      </c>
      <c r="K1581" t="s">
        <v>18</v>
      </c>
      <c r="L1581" t="s">
        <v>71</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1680</v>
      </c>
      <c r="B1582" t="s">
        <v>43</v>
      </c>
      <c r="C1582">
        <v>5</v>
      </c>
      <c r="D1582">
        <v>38.5</v>
      </c>
      <c r="E1582">
        <v>192.5</v>
      </c>
      <c r="F1582" s="1">
        <v>45716</v>
      </c>
      <c r="G1582" s="1">
        <v>45716</v>
      </c>
      <c r="H1582" t="s">
        <v>22</v>
      </c>
      <c r="I1582" t="s">
        <v>69</v>
      </c>
      <c r="J1582">
        <v>5</v>
      </c>
      <c r="K1582" t="s">
        <v>18</v>
      </c>
      <c r="L1582" t="s">
        <v>73</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1681</v>
      </c>
      <c r="B1583" t="s">
        <v>45</v>
      </c>
      <c r="C1583">
        <v>2</v>
      </c>
      <c r="D1583">
        <v>24</v>
      </c>
      <c r="E1583">
        <v>48</v>
      </c>
      <c r="F1583" s="1">
        <v>45716</v>
      </c>
      <c r="G1583" s="1">
        <v>45721</v>
      </c>
      <c r="H1583" t="s">
        <v>26</v>
      </c>
      <c r="I1583" t="s">
        <v>17</v>
      </c>
      <c r="J1583">
        <v>4</v>
      </c>
      <c r="K1583" t="s">
        <v>18</v>
      </c>
      <c r="L1583" t="s">
        <v>76</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1682</v>
      </c>
      <c r="B1584" t="s">
        <v>31</v>
      </c>
      <c r="C1584">
        <v>3</v>
      </c>
      <c r="D1584">
        <v>28.2</v>
      </c>
      <c r="E1584">
        <v>84.6</v>
      </c>
      <c r="F1584" s="1">
        <v>45716</v>
      </c>
      <c r="G1584" s="1">
        <v>45718</v>
      </c>
      <c r="H1584" t="s">
        <v>22</v>
      </c>
      <c r="I1584" t="s">
        <v>17</v>
      </c>
      <c r="J1584">
        <v>1</v>
      </c>
      <c r="K1584" t="s">
        <v>18</v>
      </c>
      <c r="L1584" t="s">
        <v>107</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1683</v>
      </c>
      <c r="B1585" t="s">
        <v>41</v>
      </c>
      <c r="C1585">
        <v>3</v>
      </c>
      <c r="D1585">
        <v>37.4</v>
      </c>
      <c r="E1585">
        <v>112.19999999999999</v>
      </c>
      <c r="F1585" s="1">
        <v>45716</v>
      </c>
      <c r="G1585" s="1">
        <v>45717</v>
      </c>
      <c r="H1585" t="s">
        <v>26</v>
      </c>
      <c r="I1585" t="s">
        <v>50</v>
      </c>
      <c r="J1585">
        <v>4</v>
      </c>
      <c r="K1585" t="s">
        <v>18</v>
      </c>
      <c r="L1585" t="s">
        <v>23</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1684</v>
      </c>
      <c r="B1586" t="s">
        <v>38</v>
      </c>
      <c r="C1586">
        <v>3</v>
      </c>
      <c r="D1586">
        <v>53.5</v>
      </c>
      <c r="E1586">
        <v>160.5</v>
      </c>
      <c r="F1586" s="1">
        <v>45716</v>
      </c>
      <c r="G1586" s="1">
        <v>45719</v>
      </c>
      <c r="I1586" t="s">
        <v>69</v>
      </c>
      <c r="J1586">
        <v>2</v>
      </c>
      <c r="K1586" t="s">
        <v>18</v>
      </c>
      <c r="L1586" t="s">
        <v>23</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1685</v>
      </c>
      <c r="B1587" t="s">
        <v>66</v>
      </c>
      <c r="C1587">
        <v>5</v>
      </c>
      <c r="D1587">
        <v>36.200000000000003</v>
      </c>
      <c r="E1587">
        <v>181</v>
      </c>
      <c r="F1587" s="1">
        <v>45716</v>
      </c>
      <c r="G1587" s="1">
        <v>45717</v>
      </c>
      <c r="H1587" t="s">
        <v>22</v>
      </c>
      <c r="I1587" t="s">
        <v>34</v>
      </c>
      <c r="J1587">
        <v>5</v>
      </c>
      <c r="K1587" t="s">
        <v>18</v>
      </c>
      <c r="L1587" t="s">
        <v>330</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1686</v>
      </c>
      <c r="B1588" t="s">
        <v>16</v>
      </c>
      <c r="C1588">
        <v>8</v>
      </c>
      <c r="D1588">
        <v>31.9</v>
      </c>
      <c r="E1588">
        <v>255.2</v>
      </c>
      <c r="F1588" s="1">
        <v>45716</v>
      </c>
      <c r="G1588" s="1">
        <v>45717</v>
      </c>
      <c r="H1588" t="s">
        <v>26</v>
      </c>
      <c r="I1588" t="s">
        <v>69</v>
      </c>
      <c r="J1588">
        <v>4</v>
      </c>
      <c r="K1588" t="s">
        <v>18</v>
      </c>
      <c r="L1588" t="s">
        <v>32</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1687</v>
      </c>
      <c r="B1589" t="s">
        <v>43</v>
      </c>
      <c r="C1589">
        <v>3</v>
      </c>
      <c r="D1589">
        <v>21.3</v>
      </c>
      <c r="E1589">
        <v>63.900000000000006</v>
      </c>
      <c r="F1589" s="1">
        <v>45716</v>
      </c>
      <c r="G1589" s="1">
        <v>45717</v>
      </c>
      <c r="H1589" t="s">
        <v>22</v>
      </c>
      <c r="I1589" t="s">
        <v>17</v>
      </c>
      <c r="J1589">
        <v>5</v>
      </c>
      <c r="K1589" t="s">
        <v>18</v>
      </c>
      <c r="L1589" t="s">
        <v>32</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1688</v>
      </c>
      <c r="B1590" t="s">
        <v>43</v>
      </c>
      <c r="C1590">
        <v>1</v>
      </c>
      <c r="D1590">
        <v>36.299999999999997</v>
      </c>
      <c r="E1590">
        <v>36.299999999999997</v>
      </c>
      <c r="F1590" s="1">
        <v>45716</v>
      </c>
      <c r="G1590" s="1">
        <v>45718</v>
      </c>
      <c r="H1590" t="s">
        <v>88</v>
      </c>
      <c r="I1590" t="s">
        <v>69</v>
      </c>
      <c r="J1590">
        <v>4</v>
      </c>
      <c r="K1590" t="s">
        <v>18</v>
      </c>
      <c r="L1590" t="s">
        <v>32</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1689</v>
      </c>
      <c r="B1591" t="s">
        <v>38</v>
      </c>
      <c r="C1591">
        <v>3</v>
      </c>
      <c r="D1591">
        <v>110.5</v>
      </c>
      <c r="E1591">
        <v>331.5</v>
      </c>
      <c r="F1591" s="1">
        <v>45716</v>
      </c>
      <c r="G1591" s="1">
        <v>45717</v>
      </c>
      <c r="H1591" t="s">
        <v>26</v>
      </c>
      <c r="I1591" t="s">
        <v>17</v>
      </c>
      <c r="J1591">
        <v>1</v>
      </c>
      <c r="K1591" t="s">
        <v>18</v>
      </c>
      <c r="L1591" t="s">
        <v>32</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1690</v>
      </c>
      <c r="B1592" t="s">
        <v>53</v>
      </c>
      <c r="C1592">
        <v>7</v>
      </c>
      <c r="D1592">
        <v>32.6</v>
      </c>
      <c r="E1592">
        <v>228.20000000000002</v>
      </c>
      <c r="F1592" s="1">
        <v>45716</v>
      </c>
      <c r="G1592" s="1">
        <v>45718</v>
      </c>
      <c r="H1592" t="s">
        <v>26</v>
      </c>
      <c r="I1592" t="s">
        <v>17</v>
      </c>
      <c r="J1592">
        <v>3</v>
      </c>
      <c r="K1592" t="s">
        <v>18</v>
      </c>
      <c r="L1592" t="s">
        <v>32</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1691</v>
      </c>
      <c r="B1593" t="s">
        <v>36</v>
      </c>
      <c r="C1593">
        <v>3</v>
      </c>
      <c r="D1593">
        <v>55.6</v>
      </c>
      <c r="E1593">
        <v>166.8</v>
      </c>
      <c r="F1593" s="1">
        <v>45717</v>
      </c>
      <c r="G1593" s="1">
        <v>45730</v>
      </c>
      <c r="H1593" t="s">
        <v>26</v>
      </c>
      <c r="I1593" t="s">
        <v>17</v>
      </c>
      <c r="J1593">
        <v>4</v>
      </c>
      <c r="K1593" t="s">
        <v>18</v>
      </c>
      <c r="L1593" t="s">
        <v>32</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1692</v>
      </c>
      <c r="B1594" t="s">
        <v>21</v>
      </c>
      <c r="C1594">
        <v>4</v>
      </c>
      <c r="D1594">
        <v>38</v>
      </c>
      <c r="E1594">
        <v>152</v>
      </c>
      <c r="F1594" s="1">
        <v>45717</v>
      </c>
      <c r="G1594" s="1">
        <v>45718</v>
      </c>
      <c r="H1594" t="s">
        <v>26</v>
      </c>
      <c r="I1594" t="s">
        <v>50</v>
      </c>
      <c r="J1594">
        <v>5</v>
      </c>
      <c r="K1594" t="s">
        <v>18</v>
      </c>
      <c r="L1594" t="s">
        <v>51</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1693</v>
      </c>
      <c r="B1595" t="s">
        <v>53</v>
      </c>
      <c r="C1595">
        <v>2</v>
      </c>
      <c r="D1595">
        <v>51.8</v>
      </c>
      <c r="E1595">
        <v>103.6</v>
      </c>
      <c r="F1595" s="1">
        <v>45717</v>
      </c>
      <c r="G1595" s="1">
        <v>45723</v>
      </c>
      <c r="H1595" t="s">
        <v>22</v>
      </c>
      <c r="I1595" t="s">
        <v>34</v>
      </c>
      <c r="J1595">
        <v>2</v>
      </c>
      <c r="K1595" t="s">
        <v>18</v>
      </c>
      <c r="L1595" t="s">
        <v>54</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1694</v>
      </c>
      <c r="B1596" t="s">
        <v>66</v>
      </c>
      <c r="C1596">
        <v>8</v>
      </c>
      <c r="D1596">
        <v>28.7</v>
      </c>
      <c r="E1596">
        <v>229.6</v>
      </c>
      <c r="F1596" s="1">
        <v>45717</v>
      </c>
      <c r="G1596" s="1">
        <v>45722</v>
      </c>
      <c r="H1596" t="s">
        <v>26</v>
      </c>
      <c r="I1596" t="s">
        <v>17</v>
      </c>
      <c r="J1596">
        <v>4</v>
      </c>
      <c r="K1596" t="s">
        <v>18</v>
      </c>
      <c r="L1596" t="s">
        <v>54</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1695</v>
      </c>
      <c r="B1597" t="s">
        <v>38</v>
      </c>
      <c r="C1597">
        <v>12</v>
      </c>
      <c r="D1597">
        <v>52.2</v>
      </c>
      <c r="E1597">
        <v>626.40000000000009</v>
      </c>
      <c r="F1597" s="1">
        <v>45717</v>
      </c>
      <c r="G1597" s="1">
        <v>45717</v>
      </c>
      <c r="H1597" t="s">
        <v>22</v>
      </c>
      <c r="I1597" t="s">
        <v>17</v>
      </c>
      <c r="J1597">
        <v>3</v>
      </c>
      <c r="K1597" t="s">
        <v>18</v>
      </c>
      <c r="L1597" t="s">
        <v>54</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1696</v>
      </c>
      <c r="B1598" t="s">
        <v>21</v>
      </c>
      <c r="C1598">
        <v>2</v>
      </c>
      <c r="D1598">
        <v>68.2</v>
      </c>
      <c r="E1598">
        <v>136.4</v>
      </c>
      <c r="F1598" s="1">
        <v>45717</v>
      </c>
      <c r="G1598" s="1">
        <v>45718</v>
      </c>
      <c r="I1598" t="s">
        <v>39</v>
      </c>
      <c r="J1598">
        <v>4</v>
      </c>
      <c r="K1598" t="s">
        <v>18</v>
      </c>
      <c r="L1598" t="s">
        <v>58</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1697</v>
      </c>
      <c r="B1599" t="s">
        <v>16</v>
      </c>
      <c r="C1599">
        <v>3</v>
      </c>
      <c r="D1599">
        <v>34</v>
      </c>
      <c r="E1599">
        <v>102</v>
      </c>
      <c r="F1599" s="1">
        <v>45717</v>
      </c>
      <c r="G1599" s="1">
        <v>45721</v>
      </c>
      <c r="H1599" t="s">
        <v>26</v>
      </c>
      <c r="I1599" t="s">
        <v>17</v>
      </c>
      <c r="J1599">
        <v>4</v>
      </c>
      <c r="K1599" t="s">
        <v>18</v>
      </c>
      <c r="L1599" t="s">
        <v>61</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1698</v>
      </c>
      <c r="B1600" t="s">
        <v>43</v>
      </c>
      <c r="C1600">
        <v>3</v>
      </c>
      <c r="D1600">
        <v>19.100000000000001</v>
      </c>
      <c r="E1600">
        <v>57.300000000000004</v>
      </c>
      <c r="F1600" s="1">
        <v>45717</v>
      </c>
      <c r="G1600" s="1">
        <v>45718</v>
      </c>
      <c r="H1600" t="s">
        <v>26</v>
      </c>
      <c r="I1600" t="s">
        <v>69</v>
      </c>
      <c r="J1600">
        <v>4</v>
      </c>
      <c r="K1600" t="s">
        <v>18</v>
      </c>
      <c r="L1600" t="s">
        <v>61</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1699</v>
      </c>
      <c r="B1601" t="s">
        <v>36</v>
      </c>
      <c r="C1601">
        <v>8</v>
      </c>
      <c r="D1601">
        <v>34</v>
      </c>
      <c r="E1601">
        <v>272</v>
      </c>
      <c r="F1601" s="1">
        <v>45717</v>
      </c>
      <c r="G1601" s="1">
        <v>45725</v>
      </c>
      <c r="H1601" t="s">
        <v>26</v>
      </c>
      <c r="I1601" t="s">
        <v>69</v>
      </c>
      <c r="J1601">
        <v>4</v>
      </c>
      <c r="K1601" t="s">
        <v>18</v>
      </c>
      <c r="L1601" t="s">
        <v>61</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1700</v>
      </c>
      <c r="B1602" t="s">
        <v>68</v>
      </c>
      <c r="C1602">
        <v>2</v>
      </c>
      <c r="D1602">
        <v>109.1</v>
      </c>
      <c r="E1602">
        <v>218.2</v>
      </c>
      <c r="F1602" s="1">
        <v>45717</v>
      </c>
      <c r="G1602" s="1">
        <v>45719</v>
      </c>
      <c r="H1602" t="s">
        <v>22</v>
      </c>
      <c r="I1602" t="s">
        <v>17</v>
      </c>
      <c r="J1602">
        <v>5</v>
      </c>
      <c r="K1602" t="s">
        <v>18</v>
      </c>
      <c r="L1602" t="s">
        <v>61</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1701</v>
      </c>
      <c r="B1603" t="s">
        <v>145</v>
      </c>
      <c r="C1603">
        <v>2</v>
      </c>
      <c r="D1603">
        <v>64.8</v>
      </c>
      <c r="E1603">
        <v>129.6</v>
      </c>
      <c r="F1603" s="1">
        <v>45717</v>
      </c>
      <c r="G1603" s="1">
        <v>45719</v>
      </c>
      <c r="H1603" t="s">
        <v>22</v>
      </c>
      <c r="I1603" t="s">
        <v>17</v>
      </c>
      <c r="J1603">
        <v>5</v>
      </c>
      <c r="K1603" t="s">
        <v>18</v>
      </c>
      <c r="L1603" t="s">
        <v>61</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1702</v>
      </c>
      <c r="B1604" t="s">
        <v>53</v>
      </c>
      <c r="C1604">
        <v>2</v>
      </c>
      <c r="D1604">
        <v>21.1</v>
      </c>
      <c r="E1604">
        <v>42.2</v>
      </c>
      <c r="F1604" s="1">
        <v>45717</v>
      </c>
      <c r="G1604" s="1">
        <v>45717</v>
      </c>
      <c r="H1604" t="s">
        <v>26</v>
      </c>
      <c r="I1604" t="s">
        <v>34</v>
      </c>
      <c r="J1604">
        <v>4</v>
      </c>
      <c r="K1604" t="s">
        <v>18</v>
      </c>
      <c r="L1604" t="s">
        <v>76</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1703</v>
      </c>
      <c r="B1605" t="s">
        <v>16</v>
      </c>
      <c r="C1605">
        <v>8</v>
      </c>
      <c r="D1605">
        <v>21.3</v>
      </c>
      <c r="E1605">
        <v>170.4</v>
      </c>
      <c r="F1605" s="1">
        <v>45717</v>
      </c>
      <c r="G1605" s="1">
        <v>45719</v>
      </c>
      <c r="H1605" t="s">
        <v>22</v>
      </c>
      <c r="I1605" t="s">
        <v>50</v>
      </c>
      <c r="J1605">
        <v>3</v>
      </c>
      <c r="K1605" t="s">
        <v>18</v>
      </c>
      <c r="L1605" t="s">
        <v>107</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1704</v>
      </c>
      <c r="B1606" t="s">
        <v>45</v>
      </c>
      <c r="C1606">
        <v>3</v>
      </c>
      <c r="D1606">
        <v>24.3</v>
      </c>
      <c r="E1606">
        <v>72.900000000000006</v>
      </c>
      <c r="F1606" s="1">
        <v>45717</v>
      </c>
      <c r="G1606" s="1">
        <v>45718</v>
      </c>
      <c r="H1606" t="s">
        <v>22</v>
      </c>
      <c r="I1606" t="s">
        <v>34</v>
      </c>
      <c r="J1606">
        <v>4</v>
      </c>
      <c r="K1606" t="s">
        <v>18</v>
      </c>
      <c r="L1606" t="s">
        <v>109</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1705</v>
      </c>
      <c r="B1607" t="s">
        <v>43</v>
      </c>
      <c r="C1607">
        <v>1</v>
      </c>
      <c r="D1607">
        <v>43.3</v>
      </c>
      <c r="E1607">
        <v>43.3</v>
      </c>
      <c r="F1607" s="1">
        <v>45717</v>
      </c>
      <c r="G1607" s="1">
        <v>45721</v>
      </c>
      <c r="H1607" t="s">
        <v>22</v>
      </c>
      <c r="I1607" t="s">
        <v>34</v>
      </c>
      <c r="J1607">
        <v>3</v>
      </c>
      <c r="K1607" t="s">
        <v>18</v>
      </c>
      <c r="L1607" t="s">
        <v>81</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1706</v>
      </c>
      <c r="B1608" t="s">
        <v>45</v>
      </c>
      <c r="C1608">
        <v>3</v>
      </c>
      <c r="D1608">
        <v>41</v>
      </c>
      <c r="E1608">
        <v>123</v>
      </c>
      <c r="F1608" s="1">
        <v>45717</v>
      </c>
      <c r="G1608" s="1">
        <v>45718</v>
      </c>
      <c r="H1608" t="s">
        <v>26</v>
      </c>
      <c r="I1608" t="s">
        <v>50</v>
      </c>
      <c r="J1608">
        <v>2</v>
      </c>
      <c r="K1608" t="s">
        <v>18</v>
      </c>
      <c r="L1608" t="s">
        <v>114</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1707</v>
      </c>
      <c r="B1609" t="s">
        <v>127</v>
      </c>
      <c r="C1609">
        <v>3</v>
      </c>
      <c r="D1609">
        <v>54.1</v>
      </c>
      <c r="E1609">
        <v>162.30000000000001</v>
      </c>
      <c r="F1609" s="1">
        <v>45717</v>
      </c>
      <c r="G1609" s="1">
        <v>45719</v>
      </c>
      <c r="H1609" t="s">
        <v>26</v>
      </c>
      <c r="I1609" t="s">
        <v>69</v>
      </c>
      <c r="J1609">
        <v>4</v>
      </c>
      <c r="K1609" t="s">
        <v>18</v>
      </c>
      <c r="L1609" t="s">
        <v>114</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1708</v>
      </c>
      <c r="B1610" t="s">
        <v>66</v>
      </c>
      <c r="C1610">
        <v>2</v>
      </c>
      <c r="D1610">
        <v>39</v>
      </c>
      <c r="E1610">
        <v>78</v>
      </c>
      <c r="F1610" s="1">
        <v>45717</v>
      </c>
      <c r="G1610" s="1">
        <v>45718</v>
      </c>
      <c r="H1610" t="s">
        <v>22</v>
      </c>
      <c r="I1610" t="s">
        <v>34</v>
      </c>
      <c r="J1610">
        <v>5</v>
      </c>
      <c r="K1610" t="s">
        <v>18</v>
      </c>
      <c r="L1610" t="s">
        <v>23</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1709</v>
      </c>
      <c r="B1611" t="s">
        <v>43</v>
      </c>
      <c r="C1611">
        <v>2</v>
      </c>
      <c r="D1611">
        <v>40.299999999999997</v>
      </c>
      <c r="E1611">
        <v>80.599999999999994</v>
      </c>
      <c r="F1611" s="1">
        <v>45717</v>
      </c>
      <c r="G1611" s="1">
        <v>45719</v>
      </c>
      <c r="H1611" t="s">
        <v>22</v>
      </c>
      <c r="I1611" t="s">
        <v>50</v>
      </c>
      <c r="J1611">
        <v>4</v>
      </c>
      <c r="K1611" t="s">
        <v>18</v>
      </c>
      <c r="L1611" t="s">
        <v>207</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1710</v>
      </c>
      <c r="B1612" t="s">
        <v>43</v>
      </c>
      <c r="C1612">
        <v>3</v>
      </c>
      <c r="D1612">
        <v>24.1</v>
      </c>
      <c r="E1612">
        <v>72.300000000000011</v>
      </c>
      <c r="F1612" s="1">
        <v>45717</v>
      </c>
      <c r="G1612" s="1">
        <v>45718</v>
      </c>
      <c r="H1612" t="s">
        <v>22</v>
      </c>
      <c r="I1612" t="s">
        <v>17</v>
      </c>
      <c r="J1612">
        <v>5</v>
      </c>
      <c r="K1612" t="s">
        <v>18</v>
      </c>
      <c r="L1612" t="s">
        <v>333</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1711</v>
      </c>
      <c r="B1613" t="s">
        <v>38</v>
      </c>
      <c r="C1613">
        <v>5</v>
      </c>
      <c r="D1613">
        <v>52.3</v>
      </c>
      <c r="E1613">
        <v>261.5</v>
      </c>
      <c r="F1613" s="1">
        <v>45717</v>
      </c>
      <c r="G1613" s="1">
        <v>45718</v>
      </c>
      <c r="H1613" t="s">
        <v>22</v>
      </c>
      <c r="I1613" t="s">
        <v>39</v>
      </c>
      <c r="J1613">
        <v>4</v>
      </c>
      <c r="K1613" t="s">
        <v>18</v>
      </c>
      <c r="L1613" t="s">
        <v>32</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1712</v>
      </c>
      <c r="B1614" t="s">
        <v>68</v>
      </c>
      <c r="C1614">
        <v>4</v>
      </c>
      <c r="D1614">
        <v>68.8</v>
      </c>
      <c r="E1614">
        <v>275.2</v>
      </c>
      <c r="F1614" s="1">
        <v>45717</v>
      </c>
      <c r="G1614" s="1">
        <v>45721</v>
      </c>
      <c r="H1614" t="s">
        <v>26</v>
      </c>
      <c r="I1614" t="s">
        <v>69</v>
      </c>
      <c r="J1614">
        <v>5</v>
      </c>
      <c r="K1614" t="s">
        <v>18</v>
      </c>
      <c r="L1614" t="s">
        <v>32</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1713</v>
      </c>
      <c r="B1615" t="s">
        <v>25</v>
      </c>
      <c r="C1615">
        <v>2</v>
      </c>
      <c r="D1615">
        <v>128.80000000000001</v>
      </c>
      <c r="E1615">
        <v>257.60000000000002</v>
      </c>
      <c r="F1615" s="1">
        <v>45718</v>
      </c>
      <c r="G1615" s="1">
        <v>45721</v>
      </c>
      <c r="H1615" t="s">
        <v>26</v>
      </c>
      <c r="I1615" t="s">
        <v>34</v>
      </c>
      <c r="J1615">
        <v>3</v>
      </c>
      <c r="K1615" t="s">
        <v>18</v>
      </c>
      <c r="L1615" t="s">
        <v>32</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1714</v>
      </c>
      <c r="B1616" t="s">
        <v>122</v>
      </c>
      <c r="C1616">
        <v>5</v>
      </c>
      <c r="D1616">
        <v>48.2</v>
      </c>
      <c r="E1616">
        <v>241</v>
      </c>
      <c r="F1616" s="1">
        <v>45718</v>
      </c>
      <c r="G1616" s="1">
        <v>45720</v>
      </c>
      <c r="H1616" t="s">
        <v>26</v>
      </c>
      <c r="I1616" t="s">
        <v>50</v>
      </c>
      <c r="J1616">
        <v>4</v>
      </c>
      <c r="K1616" t="s">
        <v>18</v>
      </c>
      <c r="L1616" t="s">
        <v>32</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1715</v>
      </c>
      <c r="B1617" t="s">
        <v>53</v>
      </c>
      <c r="C1617">
        <v>1</v>
      </c>
      <c r="D1617">
        <v>39.700000000000003</v>
      </c>
      <c r="E1617">
        <v>39.700000000000003</v>
      </c>
      <c r="F1617" s="1">
        <v>45718</v>
      </c>
      <c r="G1617" s="1">
        <v>45720</v>
      </c>
      <c r="H1617" t="s">
        <v>26</v>
      </c>
      <c r="I1617" t="s">
        <v>17</v>
      </c>
      <c r="J1617">
        <v>3</v>
      </c>
      <c r="K1617" t="s">
        <v>18</v>
      </c>
      <c r="L1617" t="s">
        <v>32</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1716</v>
      </c>
      <c r="B1618" t="s">
        <v>45</v>
      </c>
      <c r="C1618">
        <v>1</v>
      </c>
      <c r="D1618">
        <v>59.7</v>
      </c>
      <c r="E1618">
        <v>59.7</v>
      </c>
      <c r="F1618" s="1">
        <v>45718</v>
      </c>
      <c r="G1618" s="1">
        <v>45721</v>
      </c>
      <c r="H1618" t="s">
        <v>26</v>
      </c>
      <c r="I1618" t="s">
        <v>69</v>
      </c>
      <c r="J1618">
        <v>4</v>
      </c>
      <c r="K1618" t="s">
        <v>18</v>
      </c>
      <c r="L1618" t="s">
        <v>32</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1717</v>
      </c>
      <c r="B1619" t="s">
        <v>38</v>
      </c>
      <c r="C1619">
        <v>1</v>
      </c>
      <c r="D1619">
        <v>48.3</v>
      </c>
      <c r="E1619">
        <v>48.3</v>
      </c>
      <c r="F1619" s="1">
        <v>45718</v>
      </c>
      <c r="G1619" s="1">
        <v>45732</v>
      </c>
      <c r="H1619" t="s">
        <v>88</v>
      </c>
      <c r="I1619" t="s">
        <v>17</v>
      </c>
      <c r="J1619">
        <v>5</v>
      </c>
      <c r="K1619" t="s">
        <v>18</v>
      </c>
      <c r="L1619" t="s">
        <v>32</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1718</v>
      </c>
      <c r="B1620" t="s">
        <v>43</v>
      </c>
      <c r="C1620">
        <v>3</v>
      </c>
      <c r="D1620">
        <v>45.5</v>
      </c>
      <c r="E1620">
        <v>136.5</v>
      </c>
      <c r="F1620" s="1">
        <v>45718</v>
      </c>
      <c r="G1620" s="1">
        <v>45720</v>
      </c>
      <c r="H1620" t="s">
        <v>22</v>
      </c>
      <c r="I1620" t="s">
        <v>39</v>
      </c>
      <c r="J1620">
        <v>3</v>
      </c>
      <c r="K1620" t="s">
        <v>18</v>
      </c>
      <c r="L1620" t="s">
        <v>32</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1719</v>
      </c>
      <c r="B1621" t="s">
        <v>45</v>
      </c>
      <c r="C1621">
        <v>27</v>
      </c>
      <c r="D1621">
        <v>51</v>
      </c>
      <c r="E1621">
        <v>1377</v>
      </c>
      <c r="F1621" s="1">
        <v>45718</v>
      </c>
      <c r="G1621" s="1">
        <v>45718</v>
      </c>
      <c r="H1621" t="s">
        <v>26</v>
      </c>
      <c r="I1621" t="s">
        <v>39</v>
      </c>
      <c r="J1621">
        <v>4</v>
      </c>
      <c r="K1621" t="s">
        <v>18</v>
      </c>
      <c r="L1621" t="s">
        <v>32</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1720</v>
      </c>
      <c r="B1622" t="s">
        <v>31</v>
      </c>
      <c r="C1622">
        <v>6</v>
      </c>
      <c r="D1622">
        <v>20.399999999999999</v>
      </c>
      <c r="E1622">
        <v>122.39999999999999</v>
      </c>
      <c r="F1622" s="1">
        <v>45718</v>
      </c>
      <c r="G1622" s="1">
        <v>45719</v>
      </c>
      <c r="H1622" t="s">
        <v>22</v>
      </c>
      <c r="I1622" t="s">
        <v>39</v>
      </c>
      <c r="J1622">
        <v>4</v>
      </c>
      <c r="K1622" t="s">
        <v>18</v>
      </c>
      <c r="L1622" t="s">
        <v>32</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1721</v>
      </c>
      <c r="B1623" t="s">
        <v>53</v>
      </c>
      <c r="C1623">
        <v>2</v>
      </c>
      <c r="D1623">
        <v>30.4</v>
      </c>
      <c r="E1623">
        <v>60.8</v>
      </c>
      <c r="F1623" s="1">
        <v>45718</v>
      </c>
      <c r="G1623" s="1">
        <v>45720</v>
      </c>
      <c r="H1623" t="s">
        <v>22</v>
      </c>
      <c r="I1623" t="s">
        <v>39</v>
      </c>
      <c r="J1623">
        <v>4</v>
      </c>
      <c r="K1623" t="s">
        <v>18</v>
      </c>
      <c r="L1623" t="s">
        <v>32</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1722</v>
      </c>
      <c r="B1624" t="s">
        <v>41</v>
      </c>
      <c r="C1624">
        <v>2</v>
      </c>
      <c r="D1624">
        <v>71.5</v>
      </c>
      <c r="E1624">
        <v>143</v>
      </c>
      <c r="F1624" s="1">
        <v>45718</v>
      </c>
      <c r="G1624" s="1">
        <v>45722</v>
      </c>
      <c r="H1624" t="s">
        <v>26</v>
      </c>
      <c r="I1624" t="s">
        <v>17</v>
      </c>
      <c r="J1624">
        <v>4</v>
      </c>
      <c r="K1624" t="s">
        <v>18</v>
      </c>
      <c r="L1624" t="s">
        <v>32</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1723</v>
      </c>
      <c r="B1625" t="s">
        <v>43</v>
      </c>
      <c r="C1625">
        <v>6</v>
      </c>
      <c r="D1625">
        <v>18</v>
      </c>
      <c r="E1625">
        <v>108</v>
      </c>
      <c r="F1625" s="1">
        <v>45718</v>
      </c>
      <c r="G1625" s="1">
        <v>45719</v>
      </c>
      <c r="H1625" t="s">
        <v>88</v>
      </c>
      <c r="I1625" t="s">
        <v>34</v>
      </c>
      <c r="J1625">
        <v>5</v>
      </c>
      <c r="K1625" t="s">
        <v>18</v>
      </c>
      <c r="L1625" t="s">
        <v>54</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1724</v>
      </c>
      <c r="B1626" t="s">
        <v>122</v>
      </c>
      <c r="C1626">
        <v>11</v>
      </c>
      <c r="D1626">
        <v>45.6</v>
      </c>
      <c r="E1626">
        <v>501.6</v>
      </c>
      <c r="F1626" s="1">
        <v>45718</v>
      </c>
      <c r="G1626" s="1">
        <v>45719</v>
      </c>
      <c r="H1626" t="s">
        <v>88</v>
      </c>
      <c r="I1626" t="s">
        <v>34</v>
      </c>
      <c r="J1626">
        <v>3</v>
      </c>
      <c r="K1626" t="s">
        <v>18</v>
      </c>
      <c r="L1626" t="s">
        <v>58</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1725</v>
      </c>
      <c r="B1627" t="s">
        <v>45</v>
      </c>
      <c r="C1627">
        <v>1</v>
      </c>
      <c r="D1627">
        <v>31.8</v>
      </c>
      <c r="E1627">
        <v>31.8</v>
      </c>
      <c r="F1627" s="1">
        <v>45718</v>
      </c>
      <c r="G1627" s="1">
        <v>45722</v>
      </c>
      <c r="H1627" t="s">
        <v>26</v>
      </c>
      <c r="I1627" t="s">
        <v>17</v>
      </c>
      <c r="J1627">
        <v>5</v>
      </c>
      <c r="K1627" t="s">
        <v>18</v>
      </c>
      <c r="L1627" t="s">
        <v>58</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1726</v>
      </c>
      <c r="B1628" t="s">
        <v>43</v>
      </c>
      <c r="C1628">
        <v>5</v>
      </c>
      <c r="D1628">
        <v>19.899999999999999</v>
      </c>
      <c r="E1628">
        <v>99.5</v>
      </c>
      <c r="F1628" s="1">
        <v>45718</v>
      </c>
      <c r="G1628" s="1">
        <v>45719</v>
      </c>
      <c r="H1628" t="s">
        <v>26</v>
      </c>
      <c r="I1628" t="s">
        <v>34</v>
      </c>
      <c r="J1628">
        <v>4</v>
      </c>
      <c r="K1628" t="s">
        <v>18</v>
      </c>
      <c r="L1628" t="s">
        <v>58</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1727</v>
      </c>
      <c r="B1629" t="s">
        <v>68</v>
      </c>
      <c r="C1629">
        <v>9</v>
      </c>
      <c r="D1629">
        <v>52.1</v>
      </c>
      <c r="E1629">
        <v>468.90000000000003</v>
      </c>
      <c r="F1629" s="1">
        <v>45718</v>
      </c>
      <c r="G1629" s="1">
        <v>45720</v>
      </c>
      <c r="H1629" t="s">
        <v>22</v>
      </c>
      <c r="I1629" t="s">
        <v>17</v>
      </c>
      <c r="J1629">
        <v>4</v>
      </c>
      <c r="K1629" t="s">
        <v>18</v>
      </c>
      <c r="L1629" t="s">
        <v>61</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1728</v>
      </c>
      <c r="B1630" t="s">
        <v>21</v>
      </c>
      <c r="C1630">
        <v>7</v>
      </c>
      <c r="D1630">
        <v>45.9</v>
      </c>
      <c r="E1630">
        <v>321.3</v>
      </c>
      <c r="F1630" s="1">
        <v>45718</v>
      </c>
      <c r="G1630" s="1">
        <v>45719</v>
      </c>
      <c r="H1630" t="s">
        <v>22</v>
      </c>
      <c r="I1630" t="s">
        <v>17</v>
      </c>
      <c r="J1630">
        <v>3</v>
      </c>
      <c r="K1630" t="s">
        <v>18</v>
      </c>
      <c r="L1630" t="s">
        <v>61</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1729</v>
      </c>
      <c r="B1631" t="s">
        <v>21</v>
      </c>
      <c r="C1631">
        <v>10</v>
      </c>
      <c r="D1631">
        <v>115.9</v>
      </c>
      <c r="E1631">
        <v>1159</v>
      </c>
      <c r="F1631" s="1">
        <v>45718</v>
      </c>
      <c r="G1631" s="1">
        <v>45721</v>
      </c>
      <c r="H1631" t="s">
        <v>26</v>
      </c>
      <c r="I1631" t="s">
        <v>34</v>
      </c>
      <c r="J1631">
        <v>4</v>
      </c>
      <c r="K1631" t="s">
        <v>18</v>
      </c>
      <c r="L1631" t="s">
        <v>61</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1730</v>
      </c>
      <c r="B1632" t="s">
        <v>38</v>
      </c>
      <c r="C1632">
        <v>9</v>
      </c>
      <c r="D1632">
        <v>86</v>
      </c>
      <c r="E1632">
        <v>774</v>
      </c>
      <c r="F1632" s="1">
        <v>45718</v>
      </c>
      <c r="G1632" s="1">
        <v>45723</v>
      </c>
      <c r="H1632" t="s">
        <v>26</v>
      </c>
      <c r="I1632" t="s">
        <v>17</v>
      </c>
      <c r="J1632">
        <v>3</v>
      </c>
      <c r="K1632" t="s">
        <v>18</v>
      </c>
      <c r="L1632" t="s">
        <v>61</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1731</v>
      </c>
      <c r="B1633" t="s">
        <v>41</v>
      </c>
      <c r="C1633">
        <v>7</v>
      </c>
      <c r="D1633">
        <v>73.599999999999994</v>
      </c>
      <c r="E1633">
        <v>515.19999999999993</v>
      </c>
      <c r="F1633" s="1">
        <v>45718</v>
      </c>
      <c r="G1633" s="1">
        <v>45720</v>
      </c>
      <c r="H1633" t="s">
        <v>26</v>
      </c>
      <c r="I1633" t="s">
        <v>17</v>
      </c>
      <c r="J1633">
        <v>4</v>
      </c>
      <c r="K1633" t="s">
        <v>18</v>
      </c>
      <c r="L1633" t="s">
        <v>102</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1732</v>
      </c>
      <c r="B1634" t="s">
        <v>53</v>
      </c>
      <c r="C1634">
        <v>3</v>
      </c>
      <c r="D1634">
        <v>26.7</v>
      </c>
      <c r="E1634">
        <v>80.099999999999994</v>
      </c>
      <c r="F1634" s="1">
        <v>45718</v>
      </c>
      <c r="G1634" s="1">
        <v>45722</v>
      </c>
      <c r="H1634" t="s">
        <v>26</v>
      </c>
      <c r="I1634" t="s">
        <v>17</v>
      </c>
      <c r="J1634">
        <v>4</v>
      </c>
      <c r="K1634" t="s">
        <v>18</v>
      </c>
      <c r="L1634" t="s">
        <v>76</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1733</v>
      </c>
      <c r="B1635" t="s">
        <v>43</v>
      </c>
      <c r="C1635">
        <v>7</v>
      </c>
      <c r="D1635">
        <v>46.6</v>
      </c>
      <c r="E1635">
        <v>326.2</v>
      </c>
      <c r="F1635" s="1">
        <v>45718</v>
      </c>
      <c r="G1635" s="1">
        <v>45720</v>
      </c>
      <c r="I1635" t="s">
        <v>50</v>
      </c>
      <c r="J1635">
        <v>4</v>
      </c>
      <c r="K1635" t="s">
        <v>18</v>
      </c>
      <c r="L1635" t="s">
        <v>76</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1734</v>
      </c>
      <c r="B1636" t="s">
        <v>29</v>
      </c>
      <c r="C1636">
        <v>3</v>
      </c>
      <c r="D1636">
        <v>84.6</v>
      </c>
      <c r="E1636">
        <v>253.79999999999998</v>
      </c>
      <c r="F1636" s="1">
        <v>45718</v>
      </c>
      <c r="G1636" s="1">
        <v>45720</v>
      </c>
      <c r="H1636" t="s">
        <v>22</v>
      </c>
      <c r="I1636" t="s">
        <v>69</v>
      </c>
      <c r="J1636">
        <v>4</v>
      </c>
      <c r="K1636" t="s">
        <v>18</v>
      </c>
      <c r="L1636" t="s">
        <v>76</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1735</v>
      </c>
      <c r="B1637" t="s">
        <v>41</v>
      </c>
      <c r="C1637">
        <v>14</v>
      </c>
      <c r="D1637">
        <v>41.5</v>
      </c>
      <c r="E1637">
        <v>581</v>
      </c>
      <c r="F1637" s="1">
        <v>45718</v>
      </c>
      <c r="G1637" s="1">
        <v>45732</v>
      </c>
      <c r="H1637" t="s">
        <v>22</v>
      </c>
      <c r="I1637" t="s">
        <v>34</v>
      </c>
      <c r="J1637">
        <v>4</v>
      </c>
      <c r="K1637" t="s">
        <v>18</v>
      </c>
      <c r="L1637" t="s">
        <v>1115</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1736</v>
      </c>
      <c r="B1638" t="s">
        <v>43</v>
      </c>
      <c r="C1638">
        <v>1</v>
      </c>
      <c r="D1638">
        <v>32.799999999999997</v>
      </c>
      <c r="E1638">
        <v>32.799999999999997</v>
      </c>
      <c r="F1638" s="1">
        <v>45718</v>
      </c>
      <c r="G1638" s="1">
        <v>45721</v>
      </c>
      <c r="H1638" t="s">
        <v>22</v>
      </c>
      <c r="I1638" t="s">
        <v>17</v>
      </c>
      <c r="J1638">
        <v>5</v>
      </c>
      <c r="K1638" t="s">
        <v>18</v>
      </c>
      <c r="L1638" t="s">
        <v>267</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1737</v>
      </c>
      <c r="B1639" t="s">
        <v>31</v>
      </c>
      <c r="C1639">
        <v>7</v>
      </c>
      <c r="D1639">
        <v>46.7</v>
      </c>
      <c r="E1639">
        <v>326.90000000000003</v>
      </c>
      <c r="F1639" s="1">
        <v>45718</v>
      </c>
      <c r="G1639" s="1">
        <v>45720</v>
      </c>
      <c r="H1639" t="s">
        <v>88</v>
      </c>
      <c r="I1639" t="s">
        <v>17</v>
      </c>
      <c r="J1639">
        <v>5</v>
      </c>
      <c r="K1639" t="s">
        <v>18</v>
      </c>
      <c r="L1639" t="s">
        <v>107</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1738</v>
      </c>
      <c r="B1640" t="s">
        <v>122</v>
      </c>
      <c r="C1640">
        <v>7</v>
      </c>
      <c r="D1640">
        <v>21</v>
      </c>
      <c r="E1640">
        <v>147</v>
      </c>
      <c r="F1640" s="1">
        <v>45718</v>
      </c>
      <c r="G1640" s="1">
        <v>45721</v>
      </c>
      <c r="H1640" t="s">
        <v>22</v>
      </c>
      <c r="I1640" t="s">
        <v>39</v>
      </c>
      <c r="J1640">
        <v>3</v>
      </c>
      <c r="K1640" t="s">
        <v>18</v>
      </c>
      <c r="L1640" t="s">
        <v>114</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1739</v>
      </c>
      <c r="B1641" t="s">
        <v>36</v>
      </c>
      <c r="C1641">
        <v>7</v>
      </c>
      <c r="D1641">
        <v>29.4</v>
      </c>
      <c r="E1641">
        <v>205.79999999999998</v>
      </c>
      <c r="F1641" s="1">
        <v>45718</v>
      </c>
      <c r="G1641" s="1">
        <v>45718</v>
      </c>
      <c r="H1641" t="s">
        <v>22</v>
      </c>
      <c r="I1641" t="s">
        <v>50</v>
      </c>
      <c r="J1641">
        <v>5</v>
      </c>
      <c r="K1641" t="s">
        <v>18</v>
      </c>
      <c r="L1641" t="s">
        <v>114</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1740</v>
      </c>
      <c r="B1642" t="s">
        <v>122</v>
      </c>
      <c r="C1642">
        <v>2</v>
      </c>
      <c r="D1642">
        <v>32.299999999999997</v>
      </c>
      <c r="E1642">
        <v>64.599999999999994</v>
      </c>
      <c r="F1642" s="1">
        <v>45718</v>
      </c>
      <c r="G1642" s="1">
        <v>45719</v>
      </c>
      <c r="H1642" t="s">
        <v>22</v>
      </c>
      <c r="I1642" t="s">
        <v>17</v>
      </c>
      <c r="J1642">
        <v>5</v>
      </c>
      <c r="K1642" t="s">
        <v>18</v>
      </c>
      <c r="L1642" t="s">
        <v>114</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1741</v>
      </c>
      <c r="B1643" t="s">
        <v>38</v>
      </c>
      <c r="C1643">
        <v>1</v>
      </c>
      <c r="D1643">
        <v>42.2</v>
      </c>
      <c r="E1643">
        <v>42.2</v>
      </c>
      <c r="F1643" s="1">
        <v>45719</v>
      </c>
      <c r="G1643" s="1">
        <v>45721</v>
      </c>
      <c r="H1643" t="s">
        <v>26</v>
      </c>
      <c r="I1643" t="s">
        <v>17</v>
      </c>
      <c r="J1643">
        <v>5</v>
      </c>
      <c r="K1643" t="s">
        <v>18</v>
      </c>
      <c r="L1643" t="s">
        <v>114</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1742</v>
      </c>
      <c r="B1644" t="s">
        <v>38</v>
      </c>
      <c r="C1644">
        <v>1</v>
      </c>
      <c r="D1644">
        <v>53.7</v>
      </c>
      <c r="E1644">
        <v>53.7</v>
      </c>
      <c r="F1644" s="1">
        <v>45719</v>
      </c>
      <c r="G1644" s="1">
        <v>45721</v>
      </c>
      <c r="H1644" t="s">
        <v>22</v>
      </c>
      <c r="I1644" t="s">
        <v>34</v>
      </c>
      <c r="J1644">
        <v>3</v>
      </c>
      <c r="K1644" t="s">
        <v>18</v>
      </c>
      <c r="L1644" t="s">
        <v>23</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1743</v>
      </c>
      <c r="B1645" t="s">
        <v>25</v>
      </c>
      <c r="C1645">
        <v>2</v>
      </c>
      <c r="D1645">
        <v>123.9</v>
      </c>
      <c r="E1645">
        <v>247.8</v>
      </c>
      <c r="F1645" s="1">
        <v>45719</v>
      </c>
      <c r="G1645" s="1">
        <v>45722</v>
      </c>
      <c r="H1645" t="s">
        <v>22</v>
      </c>
      <c r="I1645" t="s">
        <v>39</v>
      </c>
      <c r="J1645">
        <v>4</v>
      </c>
      <c r="K1645" t="s">
        <v>18</v>
      </c>
      <c r="L1645" t="s">
        <v>23</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1744</v>
      </c>
      <c r="B1646" t="s">
        <v>31</v>
      </c>
      <c r="C1646">
        <v>3</v>
      </c>
      <c r="D1646">
        <v>35.9</v>
      </c>
      <c r="E1646">
        <v>107.69999999999999</v>
      </c>
      <c r="F1646" s="1">
        <v>45719</v>
      </c>
      <c r="G1646" s="1">
        <v>45721</v>
      </c>
      <c r="H1646" t="s">
        <v>22</v>
      </c>
      <c r="I1646" t="s">
        <v>39</v>
      </c>
      <c r="J1646">
        <v>4</v>
      </c>
      <c r="K1646" t="s">
        <v>18</v>
      </c>
      <c r="L1646" t="s">
        <v>146</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1745</v>
      </c>
      <c r="B1647" t="s">
        <v>31</v>
      </c>
      <c r="C1647">
        <v>2</v>
      </c>
      <c r="D1647">
        <v>23.6</v>
      </c>
      <c r="E1647">
        <v>47.2</v>
      </c>
      <c r="F1647" s="1">
        <v>45719</v>
      </c>
      <c r="G1647" s="1">
        <v>45722</v>
      </c>
      <c r="H1647" t="s">
        <v>22</v>
      </c>
      <c r="I1647" t="s">
        <v>17</v>
      </c>
      <c r="J1647">
        <v>5</v>
      </c>
      <c r="K1647" t="s">
        <v>18</v>
      </c>
      <c r="L1647" t="s">
        <v>32</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1746</v>
      </c>
      <c r="B1648" t="s">
        <v>122</v>
      </c>
      <c r="C1648">
        <v>35</v>
      </c>
      <c r="D1648">
        <v>45.7</v>
      </c>
      <c r="E1648">
        <v>1599.5</v>
      </c>
      <c r="F1648" s="1">
        <v>45719</v>
      </c>
      <c r="G1648" s="1">
        <v>45720</v>
      </c>
      <c r="H1648" t="s">
        <v>22</v>
      </c>
      <c r="I1648" t="s">
        <v>17</v>
      </c>
      <c r="J1648">
        <v>3</v>
      </c>
      <c r="K1648" t="s">
        <v>18</v>
      </c>
      <c r="L1648" t="s">
        <v>32</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1747</v>
      </c>
      <c r="B1649" t="s">
        <v>38</v>
      </c>
      <c r="C1649">
        <v>11</v>
      </c>
      <c r="D1649">
        <v>118.3</v>
      </c>
      <c r="E1649">
        <v>1301.3</v>
      </c>
      <c r="F1649" s="1">
        <v>45719</v>
      </c>
      <c r="G1649" s="1">
        <v>45721</v>
      </c>
      <c r="H1649" t="s">
        <v>22</v>
      </c>
      <c r="I1649" t="s">
        <v>69</v>
      </c>
      <c r="J1649">
        <v>5</v>
      </c>
      <c r="K1649" t="s">
        <v>18</v>
      </c>
      <c r="L1649" t="s">
        <v>32</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1748</v>
      </c>
      <c r="B1650" t="s">
        <v>170</v>
      </c>
      <c r="C1650">
        <v>1</v>
      </c>
      <c r="D1650">
        <v>36</v>
      </c>
      <c r="E1650">
        <v>36</v>
      </c>
      <c r="F1650" s="1">
        <v>45719</v>
      </c>
      <c r="G1650" s="1">
        <v>45720</v>
      </c>
      <c r="H1650" t="s">
        <v>26</v>
      </c>
      <c r="I1650" t="s">
        <v>17</v>
      </c>
      <c r="J1650">
        <v>3</v>
      </c>
      <c r="K1650" t="s">
        <v>18</v>
      </c>
      <c r="L1650" t="s">
        <v>32</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1749</v>
      </c>
      <c r="B1651" t="s">
        <v>43</v>
      </c>
      <c r="C1651">
        <v>2</v>
      </c>
      <c r="D1651">
        <v>37.1</v>
      </c>
      <c r="E1651">
        <v>74.2</v>
      </c>
      <c r="F1651" s="1">
        <v>45719</v>
      </c>
      <c r="G1651" s="1">
        <v>45722</v>
      </c>
      <c r="H1651" t="s">
        <v>26</v>
      </c>
      <c r="I1651" t="s">
        <v>39</v>
      </c>
      <c r="J1651">
        <v>4</v>
      </c>
      <c r="K1651" t="s">
        <v>18</v>
      </c>
      <c r="L1651" t="s">
        <v>32</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1750</v>
      </c>
      <c r="B1652" t="s">
        <v>145</v>
      </c>
      <c r="C1652">
        <v>3</v>
      </c>
      <c r="D1652">
        <v>45.1</v>
      </c>
      <c r="E1652">
        <v>135.30000000000001</v>
      </c>
      <c r="F1652" s="1">
        <v>45719</v>
      </c>
      <c r="G1652" s="1">
        <v>45721</v>
      </c>
      <c r="H1652" t="s">
        <v>26</v>
      </c>
      <c r="I1652" t="s">
        <v>34</v>
      </c>
      <c r="J1652">
        <v>5</v>
      </c>
      <c r="K1652" t="s">
        <v>18</v>
      </c>
      <c r="L1652" t="s">
        <v>32</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1751</v>
      </c>
      <c r="B1653" t="s">
        <v>36</v>
      </c>
      <c r="C1653">
        <v>16</v>
      </c>
      <c r="D1653">
        <v>37.9</v>
      </c>
      <c r="E1653">
        <v>606.4</v>
      </c>
      <c r="F1653" s="1">
        <v>45719</v>
      </c>
      <c r="G1653" s="1">
        <v>45720</v>
      </c>
      <c r="H1653" t="s">
        <v>26</v>
      </c>
      <c r="I1653" t="s">
        <v>50</v>
      </c>
      <c r="J1653">
        <v>5</v>
      </c>
      <c r="K1653" t="s">
        <v>18</v>
      </c>
      <c r="L1653" t="s">
        <v>32</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1752</v>
      </c>
      <c r="B1654" t="s">
        <v>25</v>
      </c>
      <c r="C1654">
        <v>2</v>
      </c>
      <c r="D1654">
        <v>121.6</v>
      </c>
      <c r="E1654">
        <v>243.2</v>
      </c>
      <c r="F1654" s="1">
        <v>45719</v>
      </c>
      <c r="G1654" s="1">
        <v>45722</v>
      </c>
      <c r="H1654" t="s">
        <v>22</v>
      </c>
      <c r="I1654" t="s">
        <v>50</v>
      </c>
      <c r="J1654">
        <v>5</v>
      </c>
      <c r="K1654" t="s">
        <v>18</v>
      </c>
      <c r="L1654" t="s">
        <v>32</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1753</v>
      </c>
      <c r="B1655" t="s">
        <v>36</v>
      </c>
      <c r="C1655">
        <v>7</v>
      </c>
      <c r="D1655">
        <v>38.200000000000003</v>
      </c>
      <c r="E1655">
        <v>267.40000000000003</v>
      </c>
      <c r="F1655" s="1">
        <v>45719</v>
      </c>
      <c r="G1655" s="1">
        <v>45722</v>
      </c>
      <c r="H1655" t="s">
        <v>26</v>
      </c>
      <c r="I1655" t="s">
        <v>17</v>
      </c>
      <c r="J1655">
        <v>4</v>
      </c>
      <c r="K1655" t="s">
        <v>18</v>
      </c>
      <c r="L1655" t="s">
        <v>32</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1754</v>
      </c>
      <c r="B1656" t="s">
        <v>134</v>
      </c>
      <c r="C1656">
        <v>2</v>
      </c>
      <c r="D1656">
        <v>37.200000000000003</v>
      </c>
      <c r="E1656">
        <v>74.400000000000006</v>
      </c>
      <c r="F1656" s="1">
        <v>45719</v>
      </c>
      <c r="G1656" s="1">
        <v>45722</v>
      </c>
      <c r="H1656" t="s">
        <v>22</v>
      </c>
      <c r="I1656" t="s">
        <v>69</v>
      </c>
      <c r="J1656">
        <v>4</v>
      </c>
      <c r="K1656" t="s">
        <v>18</v>
      </c>
      <c r="L1656" t="s">
        <v>32</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1755</v>
      </c>
      <c r="B1657" t="s">
        <v>25</v>
      </c>
      <c r="C1657">
        <v>4</v>
      </c>
      <c r="D1657">
        <v>115.7</v>
      </c>
      <c r="E1657">
        <v>462.8</v>
      </c>
      <c r="F1657" s="1">
        <v>45719</v>
      </c>
      <c r="G1657" s="1">
        <v>45722</v>
      </c>
      <c r="H1657" t="s">
        <v>26</v>
      </c>
      <c r="I1657" t="s">
        <v>34</v>
      </c>
      <c r="J1657">
        <v>4</v>
      </c>
      <c r="K1657" t="s">
        <v>18</v>
      </c>
      <c r="L1657" t="s">
        <v>32</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1756</v>
      </c>
      <c r="B1658" t="s">
        <v>25</v>
      </c>
      <c r="C1658">
        <v>6</v>
      </c>
      <c r="D1658">
        <v>99.4</v>
      </c>
      <c r="E1658">
        <v>596.40000000000009</v>
      </c>
      <c r="F1658" s="1">
        <v>45719</v>
      </c>
      <c r="G1658" s="1">
        <v>45722</v>
      </c>
      <c r="H1658" t="s">
        <v>22</v>
      </c>
      <c r="I1658" t="s">
        <v>17</v>
      </c>
      <c r="J1658">
        <v>5</v>
      </c>
      <c r="K1658" t="s">
        <v>18</v>
      </c>
      <c r="L1658" t="s">
        <v>32</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1757</v>
      </c>
      <c r="B1659" t="s">
        <v>66</v>
      </c>
      <c r="C1659">
        <v>1</v>
      </c>
      <c r="D1659">
        <v>38.700000000000003</v>
      </c>
      <c r="E1659">
        <v>38.700000000000003</v>
      </c>
      <c r="F1659" s="1">
        <v>45719</v>
      </c>
      <c r="G1659" s="1">
        <v>45720</v>
      </c>
      <c r="H1659" t="s">
        <v>26</v>
      </c>
      <c r="I1659" t="s">
        <v>39</v>
      </c>
      <c r="J1659">
        <v>4</v>
      </c>
      <c r="K1659" t="s">
        <v>18</v>
      </c>
      <c r="L1659" t="s">
        <v>187</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1758</v>
      </c>
      <c r="B1660" t="s">
        <v>31</v>
      </c>
      <c r="C1660">
        <v>2</v>
      </c>
      <c r="D1660">
        <v>35.5</v>
      </c>
      <c r="E1660">
        <v>71</v>
      </c>
      <c r="F1660" s="1">
        <v>45719</v>
      </c>
      <c r="G1660" s="1">
        <v>45722</v>
      </c>
      <c r="H1660" t="s">
        <v>22</v>
      </c>
      <c r="I1660" t="s">
        <v>17</v>
      </c>
      <c r="J1660">
        <v>5</v>
      </c>
      <c r="K1660" t="s">
        <v>18</v>
      </c>
      <c r="L1660" t="s">
        <v>187</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1759</v>
      </c>
      <c r="B1661" t="s">
        <v>25</v>
      </c>
      <c r="C1661">
        <v>4</v>
      </c>
      <c r="D1661">
        <v>93.3</v>
      </c>
      <c r="E1661">
        <v>373.2</v>
      </c>
      <c r="F1661" s="1">
        <v>45719</v>
      </c>
      <c r="G1661" s="1">
        <v>45722</v>
      </c>
      <c r="H1661" t="s">
        <v>26</v>
      </c>
      <c r="I1661" t="s">
        <v>17</v>
      </c>
      <c r="J1661">
        <v>5</v>
      </c>
      <c r="K1661" t="s">
        <v>18</v>
      </c>
      <c r="L1661" t="s">
        <v>54</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1760</v>
      </c>
      <c r="B1662" t="s">
        <v>127</v>
      </c>
      <c r="C1662">
        <v>1</v>
      </c>
      <c r="D1662">
        <v>31.4</v>
      </c>
      <c r="E1662">
        <v>31.4</v>
      </c>
      <c r="F1662" s="1">
        <v>45719</v>
      </c>
      <c r="G1662" s="1">
        <v>45724</v>
      </c>
      <c r="H1662" t="s">
        <v>26</v>
      </c>
      <c r="I1662" t="s">
        <v>39</v>
      </c>
      <c r="J1662">
        <v>5</v>
      </c>
      <c r="K1662" t="s">
        <v>18</v>
      </c>
      <c r="L1662" t="s">
        <v>54</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1761</v>
      </c>
      <c r="B1663" t="s">
        <v>21</v>
      </c>
      <c r="C1663">
        <v>1</v>
      </c>
      <c r="D1663">
        <v>85.9</v>
      </c>
      <c r="E1663">
        <v>85.9</v>
      </c>
      <c r="F1663" s="1">
        <v>45719</v>
      </c>
      <c r="G1663" s="1">
        <v>45722</v>
      </c>
      <c r="H1663" t="s">
        <v>22</v>
      </c>
      <c r="I1663" t="s">
        <v>34</v>
      </c>
      <c r="J1663">
        <v>4</v>
      </c>
      <c r="K1663" t="s">
        <v>18</v>
      </c>
      <c r="L1663" t="s">
        <v>54</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1762</v>
      </c>
      <c r="B1664" t="s">
        <v>38</v>
      </c>
      <c r="C1664">
        <v>8</v>
      </c>
      <c r="D1664">
        <v>41.7</v>
      </c>
      <c r="E1664">
        <v>333.6</v>
      </c>
      <c r="F1664" s="1">
        <v>45719</v>
      </c>
      <c r="G1664" s="1">
        <v>45727</v>
      </c>
      <c r="H1664" t="s">
        <v>22</v>
      </c>
      <c r="I1664" t="s">
        <v>17</v>
      </c>
      <c r="J1664">
        <v>5</v>
      </c>
      <c r="K1664" t="s">
        <v>18</v>
      </c>
      <c r="L1664" t="s">
        <v>58</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1763</v>
      </c>
      <c r="B1665" t="s">
        <v>43</v>
      </c>
      <c r="C1665">
        <v>4</v>
      </c>
      <c r="D1665">
        <v>31.5</v>
      </c>
      <c r="E1665">
        <v>126</v>
      </c>
      <c r="F1665" s="1">
        <v>45719</v>
      </c>
      <c r="G1665" s="1">
        <v>45720</v>
      </c>
      <c r="H1665" t="s">
        <v>26</v>
      </c>
      <c r="I1665" t="s">
        <v>17</v>
      </c>
      <c r="J1665">
        <v>4</v>
      </c>
      <c r="K1665" t="s">
        <v>18</v>
      </c>
      <c r="L1665" t="s">
        <v>58</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1764</v>
      </c>
      <c r="B1666" t="s">
        <v>43</v>
      </c>
      <c r="C1666">
        <v>2</v>
      </c>
      <c r="D1666">
        <v>36.299999999999997</v>
      </c>
      <c r="E1666">
        <v>72.599999999999994</v>
      </c>
      <c r="F1666" s="1">
        <v>45719</v>
      </c>
      <c r="G1666" s="1">
        <v>45720</v>
      </c>
      <c r="H1666" t="s">
        <v>26</v>
      </c>
      <c r="I1666" t="s">
        <v>17</v>
      </c>
      <c r="J1666">
        <v>2</v>
      </c>
      <c r="K1666" t="s">
        <v>18</v>
      </c>
      <c r="L1666" t="s">
        <v>61</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1765</v>
      </c>
      <c r="B1667" t="s">
        <v>43</v>
      </c>
      <c r="C1667">
        <v>3</v>
      </c>
      <c r="D1667">
        <v>33.4</v>
      </c>
      <c r="E1667">
        <v>100.19999999999999</v>
      </c>
      <c r="F1667" s="1">
        <v>45719</v>
      </c>
      <c r="G1667" s="1">
        <v>45720</v>
      </c>
      <c r="H1667" t="s">
        <v>26</v>
      </c>
      <c r="I1667" t="s">
        <v>50</v>
      </c>
      <c r="J1667">
        <v>4</v>
      </c>
      <c r="K1667" t="s">
        <v>18</v>
      </c>
      <c r="L1667" t="s">
        <v>102</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1766</v>
      </c>
      <c r="B1668" t="s">
        <v>25</v>
      </c>
      <c r="C1668">
        <v>3</v>
      </c>
      <c r="D1668">
        <v>65.2</v>
      </c>
      <c r="E1668">
        <v>195.60000000000002</v>
      </c>
      <c r="F1668" s="1">
        <v>45719</v>
      </c>
      <c r="G1668" s="1">
        <v>45720</v>
      </c>
      <c r="H1668" t="s">
        <v>26</v>
      </c>
      <c r="I1668" t="s">
        <v>39</v>
      </c>
      <c r="J1668">
        <v>5</v>
      </c>
      <c r="K1668" t="s">
        <v>18</v>
      </c>
      <c r="L1668" t="s">
        <v>200</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1767</v>
      </c>
      <c r="B1669" t="s">
        <v>43</v>
      </c>
      <c r="C1669">
        <v>9</v>
      </c>
      <c r="D1669">
        <v>65.5</v>
      </c>
      <c r="E1669">
        <v>589.5</v>
      </c>
      <c r="F1669" s="1">
        <v>45719</v>
      </c>
      <c r="G1669" s="1">
        <v>45722</v>
      </c>
      <c r="H1669" t="s">
        <v>26</v>
      </c>
      <c r="I1669" t="s">
        <v>17</v>
      </c>
      <c r="J1669">
        <v>5</v>
      </c>
      <c r="K1669" t="s">
        <v>18</v>
      </c>
      <c r="L1669" t="s">
        <v>71</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1768</v>
      </c>
      <c r="B1670" t="s">
        <v>38</v>
      </c>
      <c r="C1670">
        <v>3</v>
      </c>
      <c r="D1670">
        <v>52.8</v>
      </c>
      <c r="E1670">
        <v>158.39999999999998</v>
      </c>
      <c r="F1670" s="1">
        <v>45719</v>
      </c>
      <c r="G1670" s="1">
        <v>45722</v>
      </c>
      <c r="H1670" t="s">
        <v>22</v>
      </c>
      <c r="I1670" t="s">
        <v>39</v>
      </c>
      <c r="J1670">
        <v>4</v>
      </c>
      <c r="K1670" t="s">
        <v>18</v>
      </c>
      <c r="L1670" t="s">
        <v>71</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1769</v>
      </c>
      <c r="B1671" t="s">
        <v>45</v>
      </c>
      <c r="C1671">
        <v>5</v>
      </c>
      <c r="D1671">
        <v>24</v>
      </c>
      <c r="E1671">
        <v>120</v>
      </c>
      <c r="F1671" s="1">
        <v>45719</v>
      </c>
      <c r="G1671" s="1">
        <v>45723</v>
      </c>
      <c r="H1671" t="s">
        <v>22</v>
      </c>
      <c r="I1671" t="s">
        <v>17</v>
      </c>
      <c r="J1671">
        <v>3</v>
      </c>
      <c r="K1671" t="s">
        <v>18</v>
      </c>
      <c r="L1671" t="s">
        <v>76</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1770</v>
      </c>
      <c r="B1672" t="s">
        <v>29</v>
      </c>
      <c r="C1672">
        <v>3</v>
      </c>
      <c r="D1672">
        <v>51.2</v>
      </c>
      <c r="E1672">
        <v>153.60000000000002</v>
      </c>
      <c r="F1672" s="1">
        <v>45719</v>
      </c>
      <c r="G1672" s="1">
        <v>45720</v>
      </c>
      <c r="H1672" t="s">
        <v>26</v>
      </c>
      <c r="I1672" t="s">
        <v>17</v>
      </c>
      <c r="J1672">
        <v>4</v>
      </c>
      <c r="K1672" t="s">
        <v>18</v>
      </c>
      <c r="L1672" t="s">
        <v>308</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1771</v>
      </c>
      <c r="B1673" t="s">
        <v>36</v>
      </c>
      <c r="C1673">
        <v>3</v>
      </c>
      <c r="D1673">
        <v>28.3</v>
      </c>
      <c r="E1673">
        <v>84.9</v>
      </c>
      <c r="F1673" s="1">
        <v>45719</v>
      </c>
      <c r="G1673" s="1">
        <v>45721</v>
      </c>
      <c r="H1673" t="s">
        <v>22</v>
      </c>
      <c r="I1673" t="s">
        <v>69</v>
      </c>
      <c r="J1673">
        <v>4</v>
      </c>
      <c r="K1673" t="s">
        <v>18</v>
      </c>
      <c r="L1673" t="s">
        <v>109</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1772</v>
      </c>
      <c r="B1674" t="s">
        <v>38</v>
      </c>
      <c r="C1674">
        <v>3</v>
      </c>
      <c r="D1674">
        <v>42.3</v>
      </c>
      <c r="E1674">
        <v>126.89999999999999</v>
      </c>
      <c r="F1674" s="1">
        <v>45719</v>
      </c>
      <c r="G1674" s="1">
        <v>45719</v>
      </c>
      <c r="H1674" t="s">
        <v>26</v>
      </c>
      <c r="I1674" t="s">
        <v>39</v>
      </c>
      <c r="J1674">
        <v>3</v>
      </c>
      <c r="K1674" t="s">
        <v>18</v>
      </c>
      <c r="L1674" t="s">
        <v>109</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1773</v>
      </c>
      <c r="B1675" t="s">
        <v>25</v>
      </c>
      <c r="C1675">
        <v>8</v>
      </c>
      <c r="D1675">
        <v>163.30000000000001</v>
      </c>
      <c r="E1675">
        <v>1306.4000000000001</v>
      </c>
      <c r="F1675" s="1">
        <v>45720</v>
      </c>
      <c r="G1675" s="1">
        <v>45721</v>
      </c>
      <c r="H1675" t="s">
        <v>26</v>
      </c>
      <c r="I1675" t="s">
        <v>34</v>
      </c>
      <c r="J1675">
        <v>4</v>
      </c>
      <c r="K1675" t="s">
        <v>18</v>
      </c>
      <c r="L1675" t="s">
        <v>81</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1774</v>
      </c>
      <c r="B1676" t="s">
        <v>38</v>
      </c>
      <c r="C1676">
        <v>7</v>
      </c>
      <c r="D1676">
        <v>47.3</v>
      </c>
      <c r="E1676">
        <v>331.09999999999997</v>
      </c>
      <c r="F1676" s="1">
        <v>45720</v>
      </c>
      <c r="G1676" s="1">
        <v>45723</v>
      </c>
      <c r="H1676" t="s">
        <v>26</v>
      </c>
      <c r="I1676" t="s">
        <v>69</v>
      </c>
      <c r="J1676">
        <v>3</v>
      </c>
      <c r="K1676" t="s">
        <v>18</v>
      </c>
      <c r="L1676" t="s">
        <v>114</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1775</v>
      </c>
      <c r="B1677" t="s">
        <v>43</v>
      </c>
      <c r="C1677">
        <v>16</v>
      </c>
      <c r="D1677">
        <v>27.3</v>
      </c>
      <c r="E1677">
        <v>436.8</v>
      </c>
      <c r="F1677" s="1">
        <v>45720</v>
      </c>
      <c r="G1677" s="1">
        <v>45721</v>
      </c>
      <c r="H1677" t="s">
        <v>26</v>
      </c>
      <c r="I1677" t="s">
        <v>39</v>
      </c>
      <c r="J1677">
        <v>4</v>
      </c>
      <c r="K1677" t="s">
        <v>18</v>
      </c>
      <c r="L1677" t="s">
        <v>114</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1776</v>
      </c>
      <c r="B1678" t="s">
        <v>53</v>
      </c>
      <c r="C1678">
        <v>6</v>
      </c>
      <c r="D1678">
        <v>34.9</v>
      </c>
      <c r="E1678">
        <v>209.39999999999998</v>
      </c>
      <c r="F1678" s="1">
        <v>45720</v>
      </c>
      <c r="G1678" s="1">
        <v>45731</v>
      </c>
      <c r="H1678" t="s">
        <v>26</v>
      </c>
      <c r="I1678" t="s">
        <v>17</v>
      </c>
      <c r="J1678">
        <v>4</v>
      </c>
      <c r="K1678" t="s">
        <v>18</v>
      </c>
      <c r="L1678" t="s">
        <v>114</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1777</v>
      </c>
      <c r="B1679" t="s">
        <v>38</v>
      </c>
      <c r="C1679">
        <v>2</v>
      </c>
      <c r="D1679">
        <v>53.9</v>
      </c>
      <c r="E1679">
        <v>107.8</v>
      </c>
      <c r="F1679" s="1">
        <v>45720</v>
      </c>
      <c r="G1679" s="1">
        <v>45723</v>
      </c>
      <c r="H1679" t="s">
        <v>88</v>
      </c>
      <c r="I1679" t="s">
        <v>17</v>
      </c>
      <c r="J1679">
        <v>2</v>
      </c>
      <c r="K1679" t="s">
        <v>18</v>
      </c>
      <c r="L1679" t="s">
        <v>23</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1778</v>
      </c>
      <c r="B1680" t="s">
        <v>25</v>
      </c>
      <c r="C1680">
        <v>2</v>
      </c>
      <c r="D1680">
        <v>87.2</v>
      </c>
      <c r="E1680">
        <v>174.4</v>
      </c>
      <c r="F1680" s="1">
        <v>45720</v>
      </c>
      <c r="G1680" s="1">
        <v>45721</v>
      </c>
      <c r="H1680" t="s">
        <v>26</v>
      </c>
      <c r="I1680" t="s">
        <v>17</v>
      </c>
      <c r="J1680">
        <v>3</v>
      </c>
      <c r="K1680" t="s">
        <v>18</v>
      </c>
      <c r="L1680" t="s">
        <v>23</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1779</v>
      </c>
      <c r="B1681" t="s">
        <v>122</v>
      </c>
      <c r="C1681">
        <v>1</v>
      </c>
      <c r="D1681">
        <v>58.8</v>
      </c>
      <c r="E1681">
        <v>58.8</v>
      </c>
      <c r="F1681" s="1">
        <v>45720</v>
      </c>
      <c r="G1681" s="1">
        <v>45722</v>
      </c>
      <c r="H1681" t="s">
        <v>26</v>
      </c>
      <c r="I1681" t="s">
        <v>39</v>
      </c>
      <c r="J1681">
        <v>4</v>
      </c>
      <c r="K1681" t="s">
        <v>18</v>
      </c>
      <c r="L1681" t="s">
        <v>586</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1780</v>
      </c>
      <c r="B1682" t="s">
        <v>25</v>
      </c>
      <c r="C1682">
        <v>7</v>
      </c>
      <c r="D1682">
        <v>125.5</v>
      </c>
      <c r="E1682">
        <v>878.5</v>
      </c>
      <c r="F1682" s="1">
        <v>45720</v>
      </c>
      <c r="G1682" s="1">
        <v>45721</v>
      </c>
      <c r="H1682" t="s">
        <v>22</v>
      </c>
      <c r="I1682" t="s">
        <v>39</v>
      </c>
      <c r="J1682">
        <v>2</v>
      </c>
      <c r="K1682" t="s">
        <v>18</v>
      </c>
      <c r="L1682" t="s">
        <v>146</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1781</v>
      </c>
      <c r="B1683" t="s">
        <v>21</v>
      </c>
      <c r="C1683">
        <v>4</v>
      </c>
      <c r="D1683">
        <v>124.6</v>
      </c>
      <c r="E1683">
        <v>498.4</v>
      </c>
      <c r="F1683" s="1">
        <v>45720</v>
      </c>
      <c r="G1683" s="1">
        <v>45722</v>
      </c>
      <c r="H1683" t="s">
        <v>26</v>
      </c>
      <c r="I1683" t="s">
        <v>17</v>
      </c>
      <c r="J1683">
        <v>3</v>
      </c>
      <c r="K1683" t="s">
        <v>18</v>
      </c>
      <c r="L1683" t="s">
        <v>146</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1782</v>
      </c>
      <c r="B1684" t="s">
        <v>21</v>
      </c>
      <c r="C1684">
        <v>7</v>
      </c>
      <c r="D1684">
        <v>39.9</v>
      </c>
      <c r="E1684">
        <v>279.3</v>
      </c>
      <c r="F1684" s="1">
        <v>45720</v>
      </c>
      <c r="G1684" s="1">
        <v>45721</v>
      </c>
      <c r="H1684" t="s">
        <v>22</v>
      </c>
      <c r="I1684" t="s">
        <v>39</v>
      </c>
      <c r="J1684">
        <v>3</v>
      </c>
      <c r="K1684" t="s">
        <v>18</v>
      </c>
      <c r="L1684" t="s">
        <v>32</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1783</v>
      </c>
      <c r="B1685" t="s">
        <v>38</v>
      </c>
      <c r="C1685">
        <v>1</v>
      </c>
      <c r="D1685">
        <v>94.6</v>
      </c>
      <c r="E1685">
        <v>94.6</v>
      </c>
      <c r="F1685" s="1">
        <v>45720</v>
      </c>
      <c r="G1685" s="1">
        <v>45734</v>
      </c>
      <c r="H1685" t="s">
        <v>26</v>
      </c>
      <c r="I1685" t="s">
        <v>17</v>
      </c>
      <c r="J1685">
        <v>3</v>
      </c>
      <c r="K1685" t="s">
        <v>18</v>
      </c>
      <c r="L1685" t="s">
        <v>32</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1784</v>
      </c>
      <c r="B1686" t="s">
        <v>25</v>
      </c>
      <c r="C1686">
        <v>2</v>
      </c>
      <c r="D1686">
        <v>149.6</v>
      </c>
      <c r="E1686">
        <v>299.2</v>
      </c>
      <c r="F1686" s="1">
        <v>45720</v>
      </c>
      <c r="G1686" s="1">
        <v>45721</v>
      </c>
      <c r="H1686" t="s">
        <v>26</v>
      </c>
      <c r="I1686" t="s">
        <v>17</v>
      </c>
      <c r="J1686">
        <v>4</v>
      </c>
      <c r="K1686" t="s">
        <v>18</v>
      </c>
      <c r="L1686" t="s">
        <v>32</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1785</v>
      </c>
      <c r="B1687" t="s">
        <v>43</v>
      </c>
      <c r="C1687">
        <v>1</v>
      </c>
      <c r="D1687">
        <v>52.2</v>
      </c>
      <c r="E1687">
        <v>52.2</v>
      </c>
      <c r="F1687" s="1">
        <v>45720</v>
      </c>
      <c r="G1687" s="1">
        <v>45721</v>
      </c>
      <c r="I1687" t="s">
        <v>34</v>
      </c>
      <c r="J1687">
        <v>4</v>
      </c>
      <c r="K1687" t="s">
        <v>18</v>
      </c>
      <c r="L1687" t="s">
        <v>32</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1786</v>
      </c>
      <c r="B1688" t="s">
        <v>38</v>
      </c>
      <c r="C1688">
        <v>2</v>
      </c>
      <c r="D1688">
        <v>96.5</v>
      </c>
      <c r="E1688">
        <v>193</v>
      </c>
      <c r="F1688" s="1">
        <v>45720</v>
      </c>
      <c r="G1688" s="1">
        <v>45721</v>
      </c>
      <c r="H1688" t="s">
        <v>26</v>
      </c>
      <c r="I1688" t="s">
        <v>34</v>
      </c>
      <c r="J1688">
        <v>3</v>
      </c>
      <c r="K1688" t="s">
        <v>18</v>
      </c>
      <c r="L1688" t="s">
        <v>32</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1787</v>
      </c>
      <c r="B1689" t="s">
        <v>43</v>
      </c>
      <c r="C1689">
        <v>2</v>
      </c>
      <c r="D1689">
        <v>79.8</v>
      </c>
      <c r="E1689">
        <v>159.6</v>
      </c>
      <c r="F1689" s="1">
        <v>45720</v>
      </c>
      <c r="G1689" s="1">
        <v>45722</v>
      </c>
      <c r="H1689" t="s">
        <v>26</v>
      </c>
      <c r="I1689" t="s">
        <v>17</v>
      </c>
      <c r="J1689">
        <v>3</v>
      </c>
      <c r="K1689" t="s">
        <v>18</v>
      </c>
      <c r="L1689" t="s">
        <v>32</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1788</v>
      </c>
      <c r="B1690" t="s">
        <v>43</v>
      </c>
      <c r="C1690">
        <v>3</v>
      </c>
      <c r="D1690">
        <v>35.6</v>
      </c>
      <c r="E1690">
        <v>106.80000000000001</v>
      </c>
      <c r="F1690" s="1">
        <v>45720</v>
      </c>
      <c r="G1690" s="1">
        <v>45721</v>
      </c>
      <c r="H1690" t="s">
        <v>26</v>
      </c>
      <c r="I1690" t="s">
        <v>39</v>
      </c>
      <c r="J1690">
        <v>4</v>
      </c>
      <c r="K1690" t="s">
        <v>18</v>
      </c>
      <c r="L1690" t="s">
        <v>32</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1789</v>
      </c>
      <c r="B1691" t="s">
        <v>127</v>
      </c>
      <c r="C1691">
        <v>1</v>
      </c>
      <c r="D1691">
        <v>50.2</v>
      </c>
      <c r="E1691">
        <v>50.2</v>
      </c>
      <c r="F1691" s="1">
        <v>45720</v>
      </c>
      <c r="G1691" s="1">
        <v>45721</v>
      </c>
      <c r="H1691" t="s">
        <v>26</v>
      </c>
      <c r="I1691" t="s">
        <v>34</v>
      </c>
      <c r="J1691">
        <v>5</v>
      </c>
      <c r="K1691" t="s">
        <v>18</v>
      </c>
      <c r="L1691" t="s">
        <v>32</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1790</v>
      </c>
      <c r="B1692" t="s">
        <v>21</v>
      </c>
      <c r="C1692">
        <v>3</v>
      </c>
      <c r="D1692">
        <v>55.3</v>
      </c>
      <c r="E1692">
        <v>165.89999999999998</v>
      </c>
      <c r="F1692" s="1">
        <v>45720</v>
      </c>
      <c r="G1692" s="1">
        <v>45723</v>
      </c>
      <c r="H1692" t="s">
        <v>26</v>
      </c>
      <c r="I1692" t="s">
        <v>17</v>
      </c>
      <c r="J1692">
        <v>2</v>
      </c>
      <c r="K1692" t="s">
        <v>18</v>
      </c>
      <c r="L1692" t="s">
        <v>415</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1791</v>
      </c>
      <c r="B1693" t="s">
        <v>38</v>
      </c>
      <c r="C1693">
        <v>7</v>
      </c>
      <c r="D1693">
        <v>104.5</v>
      </c>
      <c r="E1693">
        <v>731.5</v>
      </c>
      <c r="F1693" s="1">
        <v>45720</v>
      </c>
      <c r="G1693" s="1">
        <v>45724</v>
      </c>
      <c r="H1693" t="s">
        <v>26</v>
      </c>
      <c r="I1693" t="s">
        <v>34</v>
      </c>
      <c r="J1693">
        <v>4</v>
      </c>
      <c r="K1693" t="s">
        <v>18</v>
      </c>
      <c r="L1693" t="s">
        <v>58</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1792</v>
      </c>
      <c r="B1694" t="s">
        <v>38</v>
      </c>
      <c r="C1694">
        <v>4</v>
      </c>
      <c r="D1694">
        <v>66.5</v>
      </c>
      <c r="E1694">
        <v>266</v>
      </c>
      <c r="F1694" s="1">
        <v>45720</v>
      </c>
      <c r="G1694" s="1">
        <v>45722</v>
      </c>
      <c r="H1694" t="s">
        <v>22</v>
      </c>
      <c r="I1694" t="s">
        <v>34</v>
      </c>
      <c r="J1694">
        <v>4</v>
      </c>
      <c r="K1694" t="s">
        <v>18</v>
      </c>
      <c r="L1694" t="s">
        <v>58</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1793</v>
      </c>
      <c r="B1695" t="s">
        <v>53</v>
      </c>
      <c r="C1695">
        <v>8</v>
      </c>
      <c r="D1695">
        <v>38.299999999999997</v>
      </c>
      <c r="E1695">
        <v>306.39999999999998</v>
      </c>
      <c r="F1695" s="1">
        <v>45720</v>
      </c>
      <c r="G1695" s="1">
        <v>45721</v>
      </c>
      <c r="H1695" t="s">
        <v>26</v>
      </c>
      <c r="I1695" t="s">
        <v>17</v>
      </c>
      <c r="J1695">
        <v>4</v>
      </c>
      <c r="K1695" t="s">
        <v>18</v>
      </c>
      <c r="L1695" t="s">
        <v>58</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1794</v>
      </c>
      <c r="B1696" t="s">
        <v>38</v>
      </c>
      <c r="C1696">
        <v>3</v>
      </c>
      <c r="D1696">
        <v>63.8</v>
      </c>
      <c r="E1696">
        <v>191.39999999999998</v>
      </c>
      <c r="F1696" s="1">
        <v>45720</v>
      </c>
      <c r="G1696" s="1">
        <v>45723</v>
      </c>
      <c r="H1696" t="s">
        <v>26</v>
      </c>
      <c r="I1696" t="s">
        <v>34</v>
      </c>
      <c r="J1696">
        <v>4</v>
      </c>
      <c r="K1696" t="s">
        <v>18</v>
      </c>
      <c r="L1696" t="s">
        <v>61</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1795</v>
      </c>
      <c r="B1697" t="s">
        <v>122</v>
      </c>
      <c r="C1697">
        <v>1</v>
      </c>
      <c r="D1697">
        <v>21.4</v>
      </c>
      <c r="E1697">
        <v>21.4</v>
      </c>
      <c r="F1697" s="1">
        <v>45720</v>
      </c>
      <c r="G1697" s="1">
        <v>45720</v>
      </c>
      <c r="H1697" t="s">
        <v>22</v>
      </c>
      <c r="I1697" t="s">
        <v>69</v>
      </c>
      <c r="J1697">
        <v>4</v>
      </c>
      <c r="K1697" t="s">
        <v>18</v>
      </c>
      <c r="L1697" t="s">
        <v>61</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1796</v>
      </c>
      <c r="B1698" t="s">
        <v>43</v>
      </c>
      <c r="C1698">
        <v>4</v>
      </c>
      <c r="D1698">
        <v>44.1</v>
      </c>
      <c r="E1698">
        <v>176.4</v>
      </c>
      <c r="F1698" s="1">
        <v>45720</v>
      </c>
      <c r="G1698" s="1">
        <v>45722</v>
      </c>
      <c r="H1698" t="s">
        <v>26</v>
      </c>
      <c r="I1698" t="s">
        <v>39</v>
      </c>
      <c r="J1698">
        <v>4</v>
      </c>
      <c r="K1698" t="s">
        <v>18</v>
      </c>
      <c r="L1698" t="s">
        <v>61</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1797</v>
      </c>
      <c r="B1699" t="s">
        <v>36</v>
      </c>
      <c r="C1699">
        <v>8</v>
      </c>
      <c r="D1699">
        <v>57.6</v>
      </c>
      <c r="E1699">
        <v>460.8</v>
      </c>
      <c r="F1699" s="1">
        <v>45720</v>
      </c>
      <c r="G1699" s="1">
        <v>45722</v>
      </c>
      <c r="H1699" t="s">
        <v>22</v>
      </c>
      <c r="I1699" t="s">
        <v>34</v>
      </c>
      <c r="J1699">
        <v>5</v>
      </c>
      <c r="K1699" t="s">
        <v>18</v>
      </c>
      <c r="L1699" t="s">
        <v>61</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1798</v>
      </c>
      <c r="B1700" t="s">
        <v>45</v>
      </c>
      <c r="C1700">
        <v>2</v>
      </c>
      <c r="D1700">
        <v>20.3</v>
      </c>
      <c r="E1700">
        <v>40.6</v>
      </c>
      <c r="F1700" s="1">
        <v>45720</v>
      </c>
      <c r="G1700" s="1">
        <v>45726</v>
      </c>
      <c r="H1700" t="s">
        <v>26</v>
      </c>
      <c r="I1700" t="s">
        <v>50</v>
      </c>
      <c r="J1700">
        <v>4</v>
      </c>
      <c r="K1700" t="s">
        <v>18</v>
      </c>
      <c r="L1700" t="s">
        <v>61</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1799</v>
      </c>
      <c r="B1701" t="s">
        <v>43</v>
      </c>
      <c r="C1701">
        <v>1</v>
      </c>
      <c r="D1701">
        <v>22.9</v>
      </c>
      <c r="E1701">
        <v>22.9</v>
      </c>
      <c r="F1701" s="1">
        <v>45720</v>
      </c>
      <c r="G1701" s="1">
        <v>45722</v>
      </c>
      <c r="H1701" t="s">
        <v>26</v>
      </c>
      <c r="I1701" t="s">
        <v>39</v>
      </c>
      <c r="J1701">
        <v>5</v>
      </c>
      <c r="K1701" t="s">
        <v>18</v>
      </c>
      <c r="L1701" t="s">
        <v>61</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1800</v>
      </c>
      <c r="B1702" t="s">
        <v>38</v>
      </c>
      <c r="C1702">
        <v>4</v>
      </c>
      <c r="D1702">
        <v>105.9</v>
      </c>
      <c r="E1702">
        <v>423.6</v>
      </c>
      <c r="F1702" s="1">
        <v>45720</v>
      </c>
      <c r="G1702" s="1">
        <v>45721</v>
      </c>
      <c r="H1702" t="s">
        <v>26</v>
      </c>
      <c r="I1702" t="s">
        <v>34</v>
      </c>
      <c r="J1702">
        <v>5</v>
      </c>
      <c r="K1702" t="s">
        <v>18</v>
      </c>
      <c r="L1702" t="s">
        <v>102</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1801</v>
      </c>
      <c r="B1703" t="s">
        <v>21</v>
      </c>
      <c r="C1703">
        <v>9</v>
      </c>
      <c r="D1703">
        <v>37.4</v>
      </c>
      <c r="E1703">
        <v>336.59999999999997</v>
      </c>
      <c r="F1703" s="1">
        <v>45720</v>
      </c>
      <c r="G1703" s="1">
        <v>45724</v>
      </c>
      <c r="H1703" t="s">
        <v>22</v>
      </c>
      <c r="I1703" t="s">
        <v>34</v>
      </c>
      <c r="J1703">
        <v>4</v>
      </c>
      <c r="K1703" t="s">
        <v>18</v>
      </c>
      <c r="L1703" t="s">
        <v>76</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1802</v>
      </c>
      <c r="B1704" t="s">
        <v>145</v>
      </c>
      <c r="C1704">
        <v>2</v>
      </c>
      <c r="D1704">
        <v>79</v>
      </c>
      <c r="E1704">
        <v>158</v>
      </c>
      <c r="F1704" s="1">
        <v>45720</v>
      </c>
      <c r="G1704" s="1">
        <v>45721</v>
      </c>
      <c r="H1704" t="s">
        <v>22</v>
      </c>
      <c r="I1704" t="s">
        <v>39</v>
      </c>
      <c r="J1704">
        <v>4</v>
      </c>
      <c r="K1704" t="s">
        <v>18</v>
      </c>
      <c r="L1704" t="s">
        <v>242</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1803</v>
      </c>
      <c r="B1705" t="s">
        <v>16</v>
      </c>
      <c r="C1705">
        <v>3</v>
      </c>
      <c r="D1705">
        <v>19.3</v>
      </c>
      <c r="E1705">
        <v>57.900000000000006</v>
      </c>
      <c r="F1705" s="1">
        <v>45720</v>
      </c>
      <c r="G1705" s="1">
        <v>45721</v>
      </c>
      <c r="H1705" t="s">
        <v>26</v>
      </c>
      <c r="I1705" t="s">
        <v>69</v>
      </c>
      <c r="J1705">
        <v>4</v>
      </c>
      <c r="K1705" t="s">
        <v>18</v>
      </c>
      <c r="L1705" t="s">
        <v>114</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1804</v>
      </c>
      <c r="B1706" t="s">
        <v>16</v>
      </c>
      <c r="C1706">
        <v>1</v>
      </c>
      <c r="D1706">
        <v>24</v>
      </c>
      <c r="E1706">
        <v>24</v>
      </c>
      <c r="F1706" s="1">
        <v>45720</v>
      </c>
      <c r="G1706" s="1">
        <v>45721</v>
      </c>
      <c r="H1706" t="s">
        <v>26</v>
      </c>
      <c r="I1706" t="s">
        <v>34</v>
      </c>
      <c r="J1706">
        <v>4</v>
      </c>
      <c r="K1706" t="s">
        <v>18</v>
      </c>
      <c r="L1706" t="s">
        <v>23</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1805</v>
      </c>
      <c r="B1707" t="s">
        <v>38</v>
      </c>
      <c r="C1707">
        <v>5</v>
      </c>
      <c r="D1707">
        <v>71.3</v>
      </c>
      <c r="E1707">
        <v>356.5</v>
      </c>
      <c r="F1707" s="1">
        <v>45720</v>
      </c>
      <c r="G1707" s="1">
        <v>45723</v>
      </c>
      <c r="H1707" t="s">
        <v>26</v>
      </c>
      <c r="I1707" t="s">
        <v>39</v>
      </c>
      <c r="J1707">
        <v>4</v>
      </c>
      <c r="K1707" t="s">
        <v>18</v>
      </c>
      <c r="L1707" t="s">
        <v>27</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1806</v>
      </c>
      <c r="B1708" t="s">
        <v>36</v>
      </c>
      <c r="C1708">
        <v>2</v>
      </c>
      <c r="D1708">
        <v>166.2</v>
      </c>
      <c r="E1708">
        <v>332.4</v>
      </c>
      <c r="F1708" s="1">
        <v>45720</v>
      </c>
      <c r="G1708" s="1">
        <v>45721</v>
      </c>
      <c r="H1708" t="s">
        <v>22</v>
      </c>
      <c r="I1708" t="s">
        <v>17</v>
      </c>
      <c r="J1708">
        <v>5</v>
      </c>
      <c r="K1708" t="s">
        <v>18</v>
      </c>
      <c r="L1708" t="s">
        <v>948</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1807</v>
      </c>
      <c r="B1709" t="s">
        <v>38</v>
      </c>
      <c r="C1709">
        <v>1</v>
      </c>
      <c r="D1709">
        <v>81</v>
      </c>
      <c r="E1709">
        <v>81</v>
      </c>
      <c r="F1709" s="1">
        <v>45720</v>
      </c>
      <c r="G1709" s="1">
        <v>45721</v>
      </c>
      <c r="H1709" t="s">
        <v>26</v>
      </c>
      <c r="I1709" t="s">
        <v>39</v>
      </c>
      <c r="J1709">
        <v>3</v>
      </c>
      <c r="K1709" t="s">
        <v>18</v>
      </c>
      <c r="L1709" t="s">
        <v>32</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1808</v>
      </c>
      <c r="B1710" t="s">
        <v>53</v>
      </c>
      <c r="C1710">
        <v>6</v>
      </c>
      <c r="D1710">
        <v>38.5</v>
      </c>
      <c r="E1710">
        <v>231</v>
      </c>
      <c r="F1710" s="1">
        <v>45720</v>
      </c>
      <c r="G1710" s="1">
        <v>45724</v>
      </c>
      <c r="H1710" t="s">
        <v>26</v>
      </c>
      <c r="I1710" t="s">
        <v>17</v>
      </c>
      <c r="J1710">
        <v>4</v>
      </c>
      <c r="K1710" t="s">
        <v>18</v>
      </c>
      <c r="L1710" t="s">
        <v>32</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1809</v>
      </c>
      <c r="B1711" t="s">
        <v>38</v>
      </c>
      <c r="C1711">
        <v>1</v>
      </c>
      <c r="D1711">
        <v>86.1</v>
      </c>
      <c r="E1711">
        <v>86.1</v>
      </c>
      <c r="F1711" s="1">
        <v>45720</v>
      </c>
      <c r="G1711" s="1">
        <v>45722</v>
      </c>
      <c r="H1711" t="s">
        <v>26</v>
      </c>
      <c r="I1711" t="s">
        <v>50</v>
      </c>
      <c r="J1711">
        <v>4</v>
      </c>
      <c r="K1711" t="s">
        <v>18</v>
      </c>
      <c r="L1711" t="s">
        <v>32</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1810</v>
      </c>
      <c r="B1712" t="s">
        <v>25</v>
      </c>
      <c r="C1712">
        <v>5</v>
      </c>
      <c r="D1712">
        <v>51</v>
      </c>
      <c r="E1712">
        <v>255</v>
      </c>
      <c r="F1712" s="1">
        <v>45720</v>
      </c>
      <c r="G1712" s="1">
        <v>45721</v>
      </c>
      <c r="H1712" t="s">
        <v>22</v>
      </c>
      <c r="I1712" t="s">
        <v>17</v>
      </c>
      <c r="J1712">
        <v>3</v>
      </c>
      <c r="K1712" t="s">
        <v>18</v>
      </c>
      <c r="L1712" t="s">
        <v>32</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1811</v>
      </c>
      <c r="B1713" t="s">
        <v>29</v>
      </c>
      <c r="C1713">
        <v>5</v>
      </c>
      <c r="D1713">
        <v>115.4</v>
      </c>
      <c r="E1713">
        <v>577</v>
      </c>
      <c r="F1713" s="1">
        <v>45720</v>
      </c>
      <c r="G1713" s="1">
        <v>45721</v>
      </c>
      <c r="H1713" t="s">
        <v>22</v>
      </c>
      <c r="I1713" t="s">
        <v>17</v>
      </c>
      <c r="J1713">
        <v>4</v>
      </c>
      <c r="K1713" t="s">
        <v>18</v>
      </c>
      <c r="L1713" t="s">
        <v>32</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1812</v>
      </c>
      <c r="B1714" t="s">
        <v>38</v>
      </c>
      <c r="C1714">
        <v>4</v>
      </c>
      <c r="D1714">
        <v>176.5</v>
      </c>
      <c r="E1714">
        <v>706</v>
      </c>
      <c r="F1714" s="1">
        <v>45720</v>
      </c>
      <c r="G1714" s="1">
        <v>45721</v>
      </c>
      <c r="H1714" t="s">
        <v>26</v>
      </c>
      <c r="I1714" t="s">
        <v>39</v>
      </c>
      <c r="J1714">
        <v>5</v>
      </c>
      <c r="K1714" t="s">
        <v>18</v>
      </c>
      <c r="L1714" t="s">
        <v>32</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1813</v>
      </c>
      <c r="B1715" t="s">
        <v>41</v>
      </c>
      <c r="C1715">
        <v>3</v>
      </c>
      <c r="D1715">
        <v>48.9</v>
      </c>
      <c r="E1715">
        <v>146.69999999999999</v>
      </c>
      <c r="F1715" s="1">
        <v>45720</v>
      </c>
      <c r="G1715" s="1">
        <v>45721</v>
      </c>
      <c r="H1715" t="s">
        <v>22</v>
      </c>
      <c r="I1715" t="s">
        <v>69</v>
      </c>
      <c r="J1715">
        <v>4</v>
      </c>
      <c r="K1715" t="s">
        <v>18</v>
      </c>
      <c r="L1715" t="s">
        <v>32</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1814</v>
      </c>
      <c r="B1716" t="s">
        <v>43</v>
      </c>
      <c r="C1716">
        <v>3</v>
      </c>
      <c r="D1716">
        <v>18.100000000000001</v>
      </c>
      <c r="E1716">
        <v>54.300000000000004</v>
      </c>
      <c r="F1716" s="1">
        <v>45720</v>
      </c>
      <c r="G1716" s="1">
        <v>45727</v>
      </c>
      <c r="H1716" t="s">
        <v>26</v>
      </c>
      <c r="I1716" t="s">
        <v>34</v>
      </c>
      <c r="J1716">
        <v>5</v>
      </c>
      <c r="K1716" t="s">
        <v>18</v>
      </c>
      <c r="L1716" t="s">
        <v>257</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1815</v>
      </c>
      <c r="B1717" t="s">
        <v>25</v>
      </c>
      <c r="C1717">
        <v>2</v>
      </c>
      <c r="D1717">
        <v>118.5</v>
      </c>
      <c r="E1717">
        <v>237</v>
      </c>
      <c r="F1717" s="1">
        <v>45720</v>
      </c>
      <c r="G1717" s="1">
        <v>45723</v>
      </c>
      <c r="H1717" t="s">
        <v>22</v>
      </c>
      <c r="I1717" t="s">
        <v>34</v>
      </c>
      <c r="J1717">
        <v>5</v>
      </c>
      <c r="K1717" t="s">
        <v>18</v>
      </c>
      <c r="L1717" t="s">
        <v>97</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1816</v>
      </c>
      <c r="B1718" t="s">
        <v>122</v>
      </c>
      <c r="C1718">
        <v>7</v>
      </c>
      <c r="D1718">
        <v>59.1</v>
      </c>
      <c r="E1718">
        <v>413.7</v>
      </c>
      <c r="F1718" s="1">
        <v>45720</v>
      </c>
      <c r="G1718" s="1">
        <v>45721</v>
      </c>
      <c r="H1718" t="s">
        <v>26</v>
      </c>
      <c r="I1718" t="s">
        <v>50</v>
      </c>
      <c r="J1718">
        <v>4</v>
      </c>
      <c r="K1718" t="s">
        <v>18</v>
      </c>
      <c r="L1718" t="s">
        <v>187</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1817</v>
      </c>
      <c r="B1719" t="s">
        <v>31</v>
      </c>
      <c r="C1719">
        <v>1</v>
      </c>
      <c r="D1719">
        <v>21.2</v>
      </c>
      <c r="E1719">
        <v>21.2</v>
      </c>
      <c r="F1719" s="1">
        <v>45720</v>
      </c>
      <c r="G1719" s="1">
        <v>45721</v>
      </c>
      <c r="H1719" t="s">
        <v>26</v>
      </c>
      <c r="I1719" t="s">
        <v>17</v>
      </c>
      <c r="J1719">
        <v>3</v>
      </c>
      <c r="K1719" t="s">
        <v>18</v>
      </c>
      <c r="L1719" t="s">
        <v>54</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1818</v>
      </c>
      <c r="B1720" t="s">
        <v>38</v>
      </c>
      <c r="C1720">
        <v>2</v>
      </c>
      <c r="D1720">
        <v>68.8</v>
      </c>
      <c r="E1720">
        <v>137.6</v>
      </c>
      <c r="F1720" s="1">
        <v>45720</v>
      </c>
      <c r="G1720" s="1">
        <v>45725</v>
      </c>
      <c r="H1720" t="s">
        <v>26</v>
      </c>
      <c r="I1720" t="s">
        <v>50</v>
      </c>
      <c r="J1720">
        <v>5</v>
      </c>
      <c r="K1720" t="s">
        <v>18</v>
      </c>
      <c r="L1720" t="s">
        <v>54</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1819</v>
      </c>
      <c r="B1721" t="s">
        <v>38</v>
      </c>
      <c r="C1721">
        <v>2</v>
      </c>
      <c r="D1721">
        <v>65.400000000000006</v>
      </c>
      <c r="E1721">
        <v>130.80000000000001</v>
      </c>
      <c r="F1721" s="1">
        <v>45720</v>
      </c>
      <c r="G1721" s="1">
        <v>45724</v>
      </c>
      <c r="H1721" t="s">
        <v>26</v>
      </c>
      <c r="I1721" t="s">
        <v>17</v>
      </c>
      <c r="J1721">
        <v>4</v>
      </c>
      <c r="K1721" t="s">
        <v>18</v>
      </c>
      <c r="L1721" t="s">
        <v>54</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1820</v>
      </c>
      <c r="B1722" t="s">
        <v>68</v>
      </c>
      <c r="C1722">
        <v>5</v>
      </c>
      <c r="D1722">
        <v>66.3</v>
      </c>
      <c r="E1722">
        <v>331.5</v>
      </c>
      <c r="F1722" s="1">
        <v>45721</v>
      </c>
      <c r="G1722" s="1">
        <v>45724</v>
      </c>
      <c r="H1722" t="s">
        <v>26</v>
      </c>
      <c r="I1722" t="s">
        <v>69</v>
      </c>
      <c r="J1722">
        <v>4</v>
      </c>
      <c r="K1722" t="s">
        <v>18</v>
      </c>
      <c r="L1722" t="s">
        <v>54</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1821</v>
      </c>
      <c r="B1723" t="s">
        <v>38</v>
      </c>
      <c r="C1723">
        <v>3</v>
      </c>
      <c r="D1723">
        <v>97.5</v>
      </c>
      <c r="E1723">
        <v>292.5</v>
      </c>
      <c r="F1723" s="1">
        <v>45721</v>
      </c>
      <c r="G1723" s="1">
        <v>45721</v>
      </c>
      <c r="H1723" t="s">
        <v>22</v>
      </c>
      <c r="I1723" t="s">
        <v>50</v>
      </c>
      <c r="J1723">
        <v>4</v>
      </c>
      <c r="K1723" t="s">
        <v>18</v>
      </c>
      <c r="L1723" t="s">
        <v>61</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1822</v>
      </c>
      <c r="B1724" t="s">
        <v>21</v>
      </c>
      <c r="C1724">
        <v>2</v>
      </c>
      <c r="D1724">
        <v>44</v>
      </c>
      <c r="E1724">
        <v>88</v>
      </c>
      <c r="F1724" s="1">
        <v>45721</v>
      </c>
      <c r="G1724" s="1">
        <v>45724</v>
      </c>
      <c r="H1724" t="s">
        <v>26</v>
      </c>
      <c r="I1724" t="s">
        <v>34</v>
      </c>
      <c r="J1724">
        <v>5</v>
      </c>
      <c r="K1724" t="s">
        <v>18</v>
      </c>
      <c r="L1724" t="s">
        <v>61</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1823</v>
      </c>
      <c r="B1725" t="s">
        <v>16</v>
      </c>
      <c r="C1725">
        <v>1</v>
      </c>
      <c r="D1725">
        <v>21.9</v>
      </c>
      <c r="E1725">
        <v>21.9</v>
      </c>
      <c r="F1725" s="1">
        <v>45721</v>
      </c>
      <c r="G1725" s="1">
        <v>45722</v>
      </c>
      <c r="H1725" t="s">
        <v>22</v>
      </c>
      <c r="I1725" t="s">
        <v>17</v>
      </c>
      <c r="J1725">
        <v>4</v>
      </c>
      <c r="K1725" t="s">
        <v>18</v>
      </c>
      <c r="L1725" t="s">
        <v>61</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1824</v>
      </c>
      <c r="B1726" t="s">
        <v>31</v>
      </c>
      <c r="C1726">
        <v>7</v>
      </c>
      <c r="D1726">
        <v>21.5</v>
      </c>
      <c r="E1726">
        <v>150.5</v>
      </c>
      <c r="F1726" s="1">
        <v>45721</v>
      </c>
      <c r="G1726" s="1">
        <v>45723</v>
      </c>
      <c r="H1726" t="s">
        <v>26</v>
      </c>
      <c r="I1726" t="s">
        <v>34</v>
      </c>
      <c r="J1726">
        <v>5</v>
      </c>
      <c r="K1726" t="s">
        <v>18</v>
      </c>
      <c r="L1726" t="s">
        <v>71</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1825</v>
      </c>
      <c r="B1727" t="s">
        <v>68</v>
      </c>
      <c r="C1727">
        <v>6</v>
      </c>
      <c r="D1727">
        <v>133</v>
      </c>
      <c r="E1727">
        <v>798</v>
      </c>
      <c r="F1727" s="1">
        <v>45721</v>
      </c>
      <c r="G1727" s="1">
        <v>45722</v>
      </c>
      <c r="H1727" t="s">
        <v>88</v>
      </c>
      <c r="I1727" t="s">
        <v>17</v>
      </c>
      <c r="J1727">
        <v>5</v>
      </c>
      <c r="K1727" t="s">
        <v>18</v>
      </c>
      <c r="L1727" t="s">
        <v>73</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1826</v>
      </c>
      <c r="B1728" t="s">
        <v>43</v>
      </c>
      <c r="C1728">
        <v>2</v>
      </c>
      <c r="D1728">
        <v>47.7</v>
      </c>
      <c r="E1728">
        <v>95.4</v>
      </c>
      <c r="F1728" s="1">
        <v>45721</v>
      </c>
      <c r="G1728" s="1">
        <v>45725</v>
      </c>
      <c r="H1728" t="s">
        <v>22</v>
      </c>
      <c r="I1728" t="s">
        <v>17</v>
      </c>
      <c r="J1728">
        <v>5</v>
      </c>
      <c r="K1728" t="s">
        <v>18</v>
      </c>
      <c r="L1728" t="s">
        <v>73</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1827</v>
      </c>
      <c r="B1729" t="s">
        <v>127</v>
      </c>
      <c r="C1729">
        <v>3</v>
      </c>
      <c r="D1729">
        <v>58.1</v>
      </c>
      <c r="E1729">
        <v>174.3</v>
      </c>
      <c r="F1729" s="1">
        <v>45721</v>
      </c>
      <c r="G1729" s="1">
        <v>45722</v>
      </c>
      <c r="H1729" t="s">
        <v>26</v>
      </c>
      <c r="I1729" t="s">
        <v>17</v>
      </c>
      <c r="J1729">
        <v>4</v>
      </c>
      <c r="K1729" t="s">
        <v>18</v>
      </c>
      <c r="L1729" t="s">
        <v>76</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1828</v>
      </c>
      <c r="B1730" t="s">
        <v>68</v>
      </c>
      <c r="C1730">
        <v>4</v>
      </c>
      <c r="D1730">
        <v>66.599999999999994</v>
      </c>
      <c r="E1730">
        <v>266.39999999999998</v>
      </c>
      <c r="F1730" s="1">
        <v>45721</v>
      </c>
      <c r="G1730" s="1">
        <v>45722</v>
      </c>
      <c r="I1730" t="s">
        <v>17</v>
      </c>
      <c r="J1730">
        <v>4</v>
      </c>
      <c r="K1730" t="s">
        <v>18</v>
      </c>
      <c r="L1730" t="s">
        <v>76</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1829</v>
      </c>
      <c r="B1731" t="s">
        <v>45</v>
      </c>
      <c r="C1731">
        <v>1</v>
      </c>
      <c r="D1731">
        <v>24.1</v>
      </c>
      <c r="E1731">
        <v>24.1</v>
      </c>
      <c r="F1731" s="1">
        <v>45721</v>
      </c>
      <c r="G1731" s="1">
        <v>45724</v>
      </c>
      <c r="H1731" t="s">
        <v>22</v>
      </c>
      <c r="I1731" t="s">
        <v>39</v>
      </c>
      <c r="J1731">
        <v>3</v>
      </c>
      <c r="K1731" t="s">
        <v>18</v>
      </c>
      <c r="L1731" t="s">
        <v>109</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1830</v>
      </c>
      <c r="B1732" t="s">
        <v>53</v>
      </c>
      <c r="C1732">
        <v>5</v>
      </c>
      <c r="D1732">
        <v>51.5</v>
      </c>
      <c r="E1732">
        <v>257.5</v>
      </c>
      <c r="F1732" s="1">
        <v>45721</v>
      </c>
      <c r="G1732" s="1">
        <v>45726</v>
      </c>
      <c r="H1732" t="s">
        <v>26</v>
      </c>
      <c r="I1732" t="s">
        <v>17</v>
      </c>
      <c r="J1732">
        <v>4</v>
      </c>
      <c r="K1732" t="s">
        <v>18</v>
      </c>
      <c r="L1732" t="s">
        <v>81</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1831</v>
      </c>
      <c r="B1733" t="s">
        <v>16</v>
      </c>
      <c r="C1733">
        <v>11</v>
      </c>
      <c r="D1733">
        <v>25.8</v>
      </c>
      <c r="E1733">
        <v>283.8</v>
      </c>
      <c r="F1733" s="1">
        <v>45721</v>
      </c>
      <c r="G1733" s="1">
        <v>45725</v>
      </c>
      <c r="H1733" t="s">
        <v>26</v>
      </c>
      <c r="I1733" t="s">
        <v>50</v>
      </c>
      <c r="J1733">
        <v>2</v>
      </c>
      <c r="K1733" t="s">
        <v>18</v>
      </c>
      <c r="L1733" t="s">
        <v>114</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1832</v>
      </c>
      <c r="B1734" t="s">
        <v>45</v>
      </c>
      <c r="C1734">
        <v>4</v>
      </c>
      <c r="D1734">
        <v>47.7</v>
      </c>
      <c r="E1734">
        <v>190.8</v>
      </c>
      <c r="F1734" s="1">
        <v>45721</v>
      </c>
      <c r="G1734" s="1">
        <v>45721</v>
      </c>
      <c r="H1734" t="s">
        <v>26</v>
      </c>
      <c r="I1734" t="s">
        <v>17</v>
      </c>
      <c r="J1734">
        <v>3</v>
      </c>
      <c r="K1734" t="s">
        <v>18</v>
      </c>
      <c r="L1734" t="s">
        <v>114</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1833</v>
      </c>
      <c r="B1735" t="s">
        <v>41</v>
      </c>
      <c r="C1735">
        <v>5</v>
      </c>
      <c r="D1735">
        <v>73.599999999999994</v>
      </c>
      <c r="E1735">
        <v>368</v>
      </c>
      <c r="F1735" s="1">
        <v>45721</v>
      </c>
      <c r="G1735" s="1">
        <v>45725</v>
      </c>
      <c r="H1735" t="s">
        <v>22</v>
      </c>
      <c r="I1735" t="s">
        <v>34</v>
      </c>
      <c r="J1735">
        <v>4</v>
      </c>
      <c r="K1735" t="s">
        <v>18</v>
      </c>
      <c r="L1735" t="s">
        <v>114</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1834</v>
      </c>
      <c r="B1736" t="s">
        <v>36</v>
      </c>
      <c r="C1736">
        <v>7</v>
      </c>
      <c r="D1736">
        <v>91.2</v>
      </c>
      <c r="E1736">
        <v>638.4</v>
      </c>
      <c r="F1736" s="1">
        <v>45721</v>
      </c>
      <c r="G1736" s="1">
        <v>45722</v>
      </c>
      <c r="H1736" t="s">
        <v>22</v>
      </c>
      <c r="I1736" t="s">
        <v>34</v>
      </c>
      <c r="J1736">
        <v>5</v>
      </c>
      <c r="K1736" t="s">
        <v>18</v>
      </c>
      <c r="L1736" t="s">
        <v>114</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1835</v>
      </c>
      <c r="B1737" t="s">
        <v>21</v>
      </c>
      <c r="C1737">
        <v>8</v>
      </c>
      <c r="D1737">
        <v>36.200000000000003</v>
      </c>
      <c r="E1737">
        <v>289.60000000000002</v>
      </c>
      <c r="F1737" s="1">
        <v>45721</v>
      </c>
      <c r="G1737" s="1">
        <v>45721</v>
      </c>
      <c r="H1737" t="s">
        <v>22</v>
      </c>
      <c r="I1737" t="s">
        <v>39</v>
      </c>
      <c r="J1737">
        <v>5</v>
      </c>
      <c r="K1737" t="s">
        <v>18</v>
      </c>
      <c r="L1737" t="s">
        <v>23</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1836</v>
      </c>
      <c r="B1738" t="s">
        <v>45</v>
      </c>
      <c r="C1738">
        <v>8</v>
      </c>
      <c r="D1738">
        <v>98</v>
      </c>
      <c r="E1738">
        <v>784</v>
      </c>
      <c r="F1738" s="1">
        <v>45721</v>
      </c>
      <c r="G1738" s="1">
        <v>45725</v>
      </c>
      <c r="H1738" t="s">
        <v>26</v>
      </c>
      <c r="I1738" t="s">
        <v>39</v>
      </c>
      <c r="J1738">
        <v>4</v>
      </c>
      <c r="K1738" t="s">
        <v>18</v>
      </c>
      <c r="L1738" t="s">
        <v>27</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1837</v>
      </c>
      <c r="B1739" t="s">
        <v>21</v>
      </c>
      <c r="C1739">
        <v>8</v>
      </c>
      <c r="D1739">
        <v>43.6</v>
      </c>
      <c r="E1739">
        <v>348.8</v>
      </c>
      <c r="F1739" s="1">
        <v>45721</v>
      </c>
      <c r="G1739" s="1">
        <v>45722</v>
      </c>
      <c r="H1739" t="s">
        <v>26</v>
      </c>
      <c r="I1739" t="s">
        <v>39</v>
      </c>
      <c r="J1739">
        <v>4</v>
      </c>
      <c r="K1739" t="s">
        <v>18</v>
      </c>
      <c r="L1739" t="s">
        <v>146</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1838</v>
      </c>
      <c r="B1740" t="s">
        <v>43</v>
      </c>
      <c r="C1740">
        <v>10</v>
      </c>
      <c r="D1740">
        <v>37.799999999999997</v>
      </c>
      <c r="E1740">
        <v>378</v>
      </c>
      <c r="F1740" s="1">
        <v>45721</v>
      </c>
      <c r="G1740" s="1">
        <v>45721</v>
      </c>
      <c r="H1740" t="s">
        <v>88</v>
      </c>
      <c r="I1740" t="s">
        <v>17</v>
      </c>
      <c r="J1740">
        <v>4</v>
      </c>
      <c r="K1740" t="s">
        <v>18</v>
      </c>
      <c r="L1740" t="s">
        <v>948</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1839</v>
      </c>
      <c r="B1741" t="s">
        <v>134</v>
      </c>
      <c r="C1741">
        <v>5</v>
      </c>
      <c r="D1741">
        <v>63.7</v>
      </c>
      <c r="E1741">
        <v>318.5</v>
      </c>
      <c r="F1741" s="1">
        <v>45721</v>
      </c>
      <c r="G1741" s="1">
        <v>45724</v>
      </c>
      <c r="H1741" t="s">
        <v>26</v>
      </c>
      <c r="I1741" t="s">
        <v>39</v>
      </c>
      <c r="J1741">
        <v>3</v>
      </c>
      <c r="K1741" t="s">
        <v>18</v>
      </c>
      <c r="L1741" t="s">
        <v>32</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1840</v>
      </c>
      <c r="B1742" t="s">
        <v>36</v>
      </c>
      <c r="C1742">
        <v>9</v>
      </c>
      <c r="D1742">
        <v>62.9</v>
      </c>
      <c r="E1742">
        <v>566.1</v>
      </c>
      <c r="F1742" s="1">
        <v>45721</v>
      </c>
      <c r="G1742" s="1">
        <v>45726</v>
      </c>
      <c r="H1742" t="s">
        <v>22</v>
      </c>
      <c r="I1742" t="s">
        <v>50</v>
      </c>
      <c r="J1742">
        <v>5</v>
      </c>
      <c r="K1742" t="s">
        <v>18</v>
      </c>
      <c r="L1742" t="s">
        <v>32</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1841</v>
      </c>
      <c r="B1743" t="s">
        <v>38</v>
      </c>
      <c r="C1743">
        <v>7</v>
      </c>
      <c r="D1743">
        <v>61.7</v>
      </c>
      <c r="E1743">
        <v>431.90000000000003</v>
      </c>
      <c r="F1743" s="1">
        <v>45721</v>
      </c>
      <c r="G1743" s="1">
        <v>45724</v>
      </c>
      <c r="H1743" t="s">
        <v>26</v>
      </c>
      <c r="I1743" t="s">
        <v>39</v>
      </c>
      <c r="J1743">
        <v>5</v>
      </c>
      <c r="K1743" t="s">
        <v>18</v>
      </c>
      <c r="L1743" t="s">
        <v>32</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1842</v>
      </c>
      <c r="B1744" t="s">
        <v>145</v>
      </c>
      <c r="C1744">
        <v>14</v>
      </c>
      <c r="D1744">
        <v>36.5</v>
      </c>
      <c r="E1744">
        <v>511</v>
      </c>
      <c r="F1744" s="1">
        <v>45721</v>
      </c>
      <c r="G1744" s="1">
        <v>45722</v>
      </c>
      <c r="H1744" t="s">
        <v>22</v>
      </c>
      <c r="I1744" t="s">
        <v>17</v>
      </c>
      <c r="J1744">
        <v>5</v>
      </c>
      <c r="K1744" t="s">
        <v>18</v>
      </c>
      <c r="L1744" t="s">
        <v>32</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1843</v>
      </c>
      <c r="B1745" t="s">
        <v>66</v>
      </c>
      <c r="C1745">
        <v>3</v>
      </c>
      <c r="D1745">
        <v>98.6</v>
      </c>
      <c r="E1745">
        <v>295.79999999999995</v>
      </c>
      <c r="F1745" s="1">
        <v>45721</v>
      </c>
      <c r="G1745" s="1">
        <v>45724</v>
      </c>
      <c r="H1745" t="s">
        <v>88</v>
      </c>
      <c r="I1745" t="s">
        <v>17</v>
      </c>
      <c r="J1745">
        <v>2</v>
      </c>
      <c r="K1745" t="s">
        <v>18</v>
      </c>
      <c r="L1745" t="s">
        <v>32</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1844</v>
      </c>
      <c r="B1746" t="s">
        <v>43</v>
      </c>
      <c r="C1746">
        <v>2</v>
      </c>
      <c r="D1746">
        <v>19.2</v>
      </c>
      <c r="E1746">
        <v>38.4</v>
      </c>
      <c r="F1746" s="1">
        <v>45721</v>
      </c>
      <c r="G1746" s="1">
        <v>45731</v>
      </c>
      <c r="H1746" t="s">
        <v>22</v>
      </c>
      <c r="I1746" t="s">
        <v>17</v>
      </c>
      <c r="J1746">
        <v>4</v>
      </c>
      <c r="K1746" t="s">
        <v>18</v>
      </c>
      <c r="L1746" t="s">
        <v>32</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1845</v>
      </c>
      <c r="B1747" t="s">
        <v>29</v>
      </c>
      <c r="C1747">
        <v>6</v>
      </c>
      <c r="D1747">
        <v>55.6</v>
      </c>
      <c r="E1747">
        <v>333.6</v>
      </c>
      <c r="F1747" s="1">
        <v>45721</v>
      </c>
      <c r="G1747" s="1">
        <v>45725</v>
      </c>
      <c r="H1747" t="s">
        <v>26</v>
      </c>
      <c r="I1747" t="s">
        <v>17</v>
      </c>
      <c r="J1747">
        <v>5</v>
      </c>
      <c r="K1747" t="s">
        <v>18</v>
      </c>
      <c r="L1747" t="s">
        <v>32</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1846</v>
      </c>
      <c r="B1748" t="s">
        <v>36</v>
      </c>
      <c r="C1748">
        <v>6</v>
      </c>
      <c r="D1748">
        <v>56.4</v>
      </c>
      <c r="E1748">
        <v>338.4</v>
      </c>
      <c r="F1748" s="1">
        <v>45721</v>
      </c>
      <c r="G1748" s="1">
        <v>45722</v>
      </c>
      <c r="H1748" t="s">
        <v>26</v>
      </c>
      <c r="I1748" t="s">
        <v>34</v>
      </c>
      <c r="J1748">
        <v>4</v>
      </c>
      <c r="K1748" t="s">
        <v>18</v>
      </c>
      <c r="L1748" t="s">
        <v>32</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1847</v>
      </c>
      <c r="B1749" t="s">
        <v>31</v>
      </c>
      <c r="C1749">
        <v>8</v>
      </c>
      <c r="D1749">
        <v>43.1</v>
      </c>
      <c r="E1749">
        <v>344.8</v>
      </c>
      <c r="F1749" s="1">
        <v>45721</v>
      </c>
      <c r="G1749" s="1">
        <v>45725</v>
      </c>
      <c r="H1749" t="s">
        <v>26</v>
      </c>
      <c r="I1749" t="s">
        <v>69</v>
      </c>
      <c r="J1749">
        <v>4</v>
      </c>
      <c r="K1749" t="s">
        <v>18</v>
      </c>
      <c r="L1749" t="s">
        <v>32</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1848</v>
      </c>
      <c r="B1750" t="s">
        <v>21</v>
      </c>
      <c r="C1750">
        <v>2</v>
      </c>
      <c r="D1750">
        <v>77.3</v>
      </c>
      <c r="E1750">
        <v>154.6</v>
      </c>
      <c r="F1750" s="1">
        <v>45721</v>
      </c>
      <c r="G1750" s="1">
        <v>45723</v>
      </c>
      <c r="H1750" t="s">
        <v>22</v>
      </c>
      <c r="I1750" t="s">
        <v>17</v>
      </c>
      <c r="J1750">
        <v>4</v>
      </c>
      <c r="K1750" t="s">
        <v>18</v>
      </c>
      <c r="L1750" t="s">
        <v>54</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1849</v>
      </c>
      <c r="B1751" t="s">
        <v>45</v>
      </c>
      <c r="C1751">
        <v>8</v>
      </c>
      <c r="D1751">
        <v>38.299999999999997</v>
      </c>
      <c r="E1751">
        <v>306.39999999999998</v>
      </c>
      <c r="F1751" s="1">
        <v>45721</v>
      </c>
      <c r="G1751" s="1">
        <v>45722</v>
      </c>
      <c r="H1751" t="s">
        <v>22</v>
      </c>
      <c r="I1751" t="s">
        <v>17</v>
      </c>
      <c r="J1751">
        <v>4</v>
      </c>
      <c r="K1751" t="s">
        <v>18</v>
      </c>
      <c r="L1751" t="s">
        <v>58</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1850</v>
      </c>
      <c r="B1752" t="s">
        <v>16</v>
      </c>
      <c r="C1752">
        <v>7</v>
      </c>
      <c r="D1752">
        <v>16.8</v>
      </c>
      <c r="E1752">
        <v>117.60000000000001</v>
      </c>
      <c r="F1752" s="1">
        <v>45721</v>
      </c>
      <c r="G1752" s="1">
        <v>45724</v>
      </c>
      <c r="H1752" t="s">
        <v>22</v>
      </c>
      <c r="I1752" t="s">
        <v>39</v>
      </c>
      <c r="J1752">
        <v>3</v>
      </c>
      <c r="K1752" t="s">
        <v>18</v>
      </c>
      <c r="L1752" t="s">
        <v>61</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1851</v>
      </c>
      <c r="B1753" t="s">
        <v>25</v>
      </c>
      <c r="C1753">
        <v>3</v>
      </c>
      <c r="D1753">
        <v>63.2</v>
      </c>
      <c r="E1753">
        <v>189.60000000000002</v>
      </c>
      <c r="F1753" s="1">
        <v>45721</v>
      </c>
      <c r="G1753" s="1">
        <v>45722</v>
      </c>
      <c r="H1753" t="s">
        <v>26</v>
      </c>
      <c r="I1753" t="s">
        <v>17</v>
      </c>
      <c r="J1753">
        <v>5</v>
      </c>
      <c r="K1753" t="s">
        <v>18</v>
      </c>
      <c r="L1753" t="s">
        <v>61</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1852</v>
      </c>
      <c r="B1754" t="s">
        <v>80</v>
      </c>
      <c r="C1754">
        <v>23</v>
      </c>
      <c r="D1754">
        <v>39.700000000000003</v>
      </c>
      <c r="E1754">
        <v>913.1</v>
      </c>
      <c r="F1754" s="1">
        <v>45721</v>
      </c>
      <c r="G1754" s="1">
        <v>45722</v>
      </c>
      <c r="H1754" t="s">
        <v>22</v>
      </c>
      <c r="I1754" t="s">
        <v>17</v>
      </c>
      <c r="J1754">
        <v>4</v>
      </c>
      <c r="K1754" t="s">
        <v>18</v>
      </c>
      <c r="L1754" t="s">
        <v>61</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1853</v>
      </c>
      <c r="B1755" t="s">
        <v>53</v>
      </c>
      <c r="C1755">
        <v>3</v>
      </c>
      <c r="D1755">
        <v>45.8</v>
      </c>
      <c r="E1755">
        <v>137.39999999999998</v>
      </c>
      <c r="F1755" s="1">
        <v>45721</v>
      </c>
      <c r="G1755" s="1">
        <v>45722</v>
      </c>
      <c r="H1755" t="s">
        <v>26</v>
      </c>
      <c r="I1755" t="s">
        <v>34</v>
      </c>
      <c r="J1755">
        <v>5</v>
      </c>
      <c r="K1755" t="s">
        <v>18</v>
      </c>
      <c r="L1755" t="s">
        <v>61</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1854</v>
      </c>
      <c r="B1756" t="s">
        <v>16</v>
      </c>
      <c r="C1756">
        <v>6</v>
      </c>
      <c r="D1756">
        <v>12.4</v>
      </c>
      <c r="E1756">
        <v>74.400000000000006</v>
      </c>
      <c r="F1756" s="1">
        <v>45721</v>
      </c>
      <c r="G1756" s="1">
        <v>45724</v>
      </c>
      <c r="H1756" t="s">
        <v>22</v>
      </c>
      <c r="I1756" t="s">
        <v>17</v>
      </c>
      <c r="J1756">
        <v>4</v>
      </c>
      <c r="K1756" t="s">
        <v>18</v>
      </c>
      <c r="L1756" t="s">
        <v>61</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1855</v>
      </c>
      <c r="B1757" t="s">
        <v>80</v>
      </c>
      <c r="C1757">
        <v>3</v>
      </c>
      <c r="D1757">
        <v>50.8</v>
      </c>
      <c r="E1757">
        <v>152.39999999999998</v>
      </c>
      <c r="F1757" s="1">
        <v>45722</v>
      </c>
      <c r="G1757" s="1">
        <v>45722</v>
      </c>
      <c r="H1757" t="s">
        <v>26</v>
      </c>
      <c r="I1757" t="s">
        <v>69</v>
      </c>
      <c r="J1757">
        <v>4</v>
      </c>
      <c r="K1757" t="s">
        <v>18</v>
      </c>
      <c r="L1757" t="s">
        <v>102</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1856</v>
      </c>
      <c r="B1758" t="s">
        <v>45</v>
      </c>
      <c r="C1758">
        <v>1</v>
      </c>
      <c r="D1758">
        <v>76</v>
      </c>
      <c r="E1758">
        <v>76</v>
      </c>
      <c r="F1758" s="1">
        <v>45722</v>
      </c>
      <c r="G1758" s="1">
        <v>45726</v>
      </c>
      <c r="H1758" t="s">
        <v>88</v>
      </c>
      <c r="I1758" t="s">
        <v>39</v>
      </c>
      <c r="J1758">
        <v>5</v>
      </c>
      <c r="K1758" t="s">
        <v>18</v>
      </c>
      <c r="L1758" t="s">
        <v>102</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1857</v>
      </c>
      <c r="B1759" t="s">
        <v>21</v>
      </c>
      <c r="C1759">
        <v>2</v>
      </c>
      <c r="D1759">
        <v>51.9</v>
      </c>
      <c r="E1759">
        <v>103.8</v>
      </c>
      <c r="F1759" s="1">
        <v>45722</v>
      </c>
      <c r="G1759" s="1">
        <v>45723</v>
      </c>
      <c r="H1759" t="s">
        <v>22</v>
      </c>
      <c r="I1759" t="s">
        <v>34</v>
      </c>
      <c r="J1759">
        <v>5</v>
      </c>
      <c r="K1759" t="s">
        <v>18</v>
      </c>
      <c r="L1759" t="s">
        <v>200</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1858</v>
      </c>
      <c r="B1760" t="s">
        <v>25</v>
      </c>
      <c r="C1760">
        <v>2</v>
      </c>
      <c r="D1760">
        <v>93.4</v>
      </c>
      <c r="E1760">
        <v>186.8</v>
      </c>
      <c r="F1760" s="1">
        <v>45722</v>
      </c>
      <c r="G1760" s="1">
        <v>45729</v>
      </c>
      <c r="H1760" t="s">
        <v>22</v>
      </c>
      <c r="I1760" t="s">
        <v>17</v>
      </c>
      <c r="J1760">
        <v>1</v>
      </c>
      <c r="K1760" t="s">
        <v>18</v>
      </c>
      <c r="L1760" t="s">
        <v>76</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1859</v>
      </c>
      <c r="B1761" t="s">
        <v>41</v>
      </c>
      <c r="C1761">
        <v>6</v>
      </c>
      <c r="D1761">
        <v>30.8</v>
      </c>
      <c r="E1761">
        <v>184.8</v>
      </c>
      <c r="F1761" s="1">
        <v>45722</v>
      </c>
      <c r="G1761" s="1">
        <v>45725</v>
      </c>
      <c r="H1761" t="s">
        <v>26</v>
      </c>
      <c r="I1761" t="s">
        <v>34</v>
      </c>
      <c r="J1761">
        <v>4</v>
      </c>
      <c r="K1761" t="s">
        <v>18</v>
      </c>
      <c r="L1761" t="s">
        <v>76</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1860</v>
      </c>
      <c r="B1762" t="s">
        <v>25</v>
      </c>
      <c r="C1762">
        <v>1</v>
      </c>
      <c r="D1762">
        <v>143.19999999999999</v>
      </c>
      <c r="E1762">
        <v>143.19999999999999</v>
      </c>
      <c r="F1762" s="1">
        <v>45722</v>
      </c>
      <c r="G1762" s="1">
        <v>45725</v>
      </c>
      <c r="H1762" t="s">
        <v>22</v>
      </c>
      <c r="I1762" t="s">
        <v>39</v>
      </c>
      <c r="J1762">
        <v>4</v>
      </c>
      <c r="K1762" t="s">
        <v>18</v>
      </c>
      <c r="L1762" t="s">
        <v>76</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1861</v>
      </c>
      <c r="B1763" t="s">
        <v>38</v>
      </c>
      <c r="C1763">
        <v>11</v>
      </c>
      <c r="D1763">
        <v>40.4</v>
      </c>
      <c r="E1763">
        <v>444.4</v>
      </c>
      <c r="F1763" s="1">
        <v>45722</v>
      </c>
      <c r="G1763" s="1">
        <v>45724</v>
      </c>
      <c r="H1763" t="s">
        <v>22</v>
      </c>
      <c r="I1763" t="s">
        <v>39</v>
      </c>
      <c r="J1763">
        <v>5</v>
      </c>
      <c r="K1763" t="s">
        <v>18</v>
      </c>
      <c r="L1763" t="s">
        <v>107</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1862</v>
      </c>
      <c r="B1764" t="s">
        <v>25</v>
      </c>
      <c r="C1764">
        <v>19</v>
      </c>
      <c r="D1764">
        <v>131.5</v>
      </c>
      <c r="E1764">
        <v>2498.5</v>
      </c>
      <c r="F1764" s="1">
        <v>45722</v>
      </c>
      <c r="G1764" s="1">
        <v>45724</v>
      </c>
      <c r="H1764" t="s">
        <v>22</v>
      </c>
      <c r="I1764" t="s">
        <v>34</v>
      </c>
      <c r="J1764">
        <v>3</v>
      </c>
      <c r="K1764" t="s">
        <v>18</v>
      </c>
      <c r="L1764" t="s">
        <v>107</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1863</v>
      </c>
      <c r="B1765" t="s">
        <v>145</v>
      </c>
      <c r="C1765">
        <v>7</v>
      </c>
      <c r="D1765">
        <v>61.6</v>
      </c>
      <c r="E1765">
        <v>431.2</v>
      </c>
      <c r="F1765" s="1">
        <v>45722</v>
      </c>
      <c r="G1765" s="1">
        <v>45723</v>
      </c>
      <c r="H1765" t="s">
        <v>22</v>
      </c>
      <c r="I1765" t="s">
        <v>39</v>
      </c>
      <c r="J1765">
        <v>4</v>
      </c>
      <c r="K1765" t="s">
        <v>18</v>
      </c>
      <c r="L1765" t="s">
        <v>114</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1864</v>
      </c>
      <c r="B1766" t="s">
        <v>45</v>
      </c>
      <c r="C1766">
        <v>5</v>
      </c>
      <c r="D1766">
        <v>32.700000000000003</v>
      </c>
      <c r="E1766">
        <v>163.5</v>
      </c>
      <c r="F1766" s="1">
        <v>45722</v>
      </c>
      <c r="G1766" s="1">
        <v>45724</v>
      </c>
      <c r="H1766" t="s">
        <v>22</v>
      </c>
      <c r="I1766" t="s">
        <v>39</v>
      </c>
      <c r="J1766">
        <v>4</v>
      </c>
      <c r="K1766" t="s">
        <v>18</v>
      </c>
      <c r="L1766" t="s">
        <v>23</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1865</v>
      </c>
      <c r="B1767" t="s">
        <v>16</v>
      </c>
      <c r="C1767">
        <v>10</v>
      </c>
      <c r="D1767">
        <v>13.7</v>
      </c>
      <c r="E1767">
        <v>137</v>
      </c>
      <c r="F1767" s="1">
        <v>45722</v>
      </c>
      <c r="G1767" s="1">
        <v>45723</v>
      </c>
      <c r="H1767" t="s">
        <v>22</v>
      </c>
      <c r="I1767" t="s">
        <v>17</v>
      </c>
      <c r="J1767">
        <v>5</v>
      </c>
      <c r="K1767" t="s">
        <v>18</v>
      </c>
      <c r="L1767" t="s">
        <v>32</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1866</v>
      </c>
      <c r="B1768" t="s">
        <v>16</v>
      </c>
      <c r="C1768">
        <v>4</v>
      </c>
      <c r="D1768">
        <v>32.1</v>
      </c>
      <c r="E1768">
        <v>128.4</v>
      </c>
      <c r="F1768" s="1">
        <v>45722</v>
      </c>
      <c r="G1768" s="1">
        <v>45723</v>
      </c>
      <c r="H1768" t="s">
        <v>22</v>
      </c>
      <c r="I1768" t="s">
        <v>69</v>
      </c>
      <c r="J1768">
        <v>3</v>
      </c>
      <c r="K1768" t="s">
        <v>18</v>
      </c>
      <c r="L1768" t="s">
        <v>32</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1867</v>
      </c>
      <c r="B1769" t="s">
        <v>80</v>
      </c>
      <c r="C1769">
        <v>8</v>
      </c>
      <c r="D1769">
        <v>12</v>
      </c>
      <c r="E1769">
        <v>96</v>
      </c>
      <c r="F1769" s="1">
        <v>45722</v>
      </c>
      <c r="G1769" s="1">
        <v>45723</v>
      </c>
      <c r="H1769" t="s">
        <v>22</v>
      </c>
      <c r="I1769" t="s">
        <v>34</v>
      </c>
      <c r="J1769">
        <v>4</v>
      </c>
      <c r="K1769" t="s">
        <v>18</v>
      </c>
      <c r="L1769" t="s">
        <v>185</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1868</v>
      </c>
      <c r="B1770" t="s">
        <v>68</v>
      </c>
      <c r="C1770">
        <v>1</v>
      </c>
      <c r="D1770">
        <v>64.3</v>
      </c>
      <c r="E1770">
        <v>64.3</v>
      </c>
      <c r="F1770" s="1">
        <v>45722</v>
      </c>
      <c r="G1770" s="1">
        <v>45724</v>
      </c>
      <c r="H1770" t="s">
        <v>26</v>
      </c>
      <c r="I1770" t="s">
        <v>39</v>
      </c>
      <c r="J1770">
        <v>5</v>
      </c>
      <c r="K1770" t="s">
        <v>18</v>
      </c>
      <c r="L1770" t="s">
        <v>54</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1869</v>
      </c>
      <c r="B1771" t="s">
        <v>21</v>
      </c>
      <c r="C1771">
        <v>3</v>
      </c>
      <c r="D1771">
        <v>58.2</v>
      </c>
      <c r="E1771">
        <v>174.60000000000002</v>
      </c>
      <c r="F1771" s="1">
        <v>45722</v>
      </c>
      <c r="G1771" s="1">
        <v>45724</v>
      </c>
      <c r="H1771" t="s">
        <v>26</v>
      </c>
      <c r="I1771" t="s">
        <v>34</v>
      </c>
      <c r="J1771">
        <v>5</v>
      </c>
      <c r="K1771" t="s">
        <v>18</v>
      </c>
      <c r="L1771" t="s">
        <v>54</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1870</v>
      </c>
      <c r="B1772" t="s">
        <v>38</v>
      </c>
      <c r="C1772">
        <v>4</v>
      </c>
      <c r="D1772">
        <v>59.2</v>
      </c>
      <c r="E1772">
        <v>236.8</v>
      </c>
      <c r="F1772" s="1">
        <v>45722</v>
      </c>
      <c r="G1772" s="1">
        <v>45722</v>
      </c>
      <c r="H1772" t="s">
        <v>22</v>
      </c>
      <c r="I1772" t="s">
        <v>34</v>
      </c>
      <c r="J1772">
        <v>5</v>
      </c>
      <c r="K1772" t="s">
        <v>18</v>
      </c>
      <c r="L1772" t="s">
        <v>54</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1871</v>
      </c>
      <c r="B1773" t="s">
        <v>53</v>
      </c>
      <c r="C1773">
        <v>11</v>
      </c>
      <c r="D1773">
        <v>35.6</v>
      </c>
      <c r="E1773">
        <v>391.6</v>
      </c>
      <c r="F1773" s="1">
        <v>45722</v>
      </c>
      <c r="G1773" s="1">
        <v>45729</v>
      </c>
      <c r="H1773" t="s">
        <v>22</v>
      </c>
      <c r="I1773" t="s">
        <v>17</v>
      </c>
      <c r="J1773">
        <v>5</v>
      </c>
      <c r="K1773" t="s">
        <v>18</v>
      </c>
      <c r="L1773" t="s">
        <v>61</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1872</v>
      </c>
      <c r="B1774" t="s">
        <v>127</v>
      </c>
      <c r="C1774">
        <v>8</v>
      </c>
      <c r="D1774">
        <v>37</v>
      </c>
      <c r="E1774">
        <v>296</v>
      </c>
      <c r="F1774" s="1">
        <v>45722</v>
      </c>
      <c r="G1774" s="1">
        <v>45726</v>
      </c>
      <c r="H1774" t="s">
        <v>26</v>
      </c>
      <c r="I1774" t="s">
        <v>39</v>
      </c>
      <c r="J1774">
        <v>3</v>
      </c>
      <c r="K1774" t="s">
        <v>18</v>
      </c>
      <c r="L1774" t="s">
        <v>61</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1873</v>
      </c>
      <c r="B1775" t="s">
        <v>21</v>
      </c>
      <c r="C1775">
        <v>13</v>
      </c>
      <c r="D1775">
        <v>80.8</v>
      </c>
      <c r="E1775">
        <v>1050.3999999999999</v>
      </c>
      <c r="F1775" s="1">
        <v>45722</v>
      </c>
      <c r="G1775" s="1">
        <v>45724</v>
      </c>
      <c r="H1775" t="s">
        <v>26</v>
      </c>
      <c r="I1775" t="s">
        <v>17</v>
      </c>
      <c r="J1775">
        <v>4</v>
      </c>
      <c r="K1775" t="s">
        <v>18</v>
      </c>
      <c r="L1775" t="s">
        <v>61</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1874</v>
      </c>
      <c r="B1776" t="s">
        <v>43</v>
      </c>
      <c r="C1776">
        <v>2</v>
      </c>
      <c r="D1776">
        <v>63.2</v>
      </c>
      <c r="E1776">
        <v>126.4</v>
      </c>
      <c r="F1776" s="1">
        <v>45722</v>
      </c>
      <c r="G1776" s="1">
        <v>45723</v>
      </c>
      <c r="H1776" t="s">
        <v>22</v>
      </c>
      <c r="I1776" t="s">
        <v>17</v>
      </c>
      <c r="J1776">
        <v>3</v>
      </c>
      <c r="K1776" t="s">
        <v>18</v>
      </c>
      <c r="L1776" t="s">
        <v>61</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1875</v>
      </c>
      <c r="B1777" t="s">
        <v>29</v>
      </c>
      <c r="C1777">
        <v>2</v>
      </c>
      <c r="D1777">
        <v>40.799999999999997</v>
      </c>
      <c r="E1777">
        <v>81.599999999999994</v>
      </c>
      <c r="F1777" s="1">
        <v>45722</v>
      </c>
      <c r="G1777" s="1">
        <v>45724</v>
      </c>
      <c r="H1777" t="s">
        <v>22</v>
      </c>
      <c r="I1777" t="s">
        <v>17</v>
      </c>
      <c r="J1777">
        <v>3</v>
      </c>
      <c r="K1777" t="s">
        <v>18</v>
      </c>
      <c r="L1777" t="s">
        <v>102</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1876</v>
      </c>
      <c r="B1778" t="s">
        <v>75</v>
      </c>
      <c r="C1778">
        <v>6</v>
      </c>
      <c r="D1778">
        <v>25.7</v>
      </c>
      <c r="E1778">
        <v>154.19999999999999</v>
      </c>
      <c r="F1778" s="1">
        <v>45722</v>
      </c>
      <c r="G1778" s="1">
        <v>45724</v>
      </c>
      <c r="H1778" t="s">
        <v>22</v>
      </c>
      <c r="I1778" t="s">
        <v>69</v>
      </c>
      <c r="J1778">
        <v>4</v>
      </c>
      <c r="K1778" t="s">
        <v>18</v>
      </c>
      <c r="L1778" t="s">
        <v>107</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1877</v>
      </c>
      <c r="B1779" t="s">
        <v>127</v>
      </c>
      <c r="C1779">
        <v>2</v>
      </c>
      <c r="D1779">
        <v>49.9</v>
      </c>
      <c r="E1779">
        <v>99.8</v>
      </c>
      <c r="F1779" s="1">
        <v>45722</v>
      </c>
      <c r="G1779" s="1">
        <v>45725</v>
      </c>
      <c r="H1779" t="s">
        <v>22</v>
      </c>
      <c r="I1779" t="s">
        <v>17</v>
      </c>
      <c r="J1779">
        <v>4</v>
      </c>
      <c r="K1779" t="s">
        <v>18</v>
      </c>
      <c r="L1779" t="s">
        <v>112</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1878</v>
      </c>
      <c r="B1780" t="s">
        <v>43</v>
      </c>
      <c r="C1780">
        <v>2</v>
      </c>
      <c r="D1780">
        <v>20.2</v>
      </c>
      <c r="E1780">
        <v>40.4</v>
      </c>
      <c r="F1780" s="1">
        <v>45722</v>
      </c>
      <c r="G1780" s="1">
        <v>45724</v>
      </c>
      <c r="H1780" t="s">
        <v>26</v>
      </c>
      <c r="I1780" t="s">
        <v>50</v>
      </c>
      <c r="J1780">
        <v>4</v>
      </c>
      <c r="K1780" t="s">
        <v>18</v>
      </c>
      <c r="L1780" t="s">
        <v>114</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1879</v>
      </c>
      <c r="B1781" t="s">
        <v>38</v>
      </c>
      <c r="C1781">
        <v>3</v>
      </c>
      <c r="D1781">
        <v>48.4</v>
      </c>
      <c r="E1781">
        <v>145.19999999999999</v>
      </c>
      <c r="F1781" s="1">
        <v>45722</v>
      </c>
      <c r="G1781" s="1">
        <v>45727</v>
      </c>
      <c r="H1781" t="s">
        <v>26</v>
      </c>
      <c r="I1781" t="s">
        <v>17</v>
      </c>
      <c r="J1781">
        <v>5</v>
      </c>
      <c r="K1781" t="s">
        <v>18</v>
      </c>
      <c r="L1781" t="s">
        <v>114</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1880</v>
      </c>
      <c r="B1782" t="s">
        <v>38</v>
      </c>
      <c r="C1782">
        <v>2</v>
      </c>
      <c r="D1782">
        <v>81</v>
      </c>
      <c r="E1782">
        <v>162</v>
      </c>
      <c r="F1782" s="1">
        <v>45722</v>
      </c>
      <c r="G1782" s="1">
        <v>45723</v>
      </c>
      <c r="H1782" t="s">
        <v>26</v>
      </c>
      <c r="I1782" t="s">
        <v>34</v>
      </c>
      <c r="J1782">
        <v>5</v>
      </c>
      <c r="K1782" t="s">
        <v>18</v>
      </c>
      <c r="L1782" t="s">
        <v>114</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1881</v>
      </c>
      <c r="B1783" t="s">
        <v>43</v>
      </c>
      <c r="C1783">
        <v>6</v>
      </c>
      <c r="D1783">
        <v>19.899999999999999</v>
      </c>
      <c r="E1783">
        <v>119.39999999999999</v>
      </c>
      <c r="F1783" s="1">
        <v>45722</v>
      </c>
      <c r="G1783" s="1">
        <v>45725</v>
      </c>
      <c r="H1783" t="s">
        <v>26</v>
      </c>
      <c r="I1783" t="s">
        <v>17</v>
      </c>
      <c r="J1783">
        <v>3</v>
      </c>
      <c r="K1783" t="s">
        <v>18</v>
      </c>
      <c r="L1783" t="s">
        <v>146</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1882</v>
      </c>
      <c r="B1784" t="s">
        <v>31</v>
      </c>
      <c r="C1784">
        <v>4</v>
      </c>
      <c r="D1784">
        <v>32.200000000000003</v>
      </c>
      <c r="E1784">
        <v>128.80000000000001</v>
      </c>
      <c r="F1784" s="1">
        <v>45722</v>
      </c>
      <c r="G1784" s="1">
        <v>45732</v>
      </c>
      <c r="H1784" t="s">
        <v>22</v>
      </c>
      <c r="I1784" t="s">
        <v>17</v>
      </c>
      <c r="J1784">
        <v>4</v>
      </c>
      <c r="K1784" t="s">
        <v>18</v>
      </c>
      <c r="L1784" t="s">
        <v>146</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1883</v>
      </c>
      <c r="B1785" t="s">
        <v>36</v>
      </c>
      <c r="C1785">
        <v>3</v>
      </c>
      <c r="D1785">
        <v>76.8</v>
      </c>
      <c r="E1785">
        <v>230.39999999999998</v>
      </c>
      <c r="F1785" s="1">
        <v>45722</v>
      </c>
      <c r="G1785" s="1">
        <v>45723</v>
      </c>
      <c r="H1785" t="s">
        <v>26</v>
      </c>
      <c r="I1785" t="s">
        <v>17</v>
      </c>
      <c r="J1785">
        <v>3</v>
      </c>
      <c r="K1785" t="s">
        <v>18</v>
      </c>
      <c r="L1785" t="s">
        <v>32</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1884</v>
      </c>
      <c r="B1786" t="s">
        <v>38</v>
      </c>
      <c r="C1786">
        <v>2</v>
      </c>
      <c r="D1786">
        <v>41.9</v>
      </c>
      <c r="E1786">
        <v>83.8</v>
      </c>
      <c r="F1786" s="1">
        <v>45722</v>
      </c>
      <c r="G1786" s="1">
        <v>45724</v>
      </c>
      <c r="H1786" t="s">
        <v>26</v>
      </c>
      <c r="I1786" t="s">
        <v>17</v>
      </c>
      <c r="J1786">
        <v>4</v>
      </c>
      <c r="K1786" t="s">
        <v>18</v>
      </c>
      <c r="L1786" t="s">
        <v>32</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1885</v>
      </c>
      <c r="B1787" t="s">
        <v>16</v>
      </c>
      <c r="C1787">
        <v>7</v>
      </c>
      <c r="D1787">
        <v>34</v>
      </c>
      <c r="E1787">
        <v>238</v>
      </c>
      <c r="F1787" s="1">
        <v>45722</v>
      </c>
      <c r="G1787" s="1">
        <v>45724</v>
      </c>
      <c r="H1787" t="s">
        <v>26</v>
      </c>
      <c r="I1787" t="s">
        <v>34</v>
      </c>
      <c r="J1787">
        <v>5</v>
      </c>
      <c r="K1787" t="s">
        <v>18</v>
      </c>
      <c r="L1787" t="s">
        <v>32</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1886</v>
      </c>
      <c r="B1788" t="s">
        <v>41</v>
      </c>
      <c r="C1788">
        <v>7</v>
      </c>
      <c r="D1788">
        <v>61.3</v>
      </c>
      <c r="E1788">
        <v>429.09999999999997</v>
      </c>
      <c r="F1788" s="1">
        <v>45722</v>
      </c>
      <c r="G1788" s="1">
        <v>45722</v>
      </c>
      <c r="H1788" t="s">
        <v>26</v>
      </c>
      <c r="I1788" t="s">
        <v>69</v>
      </c>
      <c r="J1788">
        <v>5</v>
      </c>
      <c r="K1788" t="s">
        <v>18</v>
      </c>
      <c r="L1788" t="s">
        <v>32</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1887</v>
      </c>
      <c r="B1789" t="s">
        <v>45</v>
      </c>
      <c r="C1789">
        <v>1</v>
      </c>
      <c r="D1789">
        <v>54.7</v>
      </c>
      <c r="E1789">
        <v>54.7</v>
      </c>
      <c r="F1789" s="1">
        <v>45723</v>
      </c>
      <c r="G1789" s="1">
        <v>45724</v>
      </c>
      <c r="H1789" t="s">
        <v>22</v>
      </c>
      <c r="I1789" t="s">
        <v>17</v>
      </c>
      <c r="J1789">
        <v>3</v>
      </c>
      <c r="K1789" t="s">
        <v>18</v>
      </c>
      <c r="L1789" t="s">
        <v>32</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1888</v>
      </c>
      <c r="B1790" t="s">
        <v>38</v>
      </c>
      <c r="C1790">
        <v>10</v>
      </c>
      <c r="D1790">
        <v>84.7</v>
      </c>
      <c r="E1790">
        <v>847</v>
      </c>
      <c r="F1790" s="1">
        <v>45723</v>
      </c>
      <c r="G1790" s="1">
        <v>45727</v>
      </c>
      <c r="H1790" t="s">
        <v>26</v>
      </c>
      <c r="I1790" t="s">
        <v>17</v>
      </c>
      <c r="J1790">
        <v>4</v>
      </c>
      <c r="K1790" t="s">
        <v>18</v>
      </c>
      <c r="L1790" t="s">
        <v>32</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1889</v>
      </c>
      <c r="B1791" t="s">
        <v>21</v>
      </c>
      <c r="C1791">
        <v>3</v>
      </c>
      <c r="D1791">
        <v>93.4</v>
      </c>
      <c r="E1791">
        <v>280.20000000000005</v>
      </c>
      <c r="F1791" s="1">
        <v>45723</v>
      </c>
      <c r="G1791" s="1">
        <v>45727</v>
      </c>
      <c r="H1791" t="s">
        <v>26</v>
      </c>
      <c r="I1791" t="s">
        <v>50</v>
      </c>
      <c r="J1791">
        <v>4</v>
      </c>
      <c r="K1791" t="s">
        <v>18</v>
      </c>
      <c r="L1791" t="s">
        <v>32</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1890</v>
      </c>
      <c r="B1792" t="s">
        <v>43</v>
      </c>
      <c r="C1792">
        <v>5</v>
      </c>
      <c r="D1792">
        <v>27</v>
      </c>
      <c r="E1792">
        <v>135</v>
      </c>
      <c r="F1792" s="1">
        <v>45723</v>
      </c>
      <c r="G1792" s="1">
        <v>45726</v>
      </c>
      <c r="H1792" t="s">
        <v>22</v>
      </c>
      <c r="I1792" t="s">
        <v>17</v>
      </c>
      <c r="J1792">
        <v>3</v>
      </c>
      <c r="K1792" t="s">
        <v>18</v>
      </c>
      <c r="L1792" t="s">
        <v>32</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1891</v>
      </c>
      <c r="B1793" t="s">
        <v>16</v>
      </c>
      <c r="C1793">
        <v>4</v>
      </c>
      <c r="D1793">
        <v>10.9</v>
      </c>
      <c r="E1793">
        <v>43.6</v>
      </c>
      <c r="F1793" s="1">
        <v>45723</v>
      </c>
      <c r="G1793" s="1">
        <v>45724</v>
      </c>
      <c r="H1793" t="s">
        <v>22</v>
      </c>
      <c r="I1793" t="s">
        <v>39</v>
      </c>
      <c r="J1793">
        <v>4</v>
      </c>
      <c r="K1793" t="s">
        <v>18</v>
      </c>
      <c r="L1793" t="s">
        <v>32</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1892</v>
      </c>
      <c r="B1794" t="s">
        <v>127</v>
      </c>
      <c r="C1794">
        <v>3</v>
      </c>
      <c r="D1794">
        <v>48</v>
      </c>
      <c r="E1794">
        <v>144</v>
      </c>
      <c r="F1794" s="1">
        <v>45723</v>
      </c>
      <c r="G1794" s="1">
        <v>45728</v>
      </c>
      <c r="H1794" t="s">
        <v>26</v>
      </c>
      <c r="I1794" t="s">
        <v>69</v>
      </c>
      <c r="J1794">
        <v>4</v>
      </c>
      <c r="K1794" t="s">
        <v>18</v>
      </c>
      <c r="L1794" t="s">
        <v>32</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1893</v>
      </c>
      <c r="B1795" t="s">
        <v>36</v>
      </c>
      <c r="C1795">
        <v>2</v>
      </c>
      <c r="D1795">
        <v>67.900000000000006</v>
      </c>
      <c r="E1795">
        <v>135.80000000000001</v>
      </c>
      <c r="F1795" s="1">
        <v>45723</v>
      </c>
      <c r="G1795" s="1">
        <v>45724</v>
      </c>
      <c r="H1795" t="s">
        <v>22</v>
      </c>
      <c r="I1795" t="s">
        <v>17</v>
      </c>
      <c r="J1795">
        <v>5</v>
      </c>
      <c r="K1795" t="s">
        <v>18</v>
      </c>
      <c r="L1795" t="s">
        <v>157</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1894</v>
      </c>
      <c r="B1796" t="s">
        <v>31</v>
      </c>
      <c r="C1796">
        <v>3</v>
      </c>
      <c r="D1796">
        <v>36</v>
      </c>
      <c r="E1796">
        <v>108</v>
      </c>
      <c r="F1796" s="1">
        <v>45723</v>
      </c>
      <c r="G1796" s="1">
        <v>45724</v>
      </c>
      <c r="H1796" t="s">
        <v>22</v>
      </c>
      <c r="I1796" t="s">
        <v>34</v>
      </c>
      <c r="J1796">
        <v>4</v>
      </c>
      <c r="K1796" t="s">
        <v>18</v>
      </c>
      <c r="L1796" t="s">
        <v>54</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1895</v>
      </c>
      <c r="B1797" t="s">
        <v>25</v>
      </c>
      <c r="C1797">
        <v>1</v>
      </c>
      <c r="D1797">
        <v>128.80000000000001</v>
      </c>
      <c r="E1797">
        <v>128.80000000000001</v>
      </c>
      <c r="F1797" s="1">
        <v>45723</v>
      </c>
      <c r="G1797" s="1">
        <v>45724</v>
      </c>
      <c r="H1797" t="s">
        <v>22</v>
      </c>
      <c r="I1797" t="s">
        <v>69</v>
      </c>
      <c r="J1797">
        <v>5</v>
      </c>
      <c r="K1797" t="s">
        <v>18</v>
      </c>
      <c r="L1797" t="s">
        <v>54</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1896</v>
      </c>
      <c r="B1798" t="s">
        <v>145</v>
      </c>
      <c r="C1798">
        <v>7</v>
      </c>
      <c r="D1798">
        <v>33.299999999999997</v>
      </c>
      <c r="E1798">
        <v>233.09999999999997</v>
      </c>
      <c r="F1798" s="1">
        <v>45723</v>
      </c>
      <c r="G1798" s="1">
        <v>45724</v>
      </c>
      <c r="H1798" t="s">
        <v>26</v>
      </c>
      <c r="I1798" t="s">
        <v>50</v>
      </c>
      <c r="J1798">
        <v>4</v>
      </c>
      <c r="K1798" t="s">
        <v>18</v>
      </c>
      <c r="L1798" t="s">
        <v>61</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1897</v>
      </c>
      <c r="B1799" t="s">
        <v>53</v>
      </c>
      <c r="C1799">
        <v>3</v>
      </c>
      <c r="D1799">
        <v>37.799999999999997</v>
      </c>
      <c r="E1799">
        <v>113.39999999999999</v>
      </c>
      <c r="F1799" s="1">
        <v>45723</v>
      </c>
      <c r="G1799" s="1">
        <v>45725</v>
      </c>
      <c r="H1799" t="s">
        <v>22</v>
      </c>
      <c r="I1799" t="s">
        <v>34</v>
      </c>
      <c r="J1799">
        <v>5</v>
      </c>
      <c r="K1799" t="s">
        <v>18</v>
      </c>
      <c r="L1799" t="s">
        <v>61</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1898</v>
      </c>
      <c r="B1800" t="s">
        <v>36</v>
      </c>
      <c r="C1800">
        <v>3</v>
      </c>
      <c r="D1800">
        <v>26</v>
      </c>
      <c r="E1800">
        <v>78</v>
      </c>
      <c r="F1800" s="1">
        <v>45723</v>
      </c>
      <c r="G1800" s="1">
        <v>45728</v>
      </c>
      <c r="H1800" t="s">
        <v>26</v>
      </c>
      <c r="I1800" t="s">
        <v>17</v>
      </c>
      <c r="J1800">
        <v>4</v>
      </c>
      <c r="K1800" t="s">
        <v>18</v>
      </c>
      <c r="L1800" t="s">
        <v>61</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1899</v>
      </c>
      <c r="B1801" t="s">
        <v>43</v>
      </c>
      <c r="C1801">
        <v>19</v>
      </c>
      <c r="D1801">
        <v>28.3</v>
      </c>
      <c r="E1801">
        <v>537.70000000000005</v>
      </c>
      <c r="F1801" s="1">
        <v>45723</v>
      </c>
      <c r="G1801" s="1">
        <v>45724</v>
      </c>
      <c r="H1801" t="s">
        <v>26</v>
      </c>
      <c r="I1801" t="s">
        <v>50</v>
      </c>
      <c r="J1801">
        <v>2</v>
      </c>
      <c r="K1801" t="s">
        <v>18</v>
      </c>
      <c r="L1801" t="s">
        <v>61</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1900</v>
      </c>
      <c r="B1802" t="s">
        <v>43</v>
      </c>
      <c r="C1802">
        <v>4</v>
      </c>
      <c r="D1802">
        <v>31.3</v>
      </c>
      <c r="E1802">
        <v>125.2</v>
      </c>
      <c r="F1802" s="1">
        <v>45723</v>
      </c>
      <c r="G1802" s="1">
        <v>45723</v>
      </c>
      <c r="H1802" t="s">
        <v>26</v>
      </c>
      <c r="I1802" t="s">
        <v>17</v>
      </c>
      <c r="J1802">
        <v>4</v>
      </c>
      <c r="K1802" t="s">
        <v>18</v>
      </c>
      <c r="L1802" t="s">
        <v>61</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1901</v>
      </c>
      <c r="B1803" t="s">
        <v>41</v>
      </c>
      <c r="C1803">
        <v>3</v>
      </c>
      <c r="D1803">
        <v>69.5</v>
      </c>
      <c r="E1803">
        <v>208.5</v>
      </c>
      <c r="F1803" s="1">
        <v>45723</v>
      </c>
      <c r="G1803" s="1">
        <v>45724</v>
      </c>
      <c r="H1803" t="s">
        <v>26</v>
      </c>
      <c r="I1803" t="s">
        <v>50</v>
      </c>
      <c r="J1803">
        <v>5</v>
      </c>
      <c r="K1803" t="s">
        <v>18</v>
      </c>
      <c r="L1803" t="s">
        <v>61</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1902</v>
      </c>
      <c r="B1804" t="s">
        <v>16</v>
      </c>
      <c r="C1804">
        <v>2</v>
      </c>
      <c r="D1804">
        <v>16.7</v>
      </c>
      <c r="E1804">
        <v>33.4</v>
      </c>
      <c r="F1804" s="1">
        <v>45723</v>
      </c>
      <c r="G1804" s="1">
        <v>45724</v>
      </c>
      <c r="H1804" t="s">
        <v>26</v>
      </c>
      <c r="I1804" t="s">
        <v>50</v>
      </c>
      <c r="J1804">
        <v>3</v>
      </c>
      <c r="K1804" t="s">
        <v>18</v>
      </c>
      <c r="L1804" t="s">
        <v>61</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1903</v>
      </c>
      <c r="B1805" t="s">
        <v>45</v>
      </c>
      <c r="C1805">
        <v>2</v>
      </c>
      <c r="D1805">
        <v>62.6</v>
      </c>
      <c r="E1805">
        <v>125.2</v>
      </c>
      <c r="F1805" s="1">
        <v>45723</v>
      </c>
      <c r="G1805" s="1">
        <v>45724</v>
      </c>
      <c r="H1805" t="s">
        <v>22</v>
      </c>
      <c r="I1805" t="s">
        <v>39</v>
      </c>
      <c r="J1805">
        <v>5</v>
      </c>
      <c r="K1805" t="s">
        <v>18</v>
      </c>
      <c r="L1805" t="s">
        <v>71</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1904</v>
      </c>
      <c r="B1806" t="s">
        <v>41</v>
      </c>
      <c r="C1806">
        <v>1</v>
      </c>
      <c r="D1806">
        <v>81.2</v>
      </c>
      <c r="E1806">
        <v>81.2</v>
      </c>
      <c r="F1806" s="1">
        <v>45723</v>
      </c>
      <c r="G1806" s="1">
        <v>45729</v>
      </c>
      <c r="H1806" t="s">
        <v>22</v>
      </c>
      <c r="I1806" t="s">
        <v>69</v>
      </c>
      <c r="J1806">
        <v>2</v>
      </c>
      <c r="K1806" t="s">
        <v>18</v>
      </c>
      <c r="L1806" t="s">
        <v>71</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1905</v>
      </c>
      <c r="B1807" t="s">
        <v>16</v>
      </c>
      <c r="C1807">
        <v>10</v>
      </c>
      <c r="D1807">
        <v>12.7</v>
      </c>
      <c r="E1807">
        <v>127</v>
      </c>
      <c r="F1807" s="1">
        <v>45723</v>
      </c>
      <c r="G1807" s="1">
        <v>45724</v>
      </c>
      <c r="H1807" t="s">
        <v>26</v>
      </c>
      <c r="I1807" t="s">
        <v>17</v>
      </c>
      <c r="J1807">
        <v>5</v>
      </c>
      <c r="K1807" t="s">
        <v>18</v>
      </c>
      <c r="L1807" t="s">
        <v>71</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1906</v>
      </c>
      <c r="B1808" t="s">
        <v>41</v>
      </c>
      <c r="C1808">
        <v>4</v>
      </c>
      <c r="D1808">
        <v>77.7</v>
      </c>
      <c r="E1808">
        <v>310.8</v>
      </c>
      <c r="F1808" s="1">
        <v>45724</v>
      </c>
      <c r="G1808" s="1">
        <v>45728</v>
      </c>
      <c r="H1808" t="s">
        <v>22</v>
      </c>
      <c r="I1808" t="s">
        <v>34</v>
      </c>
      <c r="J1808">
        <v>4</v>
      </c>
      <c r="K1808" t="s">
        <v>18</v>
      </c>
      <c r="L1808" t="s">
        <v>76</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1907</v>
      </c>
      <c r="B1809" t="s">
        <v>36</v>
      </c>
      <c r="C1809">
        <v>2</v>
      </c>
      <c r="D1809">
        <v>37.299999999999997</v>
      </c>
      <c r="E1809">
        <v>74.599999999999994</v>
      </c>
      <c r="F1809" s="1">
        <v>45724</v>
      </c>
      <c r="G1809" s="1">
        <v>45725</v>
      </c>
      <c r="H1809" t="s">
        <v>26</v>
      </c>
      <c r="I1809" t="s">
        <v>17</v>
      </c>
      <c r="J1809">
        <v>5</v>
      </c>
      <c r="K1809" t="s">
        <v>18</v>
      </c>
      <c r="L1809" t="s">
        <v>107</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1908</v>
      </c>
      <c r="B1810" t="s">
        <v>53</v>
      </c>
      <c r="C1810">
        <v>4</v>
      </c>
      <c r="D1810">
        <v>35.6</v>
      </c>
      <c r="E1810">
        <v>142.4</v>
      </c>
      <c r="F1810" s="1">
        <v>45724</v>
      </c>
      <c r="G1810" s="1">
        <v>45726</v>
      </c>
      <c r="H1810" t="s">
        <v>26</v>
      </c>
      <c r="I1810" t="s">
        <v>34</v>
      </c>
      <c r="J1810">
        <v>3</v>
      </c>
      <c r="K1810" t="s">
        <v>18</v>
      </c>
      <c r="L1810" t="s">
        <v>109</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1909</v>
      </c>
      <c r="B1811" t="s">
        <v>25</v>
      </c>
      <c r="C1811">
        <v>3</v>
      </c>
      <c r="D1811">
        <v>95</v>
      </c>
      <c r="E1811">
        <v>285</v>
      </c>
      <c r="F1811" s="1">
        <v>45724</v>
      </c>
      <c r="G1811" s="1">
        <v>45728</v>
      </c>
      <c r="H1811" t="s">
        <v>26</v>
      </c>
      <c r="I1811" t="s">
        <v>39</v>
      </c>
      <c r="J1811">
        <v>5</v>
      </c>
      <c r="K1811" t="s">
        <v>18</v>
      </c>
      <c r="L1811" t="s">
        <v>1910</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1911</v>
      </c>
      <c r="B1812" t="s">
        <v>25</v>
      </c>
      <c r="C1812">
        <v>4</v>
      </c>
      <c r="D1812">
        <v>172.1</v>
      </c>
      <c r="E1812">
        <v>688.4</v>
      </c>
      <c r="F1812" s="1">
        <v>45724</v>
      </c>
      <c r="G1812" s="1">
        <v>45728</v>
      </c>
      <c r="H1812" t="s">
        <v>88</v>
      </c>
      <c r="I1812" t="s">
        <v>39</v>
      </c>
      <c r="J1812">
        <v>5</v>
      </c>
      <c r="K1812" t="s">
        <v>18</v>
      </c>
      <c r="L1812" t="s">
        <v>114</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1912</v>
      </c>
      <c r="B1813" t="s">
        <v>25</v>
      </c>
      <c r="C1813">
        <v>2</v>
      </c>
      <c r="D1813">
        <v>233</v>
      </c>
      <c r="E1813">
        <v>466</v>
      </c>
      <c r="F1813" s="1">
        <v>45724</v>
      </c>
      <c r="G1813" s="1">
        <v>45727</v>
      </c>
      <c r="H1813" t="s">
        <v>26</v>
      </c>
      <c r="I1813" t="s">
        <v>34</v>
      </c>
      <c r="J1813">
        <v>4</v>
      </c>
      <c r="K1813" t="s">
        <v>18</v>
      </c>
      <c r="L1813" t="s">
        <v>114</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1913</v>
      </c>
      <c r="B1814" t="s">
        <v>16</v>
      </c>
      <c r="C1814">
        <v>1</v>
      </c>
      <c r="D1814">
        <v>43.5</v>
      </c>
      <c r="E1814">
        <v>43.5</v>
      </c>
      <c r="F1814" s="1">
        <v>45724</v>
      </c>
      <c r="G1814" s="1">
        <v>45725</v>
      </c>
      <c r="H1814" t="s">
        <v>26</v>
      </c>
      <c r="I1814" t="s">
        <v>39</v>
      </c>
      <c r="J1814">
        <v>5</v>
      </c>
      <c r="K1814" t="s">
        <v>18</v>
      </c>
      <c r="L1814" t="s">
        <v>114</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1914</v>
      </c>
      <c r="B1815" t="s">
        <v>45</v>
      </c>
      <c r="C1815">
        <v>2</v>
      </c>
      <c r="D1815">
        <v>47.8</v>
      </c>
      <c r="E1815">
        <v>95.6</v>
      </c>
      <c r="F1815" s="1">
        <v>45724</v>
      </c>
      <c r="G1815" s="1">
        <v>45727</v>
      </c>
      <c r="H1815" t="s">
        <v>22</v>
      </c>
      <c r="I1815" t="s">
        <v>69</v>
      </c>
      <c r="J1815">
        <v>5</v>
      </c>
      <c r="K1815" t="s">
        <v>18</v>
      </c>
      <c r="L1815" t="s">
        <v>23</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1915</v>
      </c>
      <c r="B1816" t="s">
        <v>68</v>
      </c>
      <c r="C1816">
        <v>2</v>
      </c>
      <c r="D1816">
        <v>65.8</v>
      </c>
      <c r="E1816">
        <v>131.6</v>
      </c>
      <c r="F1816" s="1">
        <v>45724</v>
      </c>
      <c r="G1816" s="1">
        <v>45726</v>
      </c>
      <c r="H1816" t="s">
        <v>26</v>
      </c>
      <c r="I1816" t="s">
        <v>17</v>
      </c>
      <c r="J1816">
        <v>1</v>
      </c>
      <c r="K1816" t="s">
        <v>18</v>
      </c>
      <c r="L1816" t="s">
        <v>330</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1916</v>
      </c>
      <c r="B1817" t="s">
        <v>122</v>
      </c>
      <c r="C1817">
        <v>11</v>
      </c>
      <c r="D1817">
        <v>38.700000000000003</v>
      </c>
      <c r="E1817">
        <v>425.70000000000005</v>
      </c>
      <c r="F1817" s="1">
        <v>45724</v>
      </c>
      <c r="G1817" s="1">
        <v>45724</v>
      </c>
      <c r="H1817" t="s">
        <v>22</v>
      </c>
      <c r="I1817" t="s">
        <v>17</v>
      </c>
      <c r="J1817">
        <v>4</v>
      </c>
      <c r="K1817" t="s">
        <v>18</v>
      </c>
      <c r="L1817" t="s">
        <v>146</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1917</v>
      </c>
      <c r="B1818" t="s">
        <v>29</v>
      </c>
      <c r="C1818">
        <v>4</v>
      </c>
      <c r="D1818">
        <v>55.7</v>
      </c>
      <c r="E1818">
        <v>222.8</v>
      </c>
      <c r="F1818" s="1">
        <v>45724</v>
      </c>
      <c r="G1818" s="1">
        <v>45726</v>
      </c>
      <c r="H1818" t="s">
        <v>88</v>
      </c>
      <c r="I1818" t="s">
        <v>17</v>
      </c>
      <c r="J1818">
        <v>3</v>
      </c>
      <c r="K1818" t="s">
        <v>18</v>
      </c>
      <c r="L1818" t="s">
        <v>146</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1918</v>
      </c>
      <c r="B1819" t="s">
        <v>41</v>
      </c>
      <c r="C1819">
        <v>2</v>
      </c>
      <c r="D1819">
        <v>102.4</v>
      </c>
      <c r="E1819">
        <v>204.8</v>
      </c>
      <c r="F1819" s="1">
        <v>45724</v>
      </c>
      <c r="G1819" s="1">
        <v>45724</v>
      </c>
      <c r="H1819" t="s">
        <v>26</v>
      </c>
      <c r="I1819" t="s">
        <v>34</v>
      </c>
      <c r="J1819">
        <v>4</v>
      </c>
      <c r="K1819" t="s">
        <v>18</v>
      </c>
      <c r="L1819" t="s">
        <v>32</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1919</v>
      </c>
      <c r="B1820" t="s">
        <v>21</v>
      </c>
      <c r="C1820">
        <v>1</v>
      </c>
      <c r="D1820">
        <v>92</v>
      </c>
      <c r="E1820">
        <v>92</v>
      </c>
      <c r="F1820" s="1">
        <v>45724</v>
      </c>
      <c r="G1820" s="1">
        <v>45728</v>
      </c>
      <c r="I1820" t="s">
        <v>39</v>
      </c>
      <c r="J1820">
        <v>4</v>
      </c>
      <c r="K1820" t="s">
        <v>18</v>
      </c>
      <c r="L1820" t="s">
        <v>32</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1920</v>
      </c>
      <c r="B1821" t="s">
        <v>38</v>
      </c>
      <c r="C1821">
        <v>4</v>
      </c>
      <c r="D1821">
        <v>75.900000000000006</v>
      </c>
      <c r="E1821">
        <v>303.60000000000002</v>
      </c>
      <c r="F1821" s="1">
        <v>45724</v>
      </c>
      <c r="G1821" s="1">
        <v>45726</v>
      </c>
      <c r="H1821" t="s">
        <v>26</v>
      </c>
      <c r="I1821" t="s">
        <v>34</v>
      </c>
      <c r="J1821">
        <v>4</v>
      </c>
      <c r="K1821" t="s">
        <v>18</v>
      </c>
      <c r="L1821" t="s">
        <v>32</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1921</v>
      </c>
      <c r="B1822" t="s">
        <v>21</v>
      </c>
      <c r="C1822">
        <v>4</v>
      </c>
      <c r="D1822">
        <v>36.200000000000003</v>
      </c>
      <c r="E1822">
        <v>144.80000000000001</v>
      </c>
      <c r="F1822" s="1">
        <v>45724</v>
      </c>
      <c r="G1822" s="1">
        <v>45725</v>
      </c>
      <c r="H1822" t="s">
        <v>26</v>
      </c>
      <c r="I1822" t="s">
        <v>34</v>
      </c>
      <c r="J1822">
        <v>4</v>
      </c>
      <c r="K1822" t="s">
        <v>18</v>
      </c>
      <c r="L1822" t="s">
        <v>32</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1922</v>
      </c>
      <c r="B1823" t="s">
        <v>38</v>
      </c>
      <c r="C1823">
        <v>87</v>
      </c>
      <c r="D1823">
        <v>83.5</v>
      </c>
      <c r="E1823">
        <v>7264.5</v>
      </c>
      <c r="F1823" s="1">
        <v>45724</v>
      </c>
      <c r="G1823" s="1">
        <v>45726</v>
      </c>
      <c r="I1823" t="s">
        <v>50</v>
      </c>
      <c r="J1823">
        <v>4</v>
      </c>
      <c r="K1823" t="s">
        <v>18</v>
      </c>
      <c r="L1823" t="s">
        <v>32</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1923</v>
      </c>
      <c r="B1824" t="s">
        <v>170</v>
      </c>
      <c r="C1824">
        <v>12</v>
      </c>
      <c r="D1824">
        <v>52.4</v>
      </c>
      <c r="E1824">
        <v>628.79999999999995</v>
      </c>
      <c r="F1824" s="1">
        <v>45724</v>
      </c>
      <c r="G1824" s="1">
        <v>45724</v>
      </c>
      <c r="H1824" t="s">
        <v>22</v>
      </c>
      <c r="I1824" t="s">
        <v>39</v>
      </c>
      <c r="J1824">
        <v>4</v>
      </c>
      <c r="K1824" t="s">
        <v>18</v>
      </c>
      <c r="L1824" t="s">
        <v>32</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1924</v>
      </c>
      <c r="B1825" t="s">
        <v>68</v>
      </c>
      <c r="C1825">
        <v>3</v>
      </c>
      <c r="D1825">
        <v>69.5</v>
      </c>
      <c r="E1825">
        <v>208.5</v>
      </c>
      <c r="F1825" s="1">
        <v>45724</v>
      </c>
      <c r="G1825" s="1">
        <v>45725</v>
      </c>
      <c r="H1825" t="s">
        <v>88</v>
      </c>
      <c r="I1825" t="s">
        <v>69</v>
      </c>
      <c r="J1825">
        <v>4</v>
      </c>
      <c r="K1825" t="s">
        <v>18</v>
      </c>
      <c r="L1825" t="s">
        <v>32</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1925</v>
      </c>
      <c r="B1826" t="s">
        <v>16</v>
      </c>
      <c r="C1826">
        <v>1</v>
      </c>
      <c r="D1826">
        <v>15.5</v>
      </c>
      <c r="E1826">
        <v>15.5</v>
      </c>
      <c r="F1826" s="1">
        <v>45724</v>
      </c>
      <c r="G1826" s="1">
        <v>45726</v>
      </c>
      <c r="H1826" t="s">
        <v>22</v>
      </c>
      <c r="I1826" t="s">
        <v>17</v>
      </c>
      <c r="J1826">
        <v>4</v>
      </c>
      <c r="K1826" t="s">
        <v>18</v>
      </c>
      <c r="L1826" t="s">
        <v>32</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1926</v>
      </c>
      <c r="B1827" t="s">
        <v>31</v>
      </c>
      <c r="C1827">
        <v>4</v>
      </c>
      <c r="D1827">
        <v>35.200000000000003</v>
      </c>
      <c r="E1827">
        <v>140.80000000000001</v>
      </c>
      <c r="F1827" s="1">
        <v>45724</v>
      </c>
      <c r="G1827" s="1">
        <v>45725</v>
      </c>
      <c r="H1827" t="s">
        <v>26</v>
      </c>
      <c r="I1827" t="s">
        <v>39</v>
      </c>
      <c r="J1827">
        <v>5</v>
      </c>
      <c r="K1827" t="s">
        <v>18</v>
      </c>
      <c r="L1827" t="s">
        <v>32</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1927</v>
      </c>
      <c r="B1828" t="s">
        <v>43</v>
      </c>
      <c r="C1828">
        <v>6</v>
      </c>
      <c r="D1828">
        <v>34.6</v>
      </c>
      <c r="E1828">
        <v>207.60000000000002</v>
      </c>
      <c r="F1828" s="1">
        <v>45724</v>
      </c>
      <c r="G1828" s="1">
        <v>45725</v>
      </c>
      <c r="I1828" t="s">
        <v>17</v>
      </c>
      <c r="J1828">
        <v>3</v>
      </c>
      <c r="K1828" t="s">
        <v>18</v>
      </c>
      <c r="L1828" t="s">
        <v>32</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1928</v>
      </c>
      <c r="B1829" t="s">
        <v>31</v>
      </c>
      <c r="C1829">
        <v>1</v>
      </c>
      <c r="D1829">
        <v>21.3</v>
      </c>
      <c r="E1829">
        <v>21.3</v>
      </c>
      <c r="F1829" s="1">
        <v>45725</v>
      </c>
      <c r="G1829" s="1">
        <v>45726</v>
      </c>
      <c r="H1829" t="s">
        <v>22</v>
      </c>
      <c r="I1829" t="s">
        <v>39</v>
      </c>
      <c r="J1829">
        <v>3</v>
      </c>
      <c r="K1829" t="s">
        <v>18</v>
      </c>
      <c r="L1829" t="s">
        <v>32</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1929</v>
      </c>
      <c r="B1830" t="s">
        <v>38</v>
      </c>
      <c r="C1830">
        <v>2</v>
      </c>
      <c r="D1830">
        <v>136.5</v>
      </c>
      <c r="E1830">
        <v>273</v>
      </c>
      <c r="F1830" s="1">
        <v>45725</v>
      </c>
      <c r="G1830" s="1">
        <v>45731</v>
      </c>
      <c r="H1830" t="s">
        <v>26</v>
      </c>
      <c r="I1830" t="s">
        <v>17</v>
      </c>
      <c r="J1830">
        <v>4</v>
      </c>
      <c r="K1830" t="s">
        <v>18</v>
      </c>
      <c r="L1830" t="s">
        <v>363</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1930</v>
      </c>
      <c r="B1831" t="s">
        <v>45</v>
      </c>
      <c r="C1831">
        <v>7</v>
      </c>
      <c r="D1831">
        <v>30.7</v>
      </c>
      <c r="E1831">
        <v>214.9</v>
      </c>
      <c r="F1831" s="1">
        <v>45725</v>
      </c>
      <c r="G1831" s="1">
        <v>45726</v>
      </c>
      <c r="H1831" t="s">
        <v>22</v>
      </c>
      <c r="I1831" t="s">
        <v>39</v>
      </c>
      <c r="J1831">
        <v>5</v>
      </c>
      <c r="K1831" t="s">
        <v>18</v>
      </c>
      <c r="L1831" t="s">
        <v>187</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1931</v>
      </c>
      <c r="B1832" t="s">
        <v>21</v>
      </c>
      <c r="C1832">
        <v>2</v>
      </c>
      <c r="D1832">
        <v>61.6</v>
      </c>
      <c r="E1832">
        <v>123.2</v>
      </c>
      <c r="F1832" s="1">
        <v>45725</v>
      </c>
      <c r="G1832" s="1">
        <v>45726</v>
      </c>
      <c r="H1832" t="s">
        <v>26</v>
      </c>
      <c r="I1832" t="s">
        <v>39</v>
      </c>
      <c r="J1832">
        <v>5</v>
      </c>
      <c r="K1832" t="s">
        <v>18</v>
      </c>
      <c r="L1832" t="s">
        <v>157</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1932</v>
      </c>
      <c r="B1833" t="s">
        <v>38</v>
      </c>
      <c r="C1833">
        <v>4</v>
      </c>
      <c r="D1833">
        <v>54.3</v>
      </c>
      <c r="E1833">
        <v>217.2</v>
      </c>
      <c r="F1833" s="1">
        <v>45725</v>
      </c>
      <c r="G1833" s="1">
        <v>45727</v>
      </c>
      <c r="I1833" t="s">
        <v>69</v>
      </c>
      <c r="J1833">
        <v>4</v>
      </c>
      <c r="K1833" t="s">
        <v>18</v>
      </c>
      <c r="L1833" t="s">
        <v>58</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1933</v>
      </c>
      <c r="B1834" t="s">
        <v>21</v>
      </c>
      <c r="C1834">
        <v>2</v>
      </c>
      <c r="D1834">
        <v>44.1</v>
      </c>
      <c r="E1834">
        <v>88.2</v>
      </c>
      <c r="F1834" s="1">
        <v>45725</v>
      </c>
      <c r="G1834" s="1">
        <v>45737</v>
      </c>
      <c r="H1834" t="s">
        <v>26</v>
      </c>
      <c r="I1834" t="s">
        <v>17</v>
      </c>
      <c r="J1834">
        <v>5</v>
      </c>
      <c r="K1834" t="s">
        <v>18</v>
      </c>
      <c r="L1834" t="s">
        <v>61</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1934</v>
      </c>
      <c r="B1835" t="s">
        <v>43</v>
      </c>
      <c r="C1835">
        <v>4</v>
      </c>
      <c r="D1835">
        <v>43.5</v>
      </c>
      <c r="E1835">
        <v>174</v>
      </c>
      <c r="F1835" s="1">
        <v>45725</v>
      </c>
      <c r="G1835" s="1">
        <v>45731</v>
      </c>
      <c r="H1835" t="s">
        <v>22</v>
      </c>
      <c r="I1835" t="s">
        <v>50</v>
      </c>
      <c r="J1835">
        <v>4</v>
      </c>
      <c r="K1835" t="s">
        <v>18</v>
      </c>
      <c r="L1835" t="s">
        <v>61</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1935</v>
      </c>
      <c r="B1836" t="s">
        <v>43</v>
      </c>
      <c r="C1836">
        <v>3</v>
      </c>
      <c r="D1836">
        <v>48.2</v>
      </c>
      <c r="E1836">
        <v>144.60000000000002</v>
      </c>
      <c r="F1836" s="1">
        <v>45725</v>
      </c>
      <c r="G1836" s="1">
        <v>45729</v>
      </c>
      <c r="H1836" t="s">
        <v>22</v>
      </c>
      <c r="I1836" t="s">
        <v>50</v>
      </c>
      <c r="J1836">
        <v>3</v>
      </c>
      <c r="K1836" t="s">
        <v>18</v>
      </c>
      <c r="L1836" t="s">
        <v>61</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1936</v>
      </c>
      <c r="B1837" t="s">
        <v>170</v>
      </c>
      <c r="C1837">
        <v>1</v>
      </c>
      <c r="D1837">
        <v>13.7</v>
      </c>
      <c r="E1837">
        <v>13.7</v>
      </c>
      <c r="F1837" s="1">
        <v>45725</v>
      </c>
      <c r="G1837" s="1">
        <v>45726</v>
      </c>
      <c r="H1837" t="s">
        <v>26</v>
      </c>
      <c r="I1837" t="s">
        <v>39</v>
      </c>
      <c r="J1837">
        <v>5</v>
      </c>
      <c r="K1837" t="s">
        <v>18</v>
      </c>
      <c r="L1837" t="s">
        <v>61</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1937</v>
      </c>
      <c r="B1838" t="s">
        <v>25</v>
      </c>
      <c r="C1838">
        <v>2</v>
      </c>
      <c r="D1838">
        <v>110.5</v>
      </c>
      <c r="E1838">
        <v>221</v>
      </c>
      <c r="F1838" s="1">
        <v>45725</v>
      </c>
      <c r="G1838" s="1">
        <v>45726</v>
      </c>
      <c r="H1838" t="s">
        <v>26</v>
      </c>
      <c r="I1838" t="s">
        <v>17</v>
      </c>
      <c r="J1838">
        <v>3</v>
      </c>
      <c r="K1838" t="s">
        <v>18</v>
      </c>
      <c r="L1838" t="s">
        <v>61</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1938</v>
      </c>
      <c r="B1839" t="s">
        <v>43</v>
      </c>
      <c r="C1839">
        <v>3</v>
      </c>
      <c r="D1839">
        <v>26</v>
      </c>
      <c r="E1839">
        <v>78</v>
      </c>
      <c r="F1839" s="1">
        <v>45725</v>
      </c>
      <c r="G1839" s="1">
        <v>45730</v>
      </c>
      <c r="H1839" t="s">
        <v>26</v>
      </c>
      <c r="I1839" t="s">
        <v>34</v>
      </c>
      <c r="J1839">
        <v>3</v>
      </c>
      <c r="K1839" t="s">
        <v>18</v>
      </c>
      <c r="L1839" t="s">
        <v>61</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1939</v>
      </c>
      <c r="B1840" t="s">
        <v>25</v>
      </c>
      <c r="C1840">
        <v>10</v>
      </c>
      <c r="D1840">
        <v>140.69999999999999</v>
      </c>
      <c r="E1840">
        <v>1407</v>
      </c>
      <c r="F1840" s="1">
        <v>45725</v>
      </c>
      <c r="G1840" s="1">
        <v>45731</v>
      </c>
      <c r="H1840" t="s">
        <v>22</v>
      </c>
      <c r="I1840" t="s">
        <v>50</v>
      </c>
      <c r="J1840">
        <v>3</v>
      </c>
      <c r="K1840" t="s">
        <v>18</v>
      </c>
      <c r="L1840" t="s">
        <v>61</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1940</v>
      </c>
      <c r="B1841" t="s">
        <v>134</v>
      </c>
      <c r="C1841">
        <v>2</v>
      </c>
      <c r="D1841">
        <v>41.7</v>
      </c>
      <c r="E1841">
        <v>83.4</v>
      </c>
      <c r="F1841" s="1">
        <v>45725</v>
      </c>
      <c r="G1841" s="1">
        <v>45733</v>
      </c>
      <c r="H1841" t="s">
        <v>26</v>
      </c>
      <c r="I1841" t="s">
        <v>17</v>
      </c>
      <c r="J1841">
        <v>2</v>
      </c>
      <c r="K1841" t="s">
        <v>18</v>
      </c>
      <c r="L1841" t="s">
        <v>61</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1941</v>
      </c>
      <c r="B1842" t="s">
        <v>25</v>
      </c>
      <c r="C1842">
        <v>2</v>
      </c>
      <c r="D1842">
        <v>135.1</v>
      </c>
      <c r="E1842">
        <v>270.2</v>
      </c>
      <c r="F1842" s="1">
        <v>45725</v>
      </c>
      <c r="G1842" s="1">
        <v>45726</v>
      </c>
      <c r="H1842" t="s">
        <v>22</v>
      </c>
      <c r="I1842" t="s">
        <v>17</v>
      </c>
      <c r="J1842">
        <v>5</v>
      </c>
      <c r="K1842" t="s">
        <v>18</v>
      </c>
      <c r="L1842" t="s">
        <v>102</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1942</v>
      </c>
      <c r="B1843" t="s">
        <v>68</v>
      </c>
      <c r="C1843">
        <v>22</v>
      </c>
      <c r="D1843">
        <v>95.5</v>
      </c>
      <c r="E1843">
        <v>2101</v>
      </c>
      <c r="F1843" s="1">
        <v>45725</v>
      </c>
      <c r="G1843" s="1">
        <v>45726</v>
      </c>
      <c r="H1843" t="s">
        <v>26</v>
      </c>
      <c r="I1843" t="s">
        <v>69</v>
      </c>
      <c r="J1843">
        <v>2</v>
      </c>
      <c r="K1843" t="s">
        <v>18</v>
      </c>
      <c r="L1843" t="s">
        <v>200</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1943</v>
      </c>
      <c r="B1844" t="s">
        <v>122</v>
      </c>
      <c r="C1844">
        <v>1</v>
      </c>
      <c r="D1844">
        <v>25.5</v>
      </c>
      <c r="E1844">
        <v>25.5</v>
      </c>
      <c r="F1844" s="1">
        <v>45725</v>
      </c>
      <c r="G1844" s="1">
        <v>45728</v>
      </c>
      <c r="I1844" t="s">
        <v>39</v>
      </c>
      <c r="J1844">
        <v>5</v>
      </c>
      <c r="K1844" t="s">
        <v>18</v>
      </c>
      <c r="L1844" t="s">
        <v>76</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1944</v>
      </c>
      <c r="B1845" t="s">
        <v>21</v>
      </c>
      <c r="C1845">
        <v>1</v>
      </c>
      <c r="D1845">
        <v>42.6</v>
      </c>
      <c r="E1845">
        <v>42.6</v>
      </c>
      <c r="F1845" s="1">
        <v>45725</v>
      </c>
      <c r="G1845" s="1">
        <v>45729</v>
      </c>
      <c r="H1845" t="s">
        <v>26</v>
      </c>
      <c r="I1845" t="s">
        <v>17</v>
      </c>
      <c r="J1845">
        <v>4</v>
      </c>
      <c r="K1845" t="s">
        <v>18</v>
      </c>
      <c r="L1845" t="s">
        <v>76</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1945</v>
      </c>
      <c r="B1846" t="s">
        <v>43</v>
      </c>
      <c r="C1846">
        <v>15</v>
      </c>
      <c r="D1846">
        <v>32.4</v>
      </c>
      <c r="E1846">
        <v>486</v>
      </c>
      <c r="F1846" s="1">
        <v>45725</v>
      </c>
      <c r="G1846" s="1">
        <v>45726</v>
      </c>
      <c r="H1846" t="s">
        <v>22</v>
      </c>
      <c r="I1846" t="s">
        <v>34</v>
      </c>
      <c r="J1846">
        <v>3</v>
      </c>
      <c r="K1846" t="s">
        <v>18</v>
      </c>
      <c r="L1846" t="s">
        <v>76</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1946</v>
      </c>
      <c r="B1847" t="s">
        <v>31</v>
      </c>
      <c r="C1847">
        <v>4</v>
      </c>
      <c r="D1847">
        <v>20.2</v>
      </c>
      <c r="E1847">
        <v>80.8</v>
      </c>
      <c r="F1847" s="1">
        <v>45725</v>
      </c>
      <c r="G1847" s="1">
        <v>45726</v>
      </c>
      <c r="H1847" t="s">
        <v>88</v>
      </c>
      <c r="I1847" t="s">
        <v>39</v>
      </c>
      <c r="J1847">
        <v>4</v>
      </c>
      <c r="K1847" t="s">
        <v>18</v>
      </c>
      <c r="L1847" t="s">
        <v>76</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1947</v>
      </c>
      <c r="B1848" t="s">
        <v>127</v>
      </c>
      <c r="C1848">
        <v>3</v>
      </c>
      <c r="D1848">
        <v>52.5</v>
      </c>
      <c r="E1848">
        <v>157.5</v>
      </c>
      <c r="F1848" s="1">
        <v>45725</v>
      </c>
      <c r="G1848" s="1">
        <v>45730</v>
      </c>
      <c r="H1848" t="s">
        <v>26</v>
      </c>
      <c r="I1848" t="s">
        <v>69</v>
      </c>
      <c r="J1848">
        <v>4</v>
      </c>
      <c r="K1848" t="s">
        <v>18</v>
      </c>
      <c r="L1848" t="s">
        <v>107</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1948</v>
      </c>
      <c r="B1849" t="s">
        <v>25</v>
      </c>
      <c r="C1849">
        <v>5</v>
      </c>
      <c r="D1849">
        <v>59.9</v>
      </c>
      <c r="E1849">
        <v>299.5</v>
      </c>
      <c r="F1849" s="1">
        <v>45725</v>
      </c>
      <c r="G1849" s="1">
        <v>45727</v>
      </c>
      <c r="H1849" t="s">
        <v>26</v>
      </c>
      <c r="I1849" t="s">
        <v>39</v>
      </c>
      <c r="J1849">
        <v>4</v>
      </c>
      <c r="K1849" t="s">
        <v>18</v>
      </c>
      <c r="L1849" t="s">
        <v>109</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1949</v>
      </c>
      <c r="B1850" t="s">
        <v>31</v>
      </c>
      <c r="C1850">
        <v>2</v>
      </c>
      <c r="D1850">
        <v>53.2</v>
      </c>
      <c r="E1850">
        <v>106.4</v>
      </c>
      <c r="F1850" s="1">
        <v>45725</v>
      </c>
      <c r="G1850" s="1">
        <v>45726</v>
      </c>
      <c r="H1850" t="s">
        <v>26</v>
      </c>
      <c r="I1850" t="s">
        <v>34</v>
      </c>
      <c r="J1850">
        <v>1</v>
      </c>
      <c r="K1850" t="s">
        <v>18</v>
      </c>
      <c r="L1850" t="s">
        <v>112</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1950</v>
      </c>
      <c r="B1851" t="s">
        <v>25</v>
      </c>
      <c r="C1851">
        <v>2</v>
      </c>
      <c r="D1851">
        <v>60</v>
      </c>
      <c r="E1851">
        <v>120</v>
      </c>
      <c r="F1851" s="1">
        <v>45725</v>
      </c>
      <c r="G1851" s="1">
        <v>45731</v>
      </c>
      <c r="H1851" t="s">
        <v>22</v>
      </c>
      <c r="I1851" t="s">
        <v>34</v>
      </c>
      <c r="J1851">
        <v>5</v>
      </c>
      <c r="K1851" t="s">
        <v>18</v>
      </c>
      <c r="L1851" t="s">
        <v>112</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1951</v>
      </c>
      <c r="B1852" t="s">
        <v>43</v>
      </c>
      <c r="C1852">
        <v>3</v>
      </c>
      <c r="D1852">
        <v>29.3</v>
      </c>
      <c r="E1852">
        <v>87.9</v>
      </c>
      <c r="F1852" s="1">
        <v>45725</v>
      </c>
      <c r="G1852" s="1">
        <v>45726</v>
      </c>
      <c r="H1852" t="s">
        <v>26</v>
      </c>
      <c r="I1852" t="s">
        <v>69</v>
      </c>
      <c r="J1852">
        <v>4</v>
      </c>
      <c r="K1852" t="s">
        <v>18</v>
      </c>
      <c r="L1852" t="s">
        <v>81</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1952</v>
      </c>
      <c r="B1853" t="s">
        <v>68</v>
      </c>
      <c r="C1853">
        <v>2</v>
      </c>
      <c r="D1853">
        <v>55.4</v>
      </c>
      <c r="E1853">
        <v>110.8</v>
      </c>
      <c r="F1853" s="1">
        <v>45725</v>
      </c>
      <c r="G1853" s="1">
        <v>45726</v>
      </c>
      <c r="H1853" t="s">
        <v>26</v>
      </c>
      <c r="I1853" t="s">
        <v>17</v>
      </c>
      <c r="J1853">
        <v>5</v>
      </c>
      <c r="K1853" t="s">
        <v>18</v>
      </c>
      <c r="L1853" t="s">
        <v>114</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1953</v>
      </c>
      <c r="B1854" t="s">
        <v>16</v>
      </c>
      <c r="C1854">
        <v>5</v>
      </c>
      <c r="D1854">
        <v>20.100000000000001</v>
      </c>
      <c r="E1854">
        <v>100.5</v>
      </c>
      <c r="F1854" s="1">
        <v>45725</v>
      </c>
      <c r="G1854" s="1">
        <v>45727</v>
      </c>
      <c r="H1854" t="s">
        <v>26</v>
      </c>
      <c r="I1854" t="s">
        <v>34</v>
      </c>
      <c r="J1854">
        <v>5</v>
      </c>
      <c r="K1854" t="s">
        <v>18</v>
      </c>
      <c r="L1854" t="s">
        <v>114</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1954</v>
      </c>
      <c r="B1855" t="s">
        <v>80</v>
      </c>
      <c r="C1855">
        <v>5</v>
      </c>
      <c r="D1855">
        <v>24</v>
      </c>
      <c r="E1855">
        <v>120</v>
      </c>
      <c r="F1855" s="1">
        <v>45725</v>
      </c>
      <c r="G1855" s="1">
        <v>45728</v>
      </c>
      <c r="H1855" t="s">
        <v>22</v>
      </c>
      <c r="I1855" t="s">
        <v>39</v>
      </c>
      <c r="J1855">
        <v>4</v>
      </c>
      <c r="K1855" t="s">
        <v>18</v>
      </c>
      <c r="L1855" t="s">
        <v>23</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1955</v>
      </c>
      <c r="B1856" t="s">
        <v>43</v>
      </c>
      <c r="C1856">
        <v>2</v>
      </c>
      <c r="D1856">
        <v>30.6</v>
      </c>
      <c r="E1856">
        <v>61.2</v>
      </c>
      <c r="F1856" s="1">
        <v>45726</v>
      </c>
      <c r="G1856" s="1">
        <v>45728</v>
      </c>
      <c r="H1856" t="s">
        <v>26</v>
      </c>
      <c r="I1856" t="s">
        <v>17</v>
      </c>
      <c r="J1856">
        <v>4</v>
      </c>
      <c r="K1856" t="s">
        <v>18</v>
      </c>
      <c r="L1856" t="s">
        <v>23</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1956</v>
      </c>
      <c r="B1857" t="s">
        <v>53</v>
      </c>
      <c r="C1857">
        <v>5</v>
      </c>
      <c r="D1857">
        <v>33</v>
      </c>
      <c r="E1857">
        <v>165</v>
      </c>
      <c r="F1857" s="1">
        <v>45726</v>
      </c>
      <c r="G1857" s="1">
        <v>45727</v>
      </c>
      <c r="H1857" t="s">
        <v>22</v>
      </c>
      <c r="I1857" t="s">
        <v>34</v>
      </c>
      <c r="J1857">
        <v>3</v>
      </c>
      <c r="K1857" t="s">
        <v>18</v>
      </c>
      <c r="L1857" t="s">
        <v>207</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1957</v>
      </c>
      <c r="B1858" t="s">
        <v>134</v>
      </c>
      <c r="C1858">
        <v>9</v>
      </c>
      <c r="D1858">
        <v>42.1</v>
      </c>
      <c r="E1858">
        <v>378.90000000000003</v>
      </c>
      <c r="F1858" s="1">
        <v>45726</v>
      </c>
      <c r="G1858" s="1">
        <v>45732</v>
      </c>
      <c r="H1858" t="s">
        <v>26</v>
      </c>
      <c r="I1858" t="s">
        <v>39</v>
      </c>
      <c r="J1858">
        <v>4</v>
      </c>
      <c r="K1858" t="s">
        <v>18</v>
      </c>
      <c r="L1858" t="s">
        <v>586</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1958</v>
      </c>
      <c r="B1859" t="s">
        <v>38</v>
      </c>
      <c r="C1859">
        <v>7</v>
      </c>
      <c r="D1859">
        <v>77.7</v>
      </c>
      <c r="E1859">
        <v>543.9</v>
      </c>
      <c r="F1859" s="1">
        <v>45726</v>
      </c>
      <c r="G1859" s="1">
        <v>45731</v>
      </c>
      <c r="H1859" t="s">
        <v>26</v>
      </c>
      <c r="I1859" t="s">
        <v>34</v>
      </c>
      <c r="J1859">
        <v>5</v>
      </c>
      <c r="K1859" t="s">
        <v>18</v>
      </c>
      <c r="L1859" t="s">
        <v>948</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1959</v>
      </c>
      <c r="B1860" t="s">
        <v>134</v>
      </c>
      <c r="C1860">
        <v>6</v>
      </c>
      <c r="D1860">
        <v>22.7</v>
      </c>
      <c r="E1860">
        <v>136.19999999999999</v>
      </c>
      <c r="F1860" s="1">
        <v>45726</v>
      </c>
      <c r="G1860" s="1">
        <v>45729</v>
      </c>
      <c r="H1860" t="s">
        <v>26</v>
      </c>
      <c r="I1860" t="s">
        <v>39</v>
      </c>
      <c r="J1860">
        <v>4</v>
      </c>
      <c r="K1860" t="s">
        <v>18</v>
      </c>
      <c r="L1860" t="s">
        <v>32</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1960</v>
      </c>
      <c r="B1861" t="s">
        <v>25</v>
      </c>
      <c r="C1861">
        <v>2</v>
      </c>
      <c r="D1861">
        <v>133</v>
      </c>
      <c r="E1861">
        <v>266</v>
      </c>
      <c r="F1861" s="1">
        <v>45726</v>
      </c>
      <c r="G1861" s="1">
        <v>45726</v>
      </c>
      <c r="H1861" t="s">
        <v>22</v>
      </c>
      <c r="I1861" t="s">
        <v>39</v>
      </c>
      <c r="J1861">
        <v>5</v>
      </c>
      <c r="K1861" t="s">
        <v>18</v>
      </c>
      <c r="L1861" t="s">
        <v>32</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1961</v>
      </c>
      <c r="B1862" t="s">
        <v>16</v>
      </c>
      <c r="C1862">
        <v>2</v>
      </c>
      <c r="D1862">
        <v>23.3</v>
      </c>
      <c r="E1862">
        <v>46.6</v>
      </c>
      <c r="F1862" s="1">
        <v>45726</v>
      </c>
      <c r="G1862" s="1">
        <v>45727</v>
      </c>
      <c r="H1862" t="s">
        <v>22</v>
      </c>
      <c r="I1862" t="s">
        <v>34</v>
      </c>
      <c r="J1862">
        <v>5</v>
      </c>
      <c r="K1862" t="s">
        <v>18</v>
      </c>
      <c r="L1862" t="s">
        <v>32</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1962</v>
      </c>
      <c r="B1863" t="s">
        <v>43</v>
      </c>
      <c r="C1863">
        <v>3</v>
      </c>
      <c r="D1863">
        <v>20.7</v>
      </c>
      <c r="E1863">
        <v>62.099999999999994</v>
      </c>
      <c r="F1863" s="1">
        <v>45726</v>
      </c>
      <c r="G1863" s="1">
        <v>45728</v>
      </c>
      <c r="H1863" t="s">
        <v>88</v>
      </c>
      <c r="I1863" t="s">
        <v>17</v>
      </c>
      <c r="J1863">
        <v>5</v>
      </c>
      <c r="K1863" t="s">
        <v>18</v>
      </c>
      <c r="L1863" t="s">
        <v>32</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1963</v>
      </c>
      <c r="B1864" t="s">
        <v>68</v>
      </c>
      <c r="C1864">
        <v>2</v>
      </c>
      <c r="D1864">
        <v>47</v>
      </c>
      <c r="E1864">
        <v>94</v>
      </c>
      <c r="F1864" s="1">
        <v>45726</v>
      </c>
      <c r="G1864" s="1">
        <v>45727</v>
      </c>
      <c r="H1864" t="s">
        <v>22</v>
      </c>
      <c r="I1864" t="s">
        <v>34</v>
      </c>
      <c r="J1864">
        <v>5</v>
      </c>
      <c r="K1864" t="s">
        <v>18</v>
      </c>
      <c r="L1864" t="s">
        <v>32</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1964</v>
      </c>
      <c r="B1865" t="s">
        <v>68</v>
      </c>
      <c r="C1865">
        <v>3</v>
      </c>
      <c r="D1865">
        <v>38.200000000000003</v>
      </c>
      <c r="E1865">
        <v>114.60000000000001</v>
      </c>
      <c r="F1865" s="1">
        <v>45726</v>
      </c>
      <c r="G1865" s="1">
        <v>45728</v>
      </c>
      <c r="H1865" t="s">
        <v>26</v>
      </c>
      <c r="I1865" t="s">
        <v>39</v>
      </c>
      <c r="J1865">
        <v>2</v>
      </c>
      <c r="K1865" t="s">
        <v>18</v>
      </c>
      <c r="L1865" t="s">
        <v>32</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1965</v>
      </c>
      <c r="B1866" t="s">
        <v>45</v>
      </c>
      <c r="C1866">
        <v>1</v>
      </c>
      <c r="D1866">
        <v>39.1</v>
      </c>
      <c r="E1866">
        <v>39.1</v>
      </c>
      <c r="F1866" s="1">
        <v>45726</v>
      </c>
      <c r="G1866" s="1">
        <v>45728</v>
      </c>
      <c r="H1866" t="s">
        <v>26</v>
      </c>
      <c r="I1866" t="s">
        <v>17</v>
      </c>
      <c r="J1866">
        <v>4</v>
      </c>
      <c r="K1866" t="s">
        <v>18</v>
      </c>
      <c r="L1866" t="s">
        <v>32</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1966</v>
      </c>
      <c r="B1867" t="s">
        <v>41</v>
      </c>
      <c r="C1867">
        <v>25</v>
      </c>
      <c r="D1867">
        <v>55.6</v>
      </c>
      <c r="E1867">
        <v>1390</v>
      </c>
      <c r="F1867" s="1">
        <v>45726</v>
      </c>
      <c r="G1867" s="1">
        <v>45728</v>
      </c>
      <c r="H1867" t="s">
        <v>22</v>
      </c>
      <c r="I1867" t="s">
        <v>17</v>
      </c>
      <c r="J1867">
        <v>5</v>
      </c>
      <c r="K1867" t="s">
        <v>18</v>
      </c>
      <c r="L1867" t="s">
        <v>32</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1967</v>
      </c>
      <c r="B1868" t="s">
        <v>122</v>
      </c>
      <c r="C1868">
        <v>1</v>
      </c>
      <c r="D1868">
        <v>43.1</v>
      </c>
      <c r="E1868">
        <v>43.1</v>
      </c>
      <c r="F1868" s="1">
        <v>45726</v>
      </c>
      <c r="G1868" s="1">
        <v>45726</v>
      </c>
      <c r="H1868" t="s">
        <v>88</v>
      </c>
      <c r="I1868" t="s">
        <v>34</v>
      </c>
      <c r="J1868">
        <v>5</v>
      </c>
      <c r="K1868" t="s">
        <v>18</v>
      </c>
      <c r="L1868" t="s">
        <v>32</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1968</v>
      </c>
      <c r="B1869" t="s">
        <v>38</v>
      </c>
      <c r="C1869">
        <v>4</v>
      </c>
      <c r="D1869">
        <v>48.1</v>
      </c>
      <c r="E1869">
        <v>192.4</v>
      </c>
      <c r="F1869" s="1">
        <v>45726</v>
      </c>
      <c r="G1869" s="1">
        <v>45727</v>
      </c>
      <c r="H1869" t="s">
        <v>26</v>
      </c>
      <c r="I1869" t="s">
        <v>69</v>
      </c>
      <c r="J1869">
        <v>5</v>
      </c>
      <c r="K1869" t="s">
        <v>18</v>
      </c>
      <c r="L1869" t="s">
        <v>32</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1969</v>
      </c>
      <c r="B1870" t="s">
        <v>31</v>
      </c>
      <c r="C1870">
        <v>1</v>
      </c>
      <c r="D1870">
        <v>42</v>
      </c>
      <c r="E1870">
        <v>42</v>
      </c>
      <c r="F1870" s="1">
        <v>45726</v>
      </c>
      <c r="G1870" s="1">
        <v>45727</v>
      </c>
      <c r="H1870" t="s">
        <v>88</v>
      </c>
      <c r="I1870" t="s">
        <v>17</v>
      </c>
      <c r="J1870">
        <v>4</v>
      </c>
      <c r="K1870" t="s">
        <v>18</v>
      </c>
      <c r="L1870" t="s">
        <v>32</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1970</v>
      </c>
      <c r="B1871" t="s">
        <v>43</v>
      </c>
      <c r="C1871">
        <v>5</v>
      </c>
      <c r="D1871">
        <v>18.3</v>
      </c>
      <c r="E1871">
        <v>91.5</v>
      </c>
      <c r="F1871" s="1">
        <v>45726</v>
      </c>
      <c r="G1871" s="1">
        <v>45726</v>
      </c>
      <c r="H1871" t="s">
        <v>26</v>
      </c>
      <c r="I1871" t="s">
        <v>39</v>
      </c>
      <c r="J1871">
        <v>4</v>
      </c>
      <c r="K1871" t="s">
        <v>18</v>
      </c>
      <c r="L1871" t="s">
        <v>32</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1971</v>
      </c>
      <c r="B1872" t="s">
        <v>53</v>
      </c>
      <c r="C1872">
        <v>4</v>
      </c>
      <c r="D1872">
        <v>45.3</v>
      </c>
      <c r="E1872">
        <v>181.2</v>
      </c>
      <c r="F1872" s="1">
        <v>45726</v>
      </c>
      <c r="G1872" s="1">
        <v>45729</v>
      </c>
      <c r="H1872" t="s">
        <v>26</v>
      </c>
      <c r="I1872" t="s">
        <v>17</v>
      </c>
      <c r="J1872">
        <v>5</v>
      </c>
      <c r="K1872" t="s">
        <v>18</v>
      </c>
      <c r="L1872" t="s">
        <v>32</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1972</v>
      </c>
      <c r="B1873" t="s">
        <v>16</v>
      </c>
      <c r="C1873">
        <v>2</v>
      </c>
      <c r="D1873">
        <v>27.6</v>
      </c>
      <c r="E1873">
        <v>55.2</v>
      </c>
      <c r="F1873" s="1">
        <v>45726</v>
      </c>
      <c r="G1873" s="1">
        <v>45728</v>
      </c>
      <c r="H1873" t="s">
        <v>22</v>
      </c>
      <c r="I1873" t="s">
        <v>17</v>
      </c>
      <c r="J1873">
        <v>5</v>
      </c>
      <c r="K1873" t="s">
        <v>18</v>
      </c>
      <c r="L1873" t="s">
        <v>363</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1973</v>
      </c>
      <c r="B1874" t="s">
        <v>31</v>
      </c>
      <c r="C1874">
        <v>5</v>
      </c>
      <c r="D1874">
        <v>26.9</v>
      </c>
      <c r="E1874">
        <v>134.5</v>
      </c>
      <c r="F1874" s="1">
        <v>45726</v>
      </c>
      <c r="G1874" s="1">
        <v>45727</v>
      </c>
      <c r="H1874" t="s">
        <v>26</v>
      </c>
      <c r="I1874" t="s">
        <v>39</v>
      </c>
      <c r="J1874">
        <v>4</v>
      </c>
      <c r="K1874" t="s">
        <v>18</v>
      </c>
      <c r="L1874" t="s">
        <v>187</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1974</v>
      </c>
      <c r="B1875" t="s">
        <v>25</v>
      </c>
      <c r="C1875">
        <v>9</v>
      </c>
      <c r="D1875">
        <v>82.4</v>
      </c>
      <c r="E1875">
        <v>741.6</v>
      </c>
      <c r="F1875" s="1">
        <v>45726</v>
      </c>
      <c r="G1875" s="1">
        <v>45728</v>
      </c>
      <c r="H1875" t="s">
        <v>88</v>
      </c>
      <c r="I1875" t="s">
        <v>39</v>
      </c>
      <c r="J1875">
        <v>4</v>
      </c>
      <c r="K1875" t="s">
        <v>18</v>
      </c>
      <c r="L1875" t="s">
        <v>51</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1975</v>
      </c>
      <c r="B1876" t="s">
        <v>38</v>
      </c>
      <c r="C1876">
        <v>1</v>
      </c>
      <c r="D1876">
        <v>103.7</v>
      </c>
      <c r="E1876">
        <v>103.7</v>
      </c>
      <c r="F1876" s="1">
        <v>45726</v>
      </c>
      <c r="G1876" s="1">
        <v>45728</v>
      </c>
      <c r="H1876" t="s">
        <v>26</v>
      </c>
      <c r="I1876" t="s">
        <v>34</v>
      </c>
      <c r="J1876">
        <v>4</v>
      </c>
      <c r="K1876" t="s">
        <v>18</v>
      </c>
      <c r="L1876" t="s">
        <v>51</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1976</v>
      </c>
      <c r="B1877" t="s">
        <v>25</v>
      </c>
      <c r="C1877">
        <v>2</v>
      </c>
      <c r="D1877">
        <v>58.8</v>
      </c>
      <c r="E1877">
        <v>117.6</v>
      </c>
      <c r="F1877" s="1">
        <v>45726</v>
      </c>
      <c r="G1877" s="1">
        <v>45731</v>
      </c>
      <c r="H1877" t="s">
        <v>26</v>
      </c>
      <c r="I1877" t="s">
        <v>34</v>
      </c>
      <c r="J1877">
        <v>5</v>
      </c>
      <c r="K1877" t="s">
        <v>18</v>
      </c>
      <c r="L1877" t="s">
        <v>54</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1977</v>
      </c>
      <c r="B1878" t="s">
        <v>75</v>
      </c>
      <c r="C1878">
        <v>1</v>
      </c>
      <c r="D1878">
        <v>31.5</v>
      </c>
      <c r="E1878">
        <v>31.5</v>
      </c>
      <c r="F1878" s="1">
        <v>45726</v>
      </c>
      <c r="G1878" s="1">
        <v>45727</v>
      </c>
      <c r="H1878" t="s">
        <v>26</v>
      </c>
      <c r="I1878" t="s">
        <v>34</v>
      </c>
      <c r="J1878">
        <v>3</v>
      </c>
      <c r="K1878" t="s">
        <v>18</v>
      </c>
      <c r="L1878" t="s">
        <v>54</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1978</v>
      </c>
      <c r="B1879" t="s">
        <v>41</v>
      </c>
      <c r="C1879">
        <v>5</v>
      </c>
      <c r="D1879">
        <v>36.799999999999997</v>
      </c>
      <c r="E1879">
        <v>184</v>
      </c>
      <c r="F1879" s="1">
        <v>45726</v>
      </c>
      <c r="G1879" s="1">
        <v>45728</v>
      </c>
      <c r="H1879" t="s">
        <v>26</v>
      </c>
      <c r="I1879" t="s">
        <v>17</v>
      </c>
      <c r="J1879">
        <v>4</v>
      </c>
      <c r="K1879" t="s">
        <v>18</v>
      </c>
      <c r="L1879" t="s">
        <v>61</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1979</v>
      </c>
      <c r="B1880" t="s">
        <v>29</v>
      </c>
      <c r="C1880">
        <v>1</v>
      </c>
      <c r="D1880">
        <v>84.4</v>
      </c>
      <c r="E1880">
        <v>84.4</v>
      </c>
      <c r="F1880" s="1">
        <v>45726</v>
      </c>
      <c r="G1880" s="1">
        <v>45727</v>
      </c>
      <c r="H1880" t="s">
        <v>26</v>
      </c>
      <c r="I1880" t="s">
        <v>17</v>
      </c>
      <c r="J1880">
        <v>4</v>
      </c>
      <c r="K1880" t="s">
        <v>18</v>
      </c>
      <c r="L1880" t="s">
        <v>61</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1980</v>
      </c>
      <c r="B1881" t="s">
        <v>80</v>
      </c>
      <c r="C1881">
        <v>1</v>
      </c>
      <c r="D1881">
        <v>44.7</v>
      </c>
      <c r="E1881">
        <v>44.7</v>
      </c>
      <c r="F1881" s="1">
        <v>45726</v>
      </c>
      <c r="G1881" s="1">
        <v>45727</v>
      </c>
      <c r="H1881" t="s">
        <v>22</v>
      </c>
      <c r="I1881" t="s">
        <v>17</v>
      </c>
      <c r="J1881">
        <v>3</v>
      </c>
      <c r="K1881" t="s">
        <v>18</v>
      </c>
      <c r="L1881" t="s">
        <v>61</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1981</v>
      </c>
      <c r="B1882" t="s">
        <v>45</v>
      </c>
      <c r="C1882">
        <v>8</v>
      </c>
      <c r="D1882">
        <v>39.4</v>
      </c>
      <c r="E1882">
        <v>315.2</v>
      </c>
      <c r="F1882" s="1">
        <v>45726</v>
      </c>
      <c r="G1882" s="1">
        <v>45727</v>
      </c>
      <c r="H1882" t="s">
        <v>26</v>
      </c>
      <c r="I1882" t="s">
        <v>34</v>
      </c>
      <c r="J1882">
        <v>5</v>
      </c>
      <c r="K1882" t="s">
        <v>18</v>
      </c>
      <c r="L1882" t="s">
        <v>61</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1982</v>
      </c>
      <c r="B1883" t="s">
        <v>66</v>
      </c>
      <c r="C1883">
        <v>4</v>
      </c>
      <c r="D1883">
        <v>34.9</v>
      </c>
      <c r="E1883">
        <v>139.6</v>
      </c>
      <c r="F1883" s="1">
        <v>45726</v>
      </c>
      <c r="G1883" s="1">
        <v>45728</v>
      </c>
      <c r="H1883" t="s">
        <v>26</v>
      </c>
      <c r="I1883" t="s">
        <v>17</v>
      </c>
      <c r="J1883">
        <v>5</v>
      </c>
      <c r="K1883" t="s">
        <v>18</v>
      </c>
      <c r="L1883" t="s">
        <v>61</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1983</v>
      </c>
      <c r="B1884" t="s">
        <v>21</v>
      </c>
      <c r="C1884">
        <v>3</v>
      </c>
      <c r="D1884">
        <v>62.3</v>
      </c>
      <c r="E1884">
        <v>186.89999999999998</v>
      </c>
      <c r="F1884" s="1">
        <v>45726</v>
      </c>
      <c r="G1884" s="1">
        <v>45728</v>
      </c>
      <c r="H1884" t="s">
        <v>22</v>
      </c>
      <c r="I1884" t="s">
        <v>69</v>
      </c>
      <c r="J1884">
        <v>5</v>
      </c>
      <c r="K1884" t="s">
        <v>18</v>
      </c>
      <c r="L1884" t="s">
        <v>61</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1984</v>
      </c>
      <c r="B1885" t="s">
        <v>43</v>
      </c>
      <c r="C1885">
        <v>4</v>
      </c>
      <c r="D1885">
        <v>21.1</v>
      </c>
      <c r="E1885">
        <v>84.4</v>
      </c>
      <c r="F1885" s="1">
        <v>45726</v>
      </c>
      <c r="G1885" s="1">
        <v>45729</v>
      </c>
      <c r="H1885" t="s">
        <v>22</v>
      </c>
      <c r="I1885" t="s">
        <v>50</v>
      </c>
      <c r="J1885">
        <v>4</v>
      </c>
      <c r="K1885" t="s">
        <v>18</v>
      </c>
      <c r="L1885" t="s">
        <v>61</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1985</v>
      </c>
      <c r="B1886" t="s">
        <v>43</v>
      </c>
      <c r="C1886">
        <v>3</v>
      </c>
      <c r="D1886">
        <v>33.200000000000003</v>
      </c>
      <c r="E1886">
        <v>99.600000000000009</v>
      </c>
      <c r="F1886" s="1">
        <v>45726</v>
      </c>
      <c r="G1886" s="1">
        <v>45740</v>
      </c>
      <c r="I1886" t="s">
        <v>17</v>
      </c>
      <c r="J1886">
        <v>2</v>
      </c>
      <c r="K1886" t="s">
        <v>18</v>
      </c>
      <c r="L1886" t="s">
        <v>61</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1986</v>
      </c>
      <c r="B1887" t="s">
        <v>21</v>
      </c>
      <c r="C1887">
        <v>4</v>
      </c>
      <c r="D1887">
        <v>74.5</v>
      </c>
      <c r="E1887">
        <v>298</v>
      </c>
      <c r="F1887" s="1">
        <v>45726</v>
      </c>
      <c r="G1887" s="1">
        <v>45727</v>
      </c>
      <c r="H1887" t="s">
        <v>22</v>
      </c>
      <c r="I1887" t="s">
        <v>69</v>
      </c>
      <c r="J1887">
        <v>4</v>
      </c>
      <c r="K1887" t="s">
        <v>18</v>
      </c>
      <c r="L1887" t="s">
        <v>61</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1987</v>
      </c>
      <c r="B1888" t="s">
        <v>53</v>
      </c>
      <c r="C1888">
        <v>12</v>
      </c>
      <c r="D1888">
        <v>68.599999999999994</v>
      </c>
      <c r="E1888">
        <v>823.19999999999993</v>
      </c>
      <c r="F1888" s="1">
        <v>45726</v>
      </c>
      <c r="G1888" s="1">
        <v>45729</v>
      </c>
      <c r="H1888" t="s">
        <v>26</v>
      </c>
      <c r="I1888" t="s">
        <v>17</v>
      </c>
      <c r="J1888">
        <v>5</v>
      </c>
      <c r="K1888" t="s">
        <v>18</v>
      </c>
      <c r="L1888" t="s">
        <v>61</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1988</v>
      </c>
      <c r="B1889" t="s">
        <v>36</v>
      </c>
      <c r="C1889">
        <v>14</v>
      </c>
      <c r="D1889">
        <v>36.4</v>
      </c>
      <c r="E1889">
        <v>509.59999999999997</v>
      </c>
      <c r="F1889" s="1">
        <v>45726</v>
      </c>
      <c r="G1889" s="1">
        <v>45728</v>
      </c>
      <c r="H1889" t="s">
        <v>26</v>
      </c>
      <c r="I1889" t="s">
        <v>17</v>
      </c>
      <c r="J1889">
        <v>3</v>
      </c>
      <c r="K1889" t="s">
        <v>18</v>
      </c>
      <c r="L1889" t="s">
        <v>71</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1989</v>
      </c>
      <c r="B1890" t="s">
        <v>127</v>
      </c>
      <c r="C1890">
        <v>5</v>
      </c>
      <c r="D1890">
        <v>67.599999999999994</v>
      </c>
      <c r="E1890">
        <v>338</v>
      </c>
      <c r="F1890" s="1">
        <v>45727</v>
      </c>
      <c r="G1890" s="1">
        <v>45730</v>
      </c>
      <c r="H1890" t="s">
        <v>26</v>
      </c>
      <c r="I1890" t="s">
        <v>69</v>
      </c>
      <c r="J1890">
        <v>3</v>
      </c>
      <c r="K1890" t="s">
        <v>18</v>
      </c>
      <c r="L1890" t="s">
        <v>71</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1990</v>
      </c>
      <c r="B1891" t="s">
        <v>122</v>
      </c>
      <c r="C1891">
        <v>1</v>
      </c>
      <c r="D1891">
        <v>46.3</v>
      </c>
      <c r="E1891">
        <v>46.3</v>
      </c>
      <c r="F1891" s="1">
        <v>45727</v>
      </c>
      <c r="G1891" s="1">
        <v>45728</v>
      </c>
      <c r="H1891" t="s">
        <v>22</v>
      </c>
      <c r="I1891" t="s">
        <v>39</v>
      </c>
      <c r="J1891">
        <v>4</v>
      </c>
      <c r="K1891" t="s">
        <v>18</v>
      </c>
      <c r="L1891" t="s">
        <v>71</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1991</v>
      </c>
      <c r="B1892" t="s">
        <v>21</v>
      </c>
      <c r="C1892">
        <v>3</v>
      </c>
      <c r="D1892">
        <v>124.2</v>
      </c>
      <c r="E1892">
        <v>372.6</v>
      </c>
      <c r="F1892" s="1">
        <v>45727</v>
      </c>
      <c r="G1892" s="1">
        <v>45729</v>
      </c>
      <c r="H1892" t="s">
        <v>26</v>
      </c>
      <c r="I1892" t="s">
        <v>34</v>
      </c>
      <c r="J1892">
        <v>5</v>
      </c>
      <c r="K1892" t="s">
        <v>18</v>
      </c>
      <c r="L1892" t="s">
        <v>76</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1992</v>
      </c>
      <c r="B1893" t="s">
        <v>53</v>
      </c>
      <c r="C1893">
        <v>2</v>
      </c>
      <c r="D1893">
        <v>37</v>
      </c>
      <c r="E1893">
        <v>74</v>
      </c>
      <c r="F1893" s="1">
        <v>45727</v>
      </c>
      <c r="G1893" s="1">
        <v>45733</v>
      </c>
      <c r="H1893" t="s">
        <v>22</v>
      </c>
      <c r="I1893" t="s">
        <v>17</v>
      </c>
      <c r="J1893">
        <v>4</v>
      </c>
      <c r="K1893" t="s">
        <v>18</v>
      </c>
      <c r="L1893" t="s">
        <v>76</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1993</v>
      </c>
      <c r="B1894" t="s">
        <v>36</v>
      </c>
      <c r="C1894">
        <v>1</v>
      </c>
      <c r="D1894">
        <v>41.8</v>
      </c>
      <c r="E1894">
        <v>41.8</v>
      </c>
      <c r="F1894" s="1">
        <v>45727</v>
      </c>
      <c r="G1894" s="1">
        <v>45728</v>
      </c>
      <c r="H1894" t="s">
        <v>22</v>
      </c>
      <c r="I1894" t="s">
        <v>39</v>
      </c>
      <c r="J1894">
        <v>4</v>
      </c>
      <c r="K1894" t="s">
        <v>18</v>
      </c>
      <c r="L1894" t="s">
        <v>291</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1994</v>
      </c>
      <c r="B1895" t="s">
        <v>45</v>
      </c>
      <c r="C1895">
        <v>2</v>
      </c>
      <c r="D1895">
        <v>57.2</v>
      </c>
      <c r="E1895">
        <v>114.4</v>
      </c>
      <c r="F1895" s="1">
        <v>45727</v>
      </c>
      <c r="G1895" s="1">
        <v>45729</v>
      </c>
      <c r="H1895" t="s">
        <v>22</v>
      </c>
      <c r="I1895" t="s">
        <v>39</v>
      </c>
      <c r="J1895">
        <v>3</v>
      </c>
      <c r="K1895" t="s">
        <v>18</v>
      </c>
      <c r="L1895" t="s">
        <v>112</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1995</v>
      </c>
      <c r="B1896" t="s">
        <v>38</v>
      </c>
      <c r="C1896">
        <v>2</v>
      </c>
      <c r="D1896">
        <v>47.1</v>
      </c>
      <c r="E1896">
        <v>94.2</v>
      </c>
      <c r="F1896" s="1">
        <v>45727</v>
      </c>
      <c r="G1896" s="1">
        <v>45729</v>
      </c>
      <c r="H1896" t="s">
        <v>26</v>
      </c>
      <c r="I1896" t="s">
        <v>17</v>
      </c>
      <c r="J1896">
        <v>2</v>
      </c>
      <c r="K1896" t="s">
        <v>18</v>
      </c>
      <c r="L1896" t="s">
        <v>112</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1996</v>
      </c>
      <c r="B1897" t="s">
        <v>36</v>
      </c>
      <c r="C1897">
        <v>3</v>
      </c>
      <c r="D1897">
        <v>86.4</v>
      </c>
      <c r="E1897">
        <v>259.20000000000005</v>
      </c>
      <c r="F1897" s="1">
        <v>45727</v>
      </c>
      <c r="G1897" s="1">
        <v>45728</v>
      </c>
      <c r="H1897" t="s">
        <v>22</v>
      </c>
      <c r="I1897" t="s">
        <v>39</v>
      </c>
      <c r="J1897">
        <v>3</v>
      </c>
      <c r="K1897" t="s">
        <v>18</v>
      </c>
      <c r="L1897" t="s">
        <v>996</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1997</v>
      </c>
      <c r="B1898" t="s">
        <v>38</v>
      </c>
      <c r="C1898">
        <v>5</v>
      </c>
      <c r="D1898">
        <v>105</v>
      </c>
      <c r="E1898">
        <v>525</v>
      </c>
      <c r="F1898" s="1">
        <v>45727</v>
      </c>
      <c r="G1898" s="1">
        <v>45730</v>
      </c>
      <c r="H1898" t="s">
        <v>22</v>
      </c>
      <c r="I1898" t="s">
        <v>17</v>
      </c>
      <c r="J1898">
        <v>4</v>
      </c>
      <c r="K1898" t="s">
        <v>18</v>
      </c>
      <c r="L1898" t="s">
        <v>81</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1998</v>
      </c>
      <c r="B1899" t="s">
        <v>145</v>
      </c>
      <c r="C1899">
        <v>1</v>
      </c>
      <c r="D1899">
        <v>33</v>
      </c>
      <c r="E1899">
        <v>33</v>
      </c>
      <c r="F1899" s="1">
        <v>45727</v>
      </c>
      <c r="G1899" s="1">
        <v>45730</v>
      </c>
      <c r="H1899" t="s">
        <v>22</v>
      </c>
      <c r="I1899" t="s">
        <v>69</v>
      </c>
      <c r="J1899">
        <v>4</v>
      </c>
      <c r="K1899" t="s">
        <v>18</v>
      </c>
      <c r="L1899" t="s">
        <v>114</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1999</v>
      </c>
      <c r="B1900" t="s">
        <v>38</v>
      </c>
      <c r="C1900">
        <v>5</v>
      </c>
      <c r="D1900">
        <v>106.6</v>
      </c>
      <c r="E1900">
        <v>533</v>
      </c>
      <c r="F1900" s="1">
        <v>45727</v>
      </c>
      <c r="G1900" s="1">
        <v>45740</v>
      </c>
      <c r="H1900" t="s">
        <v>26</v>
      </c>
      <c r="I1900" t="s">
        <v>39</v>
      </c>
      <c r="J1900">
        <v>4</v>
      </c>
      <c r="K1900" t="s">
        <v>18</v>
      </c>
      <c r="L1900" t="s">
        <v>23</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2000</v>
      </c>
      <c r="B1901" t="s">
        <v>53</v>
      </c>
      <c r="C1901">
        <v>32</v>
      </c>
      <c r="D1901">
        <v>26.8</v>
      </c>
      <c r="E1901">
        <v>857.6</v>
      </c>
      <c r="F1901" s="1">
        <v>45727</v>
      </c>
      <c r="G1901" s="1">
        <v>45728</v>
      </c>
      <c r="H1901" t="s">
        <v>26</v>
      </c>
      <c r="I1901" t="s">
        <v>39</v>
      </c>
      <c r="J1901">
        <v>4</v>
      </c>
      <c r="K1901" t="s">
        <v>18</v>
      </c>
      <c r="L1901" t="s">
        <v>23</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2001</v>
      </c>
      <c r="B1902" t="s">
        <v>134</v>
      </c>
      <c r="C1902">
        <v>5</v>
      </c>
      <c r="D1902">
        <v>25.8</v>
      </c>
      <c r="E1902">
        <v>129</v>
      </c>
      <c r="F1902" s="1">
        <v>45727</v>
      </c>
      <c r="G1902" s="1">
        <v>45727</v>
      </c>
      <c r="H1902" t="s">
        <v>26</v>
      </c>
      <c r="I1902" t="s">
        <v>34</v>
      </c>
      <c r="J1902">
        <v>5</v>
      </c>
      <c r="K1902" t="s">
        <v>18</v>
      </c>
      <c r="L1902" t="s">
        <v>32</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2002</v>
      </c>
      <c r="B1903" t="s">
        <v>25</v>
      </c>
      <c r="C1903">
        <v>3</v>
      </c>
      <c r="D1903">
        <v>217</v>
      </c>
      <c r="E1903">
        <v>651</v>
      </c>
      <c r="F1903" s="1">
        <v>45727</v>
      </c>
      <c r="G1903" s="1">
        <v>45728</v>
      </c>
      <c r="H1903" t="s">
        <v>26</v>
      </c>
      <c r="I1903" t="s">
        <v>34</v>
      </c>
      <c r="J1903">
        <v>3</v>
      </c>
      <c r="K1903" t="s">
        <v>18</v>
      </c>
      <c r="L1903" t="s">
        <v>32</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2003</v>
      </c>
      <c r="B1904" t="s">
        <v>25</v>
      </c>
      <c r="C1904">
        <v>2</v>
      </c>
      <c r="D1904">
        <v>97.3</v>
      </c>
      <c r="E1904">
        <v>194.6</v>
      </c>
      <c r="F1904" s="1">
        <v>45727</v>
      </c>
      <c r="G1904" s="1">
        <v>45728</v>
      </c>
      <c r="H1904" t="s">
        <v>22</v>
      </c>
      <c r="I1904" t="s">
        <v>39</v>
      </c>
      <c r="J1904">
        <v>2</v>
      </c>
      <c r="K1904" t="s">
        <v>18</v>
      </c>
      <c r="L1904" t="s">
        <v>32</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2004</v>
      </c>
      <c r="B1905" t="s">
        <v>21</v>
      </c>
      <c r="C1905">
        <v>1</v>
      </c>
      <c r="D1905">
        <v>49.8</v>
      </c>
      <c r="E1905">
        <v>49.8</v>
      </c>
      <c r="F1905" s="1">
        <v>45727</v>
      </c>
      <c r="G1905" s="1">
        <v>45728</v>
      </c>
      <c r="H1905" t="s">
        <v>26</v>
      </c>
      <c r="I1905" t="s">
        <v>17</v>
      </c>
      <c r="J1905">
        <v>4</v>
      </c>
      <c r="K1905" t="s">
        <v>18</v>
      </c>
      <c r="L1905" t="s">
        <v>32</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2005</v>
      </c>
      <c r="B1906" t="s">
        <v>68</v>
      </c>
      <c r="C1906">
        <v>5</v>
      </c>
      <c r="D1906">
        <v>32.6</v>
      </c>
      <c r="E1906">
        <v>163</v>
      </c>
      <c r="F1906" s="1">
        <v>45727</v>
      </c>
      <c r="G1906" s="1">
        <v>45728</v>
      </c>
      <c r="H1906" t="s">
        <v>26</v>
      </c>
      <c r="I1906" t="s">
        <v>17</v>
      </c>
      <c r="J1906">
        <v>4</v>
      </c>
      <c r="K1906" t="s">
        <v>18</v>
      </c>
      <c r="L1906" t="s">
        <v>32</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2006</v>
      </c>
      <c r="B1907" t="s">
        <v>45</v>
      </c>
      <c r="C1907">
        <v>2</v>
      </c>
      <c r="D1907">
        <v>40.1</v>
      </c>
      <c r="E1907">
        <v>80.2</v>
      </c>
      <c r="F1907" s="1">
        <v>45727</v>
      </c>
      <c r="G1907" s="1">
        <v>45730</v>
      </c>
      <c r="H1907" t="s">
        <v>22</v>
      </c>
      <c r="I1907" t="s">
        <v>34</v>
      </c>
      <c r="J1907">
        <v>5</v>
      </c>
      <c r="K1907" t="s">
        <v>18</v>
      </c>
      <c r="L1907" t="s">
        <v>32</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2007</v>
      </c>
      <c r="B1908" t="s">
        <v>53</v>
      </c>
      <c r="C1908">
        <v>2</v>
      </c>
      <c r="D1908">
        <v>49.4</v>
      </c>
      <c r="E1908">
        <v>98.8</v>
      </c>
      <c r="F1908" s="1">
        <v>45727</v>
      </c>
      <c r="G1908" s="1">
        <v>45729</v>
      </c>
      <c r="H1908" t="s">
        <v>22</v>
      </c>
      <c r="I1908" t="s">
        <v>34</v>
      </c>
      <c r="J1908">
        <v>4</v>
      </c>
      <c r="K1908" t="s">
        <v>18</v>
      </c>
      <c r="L1908" t="s">
        <v>32</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2008</v>
      </c>
      <c r="B1909" t="s">
        <v>25</v>
      </c>
      <c r="C1909">
        <v>1</v>
      </c>
      <c r="D1909">
        <v>67.3</v>
      </c>
      <c r="E1909">
        <v>67.3</v>
      </c>
      <c r="F1909" s="1">
        <v>45727</v>
      </c>
      <c r="G1909" s="1">
        <v>45728</v>
      </c>
      <c r="H1909" t="s">
        <v>26</v>
      </c>
      <c r="I1909" t="s">
        <v>17</v>
      </c>
      <c r="J1909">
        <v>5</v>
      </c>
      <c r="K1909" t="s">
        <v>18</v>
      </c>
      <c r="L1909" t="s">
        <v>32</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2009</v>
      </c>
      <c r="B1910" t="s">
        <v>145</v>
      </c>
      <c r="C1910">
        <v>4</v>
      </c>
      <c r="D1910">
        <v>44.5</v>
      </c>
      <c r="E1910">
        <v>178</v>
      </c>
      <c r="F1910" s="1">
        <v>45727</v>
      </c>
      <c r="G1910" s="1">
        <v>45730</v>
      </c>
      <c r="I1910" t="s">
        <v>34</v>
      </c>
      <c r="J1910">
        <v>4</v>
      </c>
      <c r="K1910" t="s">
        <v>18</v>
      </c>
      <c r="L1910" t="s">
        <v>32</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2010</v>
      </c>
      <c r="B1911" t="s">
        <v>38</v>
      </c>
      <c r="C1911">
        <v>11</v>
      </c>
      <c r="D1911">
        <v>111.1</v>
      </c>
      <c r="E1911">
        <v>1222.0999999999999</v>
      </c>
      <c r="F1911" s="1">
        <v>45727</v>
      </c>
      <c r="G1911" s="1">
        <v>45728</v>
      </c>
      <c r="H1911" t="s">
        <v>26</v>
      </c>
      <c r="I1911" t="s">
        <v>69</v>
      </c>
      <c r="J1911">
        <v>4</v>
      </c>
      <c r="K1911" t="s">
        <v>18</v>
      </c>
      <c r="L1911" t="s">
        <v>32</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2011</v>
      </c>
      <c r="B1912" t="s">
        <v>43</v>
      </c>
      <c r="C1912">
        <v>3</v>
      </c>
      <c r="D1912">
        <v>19.7</v>
      </c>
      <c r="E1912">
        <v>59.099999999999994</v>
      </c>
      <c r="F1912" s="1">
        <v>45727</v>
      </c>
      <c r="G1912" s="1">
        <v>45728</v>
      </c>
      <c r="H1912" t="s">
        <v>26</v>
      </c>
      <c r="I1912" t="s">
        <v>69</v>
      </c>
      <c r="J1912">
        <v>2</v>
      </c>
      <c r="K1912" t="s">
        <v>18</v>
      </c>
      <c r="L1912" t="s">
        <v>32</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2012</v>
      </c>
      <c r="B1913" t="s">
        <v>21</v>
      </c>
      <c r="C1913">
        <v>1</v>
      </c>
      <c r="D1913">
        <v>40.299999999999997</v>
      </c>
      <c r="E1913">
        <v>40.299999999999997</v>
      </c>
      <c r="F1913" s="1">
        <v>45727</v>
      </c>
      <c r="G1913" s="1">
        <v>45728</v>
      </c>
      <c r="H1913" t="s">
        <v>88</v>
      </c>
      <c r="I1913" t="s">
        <v>34</v>
      </c>
      <c r="J1913">
        <v>4</v>
      </c>
      <c r="K1913" t="s">
        <v>18</v>
      </c>
      <c r="L1913" t="s">
        <v>32</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2013</v>
      </c>
      <c r="B1914" t="s">
        <v>38</v>
      </c>
      <c r="C1914">
        <v>2</v>
      </c>
      <c r="D1914">
        <v>108.8</v>
      </c>
      <c r="E1914">
        <v>217.6</v>
      </c>
      <c r="F1914" s="1">
        <v>45727</v>
      </c>
      <c r="G1914" s="1">
        <v>45732</v>
      </c>
      <c r="H1914" t="s">
        <v>22</v>
      </c>
      <c r="I1914" t="s">
        <v>17</v>
      </c>
      <c r="J1914">
        <v>5</v>
      </c>
      <c r="K1914" t="s">
        <v>18</v>
      </c>
      <c r="L1914" t="s">
        <v>54</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2014</v>
      </c>
      <c r="B1915" t="s">
        <v>43</v>
      </c>
      <c r="C1915">
        <v>3</v>
      </c>
      <c r="D1915">
        <v>48.2</v>
      </c>
      <c r="E1915">
        <v>144.60000000000002</v>
      </c>
      <c r="F1915" s="1">
        <v>45727</v>
      </c>
      <c r="G1915" s="1">
        <v>45732</v>
      </c>
      <c r="H1915" t="s">
        <v>26</v>
      </c>
      <c r="I1915" t="s">
        <v>69</v>
      </c>
      <c r="J1915">
        <v>4</v>
      </c>
      <c r="K1915" t="s">
        <v>18</v>
      </c>
      <c r="L1915" t="s">
        <v>58</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2015</v>
      </c>
      <c r="B1916" t="s">
        <v>25</v>
      </c>
      <c r="C1916">
        <v>3</v>
      </c>
      <c r="D1916">
        <v>104.7</v>
      </c>
      <c r="E1916">
        <v>314.10000000000002</v>
      </c>
      <c r="F1916" s="1">
        <v>45727</v>
      </c>
      <c r="G1916" s="1">
        <v>45729</v>
      </c>
      <c r="H1916" t="s">
        <v>26</v>
      </c>
      <c r="I1916" t="s">
        <v>17</v>
      </c>
      <c r="J1916">
        <v>3</v>
      </c>
      <c r="K1916" t="s">
        <v>18</v>
      </c>
      <c r="L1916" t="s">
        <v>58</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2016</v>
      </c>
      <c r="B1917" t="s">
        <v>21</v>
      </c>
      <c r="C1917">
        <v>2</v>
      </c>
      <c r="D1917">
        <v>80.599999999999994</v>
      </c>
      <c r="E1917">
        <v>161.19999999999999</v>
      </c>
      <c r="F1917" s="1">
        <v>45727</v>
      </c>
      <c r="G1917" s="1">
        <v>45727</v>
      </c>
      <c r="H1917" t="s">
        <v>26</v>
      </c>
      <c r="I1917" t="s">
        <v>34</v>
      </c>
      <c r="J1917">
        <v>4</v>
      </c>
      <c r="K1917" t="s">
        <v>18</v>
      </c>
      <c r="L1917" t="s">
        <v>61</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2017</v>
      </c>
      <c r="B1918" t="s">
        <v>38</v>
      </c>
      <c r="C1918">
        <v>1</v>
      </c>
      <c r="D1918">
        <v>65.5</v>
      </c>
      <c r="E1918">
        <v>65.5</v>
      </c>
      <c r="F1918" s="1">
        <v>45727</v>
      </c>
      <c r="G1918" s="1">
        <v>45729</v>
      </c>
      <c r="H1918" t="s">
        <v>88</v>
      </c>
      <c r="I1918" t="s">
        <v>34</v>
      </c>
      <c r="J1918">
        <v>4</v>
      </c>
      <c r="K1918" t="s">
        <v>18</v>
      </c>
      <c r="L1918" t="s">
        <v>61</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2018</v>
      </c>
      <c r="B1919" t="s">
        <v>45</v>
      </c>
      <c r="C1919">
        <v>3</v>
      </c>
      <c r="D1919">
        <v>61.4</v>
      </c>
      <c r="E1919">
        <v>184.2</v>
      </c>
      <c r="F1919" s="1">
        <v>45727</v>
      </c>
      <c r="G1919" s="1">
        <v>45729</v>
      </c>
      <c r="H1919" t="s">
        <v>26</v>
      </c>
      <c r="I1919" t="s">
        <v>69</v>
      </c>
      <c r="J1919">
        <v>5</v>
      </c>
      <c r="K1919" t="s">
        <v>18</v>
      </c>
      <c r="L1919" t="s">
        <v>61</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2019</v>
      </c>
      <c r="B1920" t="s">
        <v>16</v>
      </c>
      <c r="C1920">
        <v>1</v>
      </c>
      <c r="D1920">
        <v>12.5</v>
      </c>
      <c r="E1920">
        <v>12.5</v>
      </c>
      <c r="F1920" s="1">
        <v>45728</v>
      </c>
      <c r="G1920" s="1">
        <v>45731</v>
      </c>
      <c r="H1920" t="s">
        <v>26</v>
      </c>
      <c r="I1920" t="s">
        <v>17</v>
      </c>
      <c r="J1920">
        <v>3</v>
      </c>
      <c r="K1920" t="s">
        <v>18</v>
      </c>
      <c r="L1920" t="s">
        <v>61</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2020</v>
      </c>
      <c r="B1921" t="s">
        <v>31</v>
      </c>
      <c r="C1921">
        <v>4</v>
      </c>
      <c r="D1921">
        <v>35.1</v>
      </c>
      <c r="E1921">
        <v>140.4</v>
      </c>
      <c r="F1921" s="1">
        <v>45728</v>
      </c>
      <c r="G1921" s="1">
        <v>45729</v>
      </c>
      <c r="H1921" t="s">
        <v>22</v>
      </c>
      <c r="I1921" t="s">
        <v>39</v>
      </c>
      <c r="J1921">
        <v>3</v>
      </c>
      <c r="K1921" t="s">
        <v>18</v>
      </c>
      <c r="L1921" t="s">
        <v>102</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2021</v>
      </c>
      <c r="B1922" t="s">
        <v>36</v>
      </c>
      <c r="C1922">
        <v>2</v>
      </c>
      <c r="D1922">
        <v>55.7</v>
      </c>
      <c r="E1922">
        <v>111.4</v>
      </c>
      <c r="F1922" s="1">
        <v>45728</v>
      </c>
      <c r="G1922" s="1">
        <v>45729</v>
      </c>
      <c r="H1922" t="s">
        <v>22</v>
      </c>
      <c r="I1922" t="s">
        <v>17</v>
      </c>
      <c r="J1922">
        <v>3</v>
      </c>
      <c r="K1922" t="s">
        <v>18</v>
      </c>
      <c r="L1922" t="s">
        <v>200</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2022</v>
      </c>
      <c r="B1923" t="s">
        <v>41</v>
      </c>
      <c r="C1923">
        <v>2</v>
      </c>
      <c r="D1923">
        <v>57.7</v>
      </c>
      <c r="E1923">
        <v>115.4</v>
      </c>
      <c r="F1923" s="1">
        <v>45728</v>
      </c>
      <c r="G1923" s="1">
        <v>45730</v>
      </c>
      <c r="H1923" t="s">
        <v>22</v>
      </c>
      <c r="I1923" t="s">
        <v>69</v>
      </c>
      <c r="J1923">
        <v>3</v>
      </c>
      <c r="K1923" t="s">
        <v>18</v>
      </c>
      <c r="L1923" t="s">
        <v>71</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2023</v>
      </c>
      <c r="B1924" t="s">
        <v>25</v>
      </c>
      <c r="C1924">
        <v>6</v>
      </c>
      <c r="D1924">
        <v>85.7</v>
      </c>
      <c r="E1924">
        <v>514.20000000000005</v>
      </c>
      <c r="F1924" s="1">
        <v>45728</v>
      </c>
      <c r="G1924" s="1">
        <v>45729</v>
      </c>
      <c r="H1924" t="s">
        <v>22</v>
      </c>
      <c r="I1924" t="s">
        <v>50</v>
      </c>
      <c r="J1924">
        <v>5</v>
      </c>
      <c r="K1924" t="s">
        <v>18</v>
      </c>
      <c r="L1924" t="s">
        <v>71</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2024</v>
      </c>
      <c r="B1925" t="s">
        <v>25</v>
      </c>
      <c r="C1925">
        <v>3</v>
      </c>
      <c r="D1925">
        <v>86.9</v>
      </c>
      <c r="E1925">
        <v>260.70000000000005</v>
      </c>
      <c r="F1925" s="1">
        <v>45728</v>
      </c>
      <c r="G1925" s="1">
        <v>45730</v>
      </c>
      <c r="H1925" t="s">
        <v>26</v>
      </c>
      <c r="I1925" t="s">
        <v>34</v>
      </c>
      <c r="J1925">
        <v>4</v>
      </c>
      <c r="K1925" t="s">
        <v>18</v>
      </c>
      <c r="L1925" t="s">
        <v>76</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2025</v>
      </c>
      <c r="B1926" t="s">
        <v>145</v>
      </c>
      <c r="C1926">
        <v>2</v>
      </c>
      <c r="D1926">
        <v>46.4</v>
      </c>
      <c r="E1926">
        <v>92.8</v>
      </c>
      <c r="F1926" s="1">
        <v>45728</v>
      </c>
      <c r="G1926" s="1">
        <v>45731</v>
      </c>
      <c r="H1926" t="s">
        <v>26</v>
      </c>
      <c r="I1926" t="s">
        <v>69</v>
      </c>
      <c r="J1926">
        <v>4</v>
      </c>
      <c r="K1926" t="s">
        <v>18</v>
      </c>
      <c r="L1926" t="s">
        <v>76</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2026</v>
      </c>
      <c r="B1927" t="s">
        <v>36</v>
      </c>
      <c r="C1927">
        <v>3</v>
      </c>
      <c r="D1927">
        <v>25.4</v>
      </c>
      <c r="E1927">
        <v>76.199999999999989</v>
      </c>
      <c r="F1927" s="1">
        <v>45728</v>
      </c>
      <c r="G1927" s="1">
        <v>45728</v>
      </c>
      <c r="H1927" t="s">
        <v>26</v>
      </c>
      <c r="I1927" t="s">
        <v>39</v>
      </c>
      <c r="J1927">
        <v>5</v>
      </c>
      <c r="K1927" t="s">
        <v>18</v>
      </c>
      <c r="L1927" t="s">
        <v>107</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2027</v>
      </c>
      <c r="B1928" t="s">
        <v>53</v>
      </c>
      <c r="C1928">
        <v>3</v>
      </c>
      <c r="D1928">
        <v>47.8</v>
      </c>
      <c r="E1928">
        <v>143.39999999999998</v>
      </c>
      <c r="F1928" s="1">
        <v>45728</v>
      </c>
      <c r="G1928" s="1">
        <v>45728</v>
      </c>
      <c r="I1928" t="s">
        <v>39</v>
      </c>
      <c r="J1928">
        <v>5</v>
      </c>
      <c r="K1928" t="s">
        <v>18</v>
      </c>
      <c r="L1928" t="s">
        <v>109</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2028</v>
      </c>
      <c r="B1929" t="s">
        <v>43</v>
      </c>
      <c r="C1929">
        <v>19</v>
      </c>
      <c r="D1929">
        <v>18.399999999999999</v>
      </c>
      <c r="E1929">
        <v>349.59999999999997</v>
      </c>
      <c r="F1929" s="1">
        <v>45728</v>
      </c>
      <c r="G1929" s="1">
        <v>45730</v>
      </c>
      <c r="H1929" t="s">
        <v>88</v>
      </c>
      <c r="I1929" t="s">
        <v>39</v>
      </c>
      <c r="J1929">
        <v>4</v>
      </c>
      <c r="K1929" t="s">
        <v>18</v>
      </c>
      <c r="L1929" t="s">
        <v>112</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2029</v>
      </c>
      <c r="B1930" t="s">
        <v>68</v>
      </c>
      <c r="C1930">
        <v>3</v>
      </c>
      <c r="D1930">
        <v>65.5</v>
      </c>
      <c r="E1930">
        <v>196.5</v>
      </c>
      <c r="F1930" s="1">
        <v>45728</v>
      </c>
      <c r="G1930" s="1">
        <v>45736</v>
      </c>
      <c r="H1930" t="s">
        <v>26</v>
      </c>
      <c r="I1930" t="s">
        <v>17</v>
      </c>
      <c r="J1930">
        <v>4</v>
      </c>
      <c r="K1930" t="s">
        <v>18</v>
      </c>
      <c r="L1930" t="s">
        <v>114</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2030</v>
      </c>
      <c r="B1931" t="s">
        <v>53</v>
      </c>
      <c r="C1931">
        <v>2</v>
      </c>
      <c r="D1931">
        <v>50.6</v>
      </c>
      <c r="E1931">
        <v>101.2</v>
      </c>
      <c r="F1931" s="1">
        <v>45728</v>
      </c>
      <c r="G1931" s="1">
        <v>45731</v>
      </c>
      <c r="H1931" t="s">
        <v>22</v>
      </c>
      <c r="I1931" t="s">
        <v>39</v>
      </c>
      <c r="J1931">
        <v>2</v>
      </c>
      <c r="K1931" t="s">
        <v>18</v>
      </c>
      <c r="L1931" t="s">
        <v>114</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2031</v>
      </c>
      <c r="B1932" t="s">
        <v>29</v>
      </c>
      <c r="C1932">
        <v>5</v>
      </c>
      <c r="D1932">
        <v>69</v>
      </c>
      <c r="E1932">
        <v>345</v>
      </c>
      <c r="F1932" s="1">
        <v>45728</v>
      </c>
      <c r="G1932" s="1">
        <v>45732</v>
      </c>
      <c r="H1932" t="s">
        <v>22</v>
      </c>
      <c r="I1932" t="s">
        <v>50</v>
      </c>
      <c r="J1932">
        <v>4</v>
      </c>
      <c r="K1932" t="s">
        <v>18</v>
      </c>
      <c r="L1932" t="s">
        <v>114</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2032</v>
      </c>
      <c r="B1933" t="s">
        <v>45</v>
      </c>
      <c r="C1933">
        <v>8</v>
      </c>
      <c r="D1933">
        <v>51.1</v>
      </c>
      <c r="E1933">
        <v>408.8</v>
      </c>
      <c r="F1933" s="1">
        <v>45728</v>
      </c>
      <c r="G1933" s="1">
        <v>45730</v>
      </c>
      <c r="H1933" t="s">
        <v>26</v>
      </c>
      <c r="I1933" t="s">
        <v>17</v>
      </c>
      <c r="J1933">
        <v>4</v>
      </c>
      <c r="K1933" t="s">
        <v>18</v>
      </c>
      <c r="L1933" t="s">
        <v>23</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2033</v>
      </c>
      <c r="B1934" t="s">
        <v>45</v>
      </c>
      <c r="C1934">
        <v>1</v>
      </c>
      <c r="D1934">
        <v>36.1</v>
      </c>
      <c r="E1934">
        <v>36.1</v>
      </c>
      <c r="F1934" s="1">
        <v>45728</v>
      </c>
      <c r="G1934" s="1">
        <v>45729</v>
      </c>
      <c r="H1934" t="s">
        <v>26</v>
      </c>
      <c r="I1934" t="s">
        <v>17</v>
      </c>
      <c r="J1934">
        <v>5</v>
      </c>
      <c r="K1934" t="s">
        <v>18</v>
      </c>
      <c r="L1934" t="s">
        <v>333</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2034</v>
      </c>
      <c r="B1935" t="s">
        <v>80</v>
      </c>
      <c r="C1935">
        <v>1</v>
      </c>
      <c r="D1935">
        <v>18.7</v>
      </c>
      <c r="E1935">
        <v>18.7</v>
      </c>
      <c r="F1935" s="1">
        <v>45728</v>
      </c>
      <c r="G1935" s="1">
        <v>45729</v>
      </c>
      <c r="H1935" t="s">
        <v>22</v>
      </c>
      <c r="I1935" t="s">
        <v>17</v>
      </c>
      <c r="J1935">
        <v>4</v>
      </c>
      <c r="K1935" t="s">
        <v>18</v>
      </c>
      <c r="L1935" t="s">
        <v>32</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2035</v>
      </c>
      <c r="B1936" t="s">
        <v>134</v>
      </c>
      <c r="C1936">
        <v>1</v>
      </c>
      <c r="D1936">
        <v>30.1</v>
      </c>
      <c r="E1936">
        <v>30.1</v>
      </c>
      <c r="F1936" s="1">
        <v>45728</v>
      </c>
      <c r="G1936" s="1">
        <v>45731</v>
      </c>
      <c r="H1936" t="s">
        <v>26</v>
      </c>
      <c r="I1936" t="s">
        <v>50</v>
      </c>
      <c r="J1936">
        <v>3</v>
      </c>
      <c r="K1936" t="s">
        <v>18</v>
      </c>
      <c r="L1936" t="s">
        <v>32</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2036</v>
      </c>
      <c r="B1937" t="s">
        <v>43</v>
      </c>
      <c r="C1937">
        <v>1</v>
      </c>
      <c r="D1937">
        <v>16.3</v>
      </c>
      <c r="E1937">
        <v>16.3</v>
      </c>
      <c r="F1937" s="1">
        <v>45728</v>
      </c>
      <c r="G1937" s="1">
        <v>45729</v>
      </c>
      <c r="H1937" t="s">
        <v>22</v>
      </c>
      <c r="I1937" t="s">
        <v>50</v>
      </c>
      <c r="J1937">
        <v>4</v>
      </c>
      <c r="K1937" t="s">
        <v>18</v>
      </c>
      <c r="L1937" t="s">
        <v>32</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2037</v>
      </c>
      <c r="B1938" t="s">
        <v>21</v>
      </c>
      <c r="C1938">
        <v>3</v>
      </c>
      <c r="D1938">
        <v>63.8</v>
      </c>
      <c r="E1938">
        <v>191.39999999999998</v>
      </c>
      <c r="F1938" s="1">
        <v>45728</v>
      </c>
      <c r="G1938" s="1">
        <v>45733</v>
      </c>
      <c r="H1938" t="s">
        <v>26</v>
      </c>
      <c r="I1938" t="s">
        <v>39</v>
      </c>
      <c r="J1938">
        <v>3</v>
      </c>
      <c r="K1938" t="s">
        <v>18</v>
      </c>
      <c r="L1938" t="s">
        <v>32</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2038</v>
      </c>
      <c r="B1939" t="s">
        <v>21</v>
      </c>
      <c r="C1939">
        <v>7</v>
      </c>
      <c r="D1939">
        <v>73.900000000000006</v>
      </c>
      <c r="E1939">
        <v>517.30000000000007</v>
      </c>
      <c r="F1939" s="1">
        <v>45728</v>
      </c>
      <c r="G1939" s="1">
        <v>45728</v>
      </c>
      <c r="H1939" t="s">
        <v>26</v>
      </c>
      <c r="I1939" t="s">
        <v>17</v>
      </c>
      <c r="J1939">
        <v>3</v>
      </c>
      <c r="K1939" t="s">
        <v>18</v>
      </c>
      <c r="L1939" t="s">
        <v>32</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2039</v>
      </c>
      <c r="B1940" t="s">
        <v>16</v>
      </c>
      <c r="C1940">
        <v>2</v>
      </c>
      <c r="D1940">
        <v>20.2</v>
      </c>
      <c r="E1940">
        <v>40.4</v>
      </c>
      <c r="F1940" s="1">
        <v>45728</v>
      </c>
      <c r="G1940" s="1">
        <v>45729</v>
      </c>
      <c r="H1940" t="s">
        <v>22</v>
      </c>
      <c r="I1940" t="s">
        <v>17</v>
      </c>
      <c r="J1940">
        <v>3</v>
      </c>
      <c r="K1940" t="s">
        <v>18</v>
      </c>
      <c r="L1940" t="s">
        <v>32</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2040</v>
      </c>
      <c r="B1941" t="s">
        <v>66</v>
      </c>
      <c r="C1941">
        <v>11</v>
      </c>
      <c r="D1941">
        <v>29.5</v>
      </c>
      <c r="E1941">
        <v>324.5</v>
      </c>
      <c r="F1941" s="1">
        <v>45728</v>
      </c>
      <c r="G1941" s="1">
        <v>45729</v>
      </c>
      <c r="H1941" t="s">
        <v>22</v>
      </c>
      <c r="I1941" t="s">
        <v>17</v>
      </c>
      <c r="J1941">
        <v>4</v>
      </c>
      <c r="K1941" t="s">
        <v>18</v>
      </c>
      <c r="L1941" t="s">
        <v>32</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2041</v>
      </c>
      <c r="B1942" t="s">
        <v>122</v>
      </c>
      <c r="C1942">
        <v>7</v>
      </c>
      <c r="D1942">
        <v>37.9</v>
      </c>
      <c r="E1942">
        <v>265.3</v>
      </c>
      <c r="F1942" s="1">
        <v>45728</v>
      </c>
      <c r="G1942" s="1">
        <v>45729</v>
      </c>
      <c r="H1942" t="s">
        <v>22</v>
      </c>
      <c r="I1942" t="s">
        <v>34</v>
      </c>
      <c r="J1942">
        <v>4</v>
      </c>
      <c r="K1942" t="s">
        <v>18</v>
      </c>
      <c r="L1942" t="s">
        <v>32</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2042</v>
      </c>
      <c r="B1943" t="s">
        <v>25</v>
      </c>
      <c r="C1943">
        <v>1</v>
      </c>
      <c r="D1943">
        <v>56.5</v>
      </c>
      <c r="E1943">
        <v>56.5</v>
      </c>
      <c r="F1943" s="1">
        <v>45728</v>
      </c>
      <c r="G1943" s="1">
        <v>45729</v>
      </c>
      <c r="H1943" t="s">
        <v>26</v>
      </c>
      <c r="I1943" t="s">
        <v>39</v>
      </c>
      <c r="J1943">
        <v>3</v>
      </c>
      <c r="K1943" t="s">
        <v>18</v>
      </c>
      <c r="L1943" t="s">
        <v>32</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2043</v>
      </c>
      <c r="B1944" t="s">
        <v>25</v>
      </c>
      <c r="C1944">
        <v>2</v>
      </c>
      <c r="D1944">
        <v>66.900000000000006</v>
      </c>
      <c r="E1944">
        <v>133.80000000000001</v>
      </c>
      <c r="F1944" s="1">
        <v>45728</v>
      </c>
      <c r="G1944" s="1">
        <v>45734</v>
      </c>
      <c r="H1944" t="s">
        <v>22</v>
      </c>
      <c r="I1944" t="s">
        <v>34</v>
      </c>
      <c r="J1944">
        <v>2</v>
      </c>
      <c r="K1944" t="s">
        <v>18</v>
      </c>
      <c r="L1944" t="s">
        <v>187</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2044</v>
      </c>
      <c r="B1945" t="s">
        <v>25</v>
      </c>
      <c r="C1945">
        <v>5</v>
      </c>
      <c r="D1945">
        <v>51.9</v>
      </c>
      <c r="E1945">
        <v>259.5</v>
      </c>
      <c r="F1945" s="1">
        <v>45728</v>
      </c>
      <c r="G1945" s="1">
        <v>45731</v>
      </c>
      <c r="H1945" t="s">
        <v>22</v>
      </c>
      <c r="I1945" t="s">
        <v>34</v>
      </c>
      <c r="J1945">
        <v>4</v>
      </c>
      <c r="K1945" t="s">
        <v>18</v>
      </c>
      <c r="L1945" t="s">
        <v>58</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2045</v>
      </c>
      <c r="B1946" t="s">
        <v>25</v>
      </c>
      <c r="C1946">
        <v>2</v>
      </c>
      <c r="D1946">
        <v>75.599999999999994</v>
      </c>
      <c r="E1946">
        <v>151.19999999999999</v>
      </c>
      <c r="F1946" s="1">
        <v>45728</v>
      </c>
      <c r="G1946" s="1">
        <v>45731</v>
      </c>
      <c r="H1946" t="s">
        <v>22</v>
      </c>
      <c r="I1946" t="s">
        <v>34</v>
      </c>
      <c r="J1946">
        <v>4</v>
      </c>
      <c r="K1946" t="s">
        <v>18</v>
      </c>
      <c r="L1946" t="s">
        <v>61</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2046</v>
      </c>
      <c r="B1947" t="s">
        <v>68</v>
      </c>
      <c r="C1947">
        <v>6</v>
      </c>
      <c r="D1947">
        <v>47.3</v>
      </c>
      <c r="E1947">
        <v>283.79999999999995</v>
      </c>
      <c r="F1947" s="1">
        <v>45728</v>
      </c>
      <c r="G1947" s="1">
        <v>45739</v>
      </c>
      <c r="H1947" t="s">
        <v>22</v>
      </c>
      <c r="I1947" t="s">
        <v>17</v>
      </c>
      <c r="J1947">
        <v>4</v>
      </c>
      <c r="K1947" t="s">
        <v>18</v>
      </c>
      <c r="L1947" t="s">
        <v>61</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2047</v>
      </c>
      <c r="B1948" t="s">
        <v>31</v>
      </c>
      <c r="C1948">
        <v>1</v>
      </c>
      <c r="D1948">
        <v>20.6</v>
      </c>
      <c r="E1948">
        <v>20.6</v>
      </c>
      <c r="F1948" s="1">
        <v>45728</v>
      </c>
      <c r="G1948" s="1">
        <v>45729</v>
      </c>
      <c r="I1948" t="s">
        <v>17</v>
      </c>
      <c r="J1948">
        <v>3</v>
      </c>
      <c r="K1948" t="s">
        <v>18</v>
      </c>
      <c r="L1948" t="s">
        <v>61</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2048</v>
      </c>
      <c r="B1949" t="s">
        <v>38</v>
      </c>
      <c r="C1949">
        <v>3</v>
      </c>
      <c r="D1949">
        <v>49.7</v>
      </c>
      <c r="E1949">
        <v>149.10000000000002</v>
      </c>
      <c r="F1949" s="1">
        <v>45728</v>
      </c>
      <c r="G1949" s="1">
        <v>45730</v>
      </c>
      <c r="H1949" t="s">
        <v>22</v>
      </c>
      <c r="I1949" t="s">
        <v>17</v>
      </c>
      <c r="J1949">
        <v>3</v>
      </c>
      <c r="K1949" t="s">
        <v>18</v>
      </c>
      <c r="L1949" t="s">
        <v>61</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2049</v>
      </c>
      <c r="B1950" t="s">
        <v>29</v>
      </c>
      <c r="C1950">
        <v>1</v>
      </c>
      <c r="D1950">
        <v>37.9</v>
      </c>
      <c r="E1950">
        <v>37.9</v>
      </c>
      <c r="F1950" s="1">
        <v>45728</v>
      </c>
      <c r="G1950" s="1">
        <v>45730</v>
      </c>
      <c r="H1950" t="s">
        <v>26</v>
      </c>
      <c r="I1950" t="s">
        <v>17</v>
      </c>
      <c r="J1950">
        <v>4</v>
      </c>
      <c r="K1950" t="s">
        <v>18</v>
      </c>
      <c r="L1950" t="s">
        <v>61</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2050</v>
      </c>
      <c r="B1951" t="s">
        <v>75</v>
      </c>
      <c r="C1951">
        <v>15</v>
      </c>
      <c r="D1951">
        <v>32</v>
      </c>
      <c r="E1951">
        <v>480</v>
      </c>
      <c r="F1951" s="1">
        <v>45728</v>
      </c>
      <c r="G1951" s="1">
        <v>45730</v>
      </c>
      <c r="H1951" t="s">
        <v>26</v>
      </c>
      <c r="I1951" t="s">
        <v>69</v>
      </c>
      <c r="J1951">
        <v>4</v>
      </c>
      <c r="K1951" t="s">
        <v>18</v>
      </c>
      <c r="L1951" t="s">
        <v>76</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2051</v>
      </c>
      <c r="B1952" t="s">
        <v>53</v>
      </c>
      <c r="C1952">
        <v>18</v>
      </c>
      <c r="D1952">
        <v>38.5</v>
      </c>
      <c r="E1952">
        <v>693</v>
      </c>
      <c r="F1952" s="1">
        <v>45729</v>
      </c>
      <c r="G1952" s="1">
        <v>45730</v>
      </c>
      <c r="H1952" t="s">
        <v>22</v>
      </c>
      <c r="I1952" t="s">
        <v>17</v>
      </c>
      <c r="J1952">
        <v>5</v>
      </c>
      <c r="K1952" t="s">
        <v>18</v>
      </c>
      <c r="L1952" t="s">
        <v>76</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2052</v>
      </c>
      <c r="B1953" t="s">
        <v>16</v>
      </c>
      <c r="C1953">
        <v>4</v>
      </c>
      <c r="D1953">
        <v>11.7</v>
      </c>
      <c r="E1953">
        <v>46.8</v>
      </c>
      <c r="F1953" s="1">
        <v>45729</v>
      </c>
      <c r="G1953" s="1">
        <v>45731</v>
      </c>
      <c r="H1953" t="s">
        <v>26</v>
      </c>
      <c r="I1953" t="s">
        <v>34</v>
      </c>
      <c r="J1953">
        <v>4</v>
      </c>
      <c r="K1953" t="s">
        <v>18</v>
      </c>
      <c r="L1953" t="s">
        <v>112</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2053</v>
      </c>
      <c r="B1954" t="s">
        <v>29</v>
      </c>
      <c r="C1954">
        <v>6</v>
      </c>
      <c r="D1954">
        <v>83.8</v>
      </c>
      <c r="E1954">
        <v>502.79999999999995</v>
      </c>
      <c r="F1954" s="1">
        <v>45729</v>
      </c>
      <c r="G1954" s="1">
        <v>45730</v>
      </c>
      <c r="H1954" t="s">
        <v>22</v>
      </c>
      <c r="I1954" t="s">
        <v>17</v>
      </c>
      <c r="J1954">
        <v>4</v>
      </c>
      <c r="K1954" t="s">
        <v>18</v>
      </c>
      <c r="L1954" t="s">
        <v>114</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2054</v>
      </c>
      <c r="B1955" t="s">
        <v>16</v>
      </c>
      <c r="C1955">
        <v>7</v>
      </c>
      <c r="D1955">
        <v>14</v>
      </c>
      <c r="E1955">
        <v>98</v>
      </c>
      <c r="F1955" s="1">
        <v>45729</v>
      </c>
      <c r="G1955" s="1">
        <v>45732</v>
      </c>
      <c r="H1955" t="s">
        <v>22</v>
      </c>
      <c r="I1955" t="s">
        <v>17</v>
      </c>
      <c r="J1955">
        <v>3</v>
      </c>
      <c r="K1955" t="s">
        <v>18</v>
      </c>
      <c r="L1955" t="s">
        <v>146</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2055</v>
      </c>
      <c r="B1956" t="s">
        <v>127</v>
      </c>
      <c r="C1956">
        <v>4</v>
      </c>
      <c r="D1956">
        <v>77.3</v>
      </c>
      <c r="E1956">
        <v>309.2</v>
      </c>
      <c r="F1956" s="1">
        <v>45729</v>
      </c>
      <c r="G1956" s="1">
        <v>45731</v>
      </c>
      <c r="H1956" t="s">
        <v>26</v>
      </c>
      <c r="I1956" t="s">
        <v>69</v>
      </c>
      <c r="J1956">
        <v>5</v>
      </c>
      <c r="K1956" t="s">
        <v>18</v>
      </c>
      <c r="L1956" t="s">
        <v>32</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2056</v>
      </c>
      <c r="B1957" t="s">
        <v>25</v>
      </c>
      <c r="C1957">
        <v>2</v>
      </c>
      <c r="D1957">
        <v>76.900000000000006</v>
      </c>
      <c r="E1957">
        <v>153.80000000000001</v>
      </c>
      <c r="F1957" s="1">
        <v>45729</v>
      </c>
      <c r="G1957" s="1">
        <v>45733</v>
      </c>
      <c r="H1957" t="s">
        <v>26</v>
      </c>
      <c r="I1957" t="s">
        <v>17</v>
      </c>
      <c r="J1957">
        <v>3</v>
      </c>
      <c r="K1957" t="s">
        <v>18</v>
      </c>
      <c r="L1957" t="s">
        <v>32</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2057</v>
      </c>
      <c r="B1958" t="s">
        <v>21</v>
      </c>
      <c r="C1958">
        <v>1</v>
      </c>
      <c r="D1958">
        <v>48</v>
      </c>
      <c r="E1958">
        <v>48</v>
      </c>
      <c r="F1958" s="1">
        <v>45729</v>
      </c>
      <c r="G1958" s="1">
        <v>45731</v>
      </c>
      <c r="H1958" t="s">
        <v>26</v>
      </c>
      <c r="I1958" t="s">
        <v>34</v>
      </c>
      <c r="J1958">
        <v>5</v>
      </c>
      <c r="K1958" t="s">
        <v>18</v>
      </c>
      <c r="L1958" t="s">
        <v>32</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2058</v>
      </c>
      <c r="B1959" t="s">
        <v>25</v>
      </c>
      <c r="C1959">
        <v>1</v>
      </c>
      <c r="D1959">
        <v>94.5</v>
      </c>
      <c r="E1959">
        <v>94.5</v>
      </c>
      <c r="F1959" s="1">
        <v>45729</v>
      </c>
      <c r="G1959" s="1">
        <v>45732</v>
      </c>
      <c r="H1959" t="s">
        <v>22</v>
      </c>
      <c r="I1959" t="s">
        <v>34</v>
      </c>
      <c r="J1959">
        <v>3</v>
      </c>
      <c r="K1959" t="s">
        <v>18</v>
      </c>
      <c r="L1959" t="s">
        <v>32</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2059</v>
      </c>
      <c r="B1960" t="s">
        <v>53</v>
      </c>
      <c r="C1960">
        <v>3</v>
      </c>
      <c r="D1960">
        <v>58.4</v>
      </c>
      <c r="E1960">
        <v>175.2</v>
      </c>
      <c r="F1960" s="1">
        <v>45729</v>
      </c>
      <c r="G1960" s="1">
        <v>45731</v>
      </c>
      <c r="H1960" t="s">
        <v>26</v>
      </c>
      <c r="I1960" t="s">
        <v>34</v>
      </c>
      <c r="J1960">
        <v>5</v>
      </c>
      <c r="K1960" t="s">
        <v>18</v>
      </c>
      <c r="L1960" t="s">
        <v>32</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2060</v>
      </c>
      <c r="B1961" t="s">
        <v>41</v>
      </c>
      <c r="C1961">
        <v>13</v>
      </c>
      <c r="D1961">
        <v>42.2</v>
      </c>
      <c r="E1961">
        <v>548.6</v>
      </c>
      <c r="F1961" s="1">
        <v>45729</v>
      </c>
      <c r="G1961" s="1">
        <v>45729</v>
      </c>
      <c r="H1961" t="s">
        <v>22</v>
      </c>
      <c r="I1961" t="s">
        <v>17</v>
      </c>
      <c r="J1961">
        <v>4</v>
      </c>
      <c r="K1961" t="s">
        <v>18</v>
      </c>
      <c r="L1961" t="s">
        <v>187</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2061</v>
      </c>
      <c r="B1962" t="s">
        <v>38</v>
      </c>
      <c r="C1962">
        <v>2</v>
      </c>
      <c r="D1962">
        <v>152.19999999999999</v>
      </c>
      <c r="E1962">
        <v>304.39999999999998</v>
      </c>
      <c r="F1962" s="1">
        <v>45729</v>
      </c>
      <c r="G1962" s="1">
        <v>45730</v>
      </c>
      <c r="H1962" t="s">
        <v>22</v>
      </c>
      <c r="I1962" t="s">
        <v>69</v>
      </c>
      <c r="J1962">
        <v>3</v>
      </c>
      <c r="K1962" t="s">
        <v>18</v>
      </c>
      <c r="L1962" t="s">
        <v>187</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2062</v>
      </c>
      <c r="B1963" t="s">
        <v>38</v>
      </c>
      <c r="C1963">
        <v>24</v>
      </c>
      <c r="D1963">
        <v>72</v>
      </c>
      <c r="E1963">
        <v>1728</v>
      </c>
      <c r="F1963" s="1">
        <v>45729</v>
      </c>
      <c r="G1963" s="1">
        <v>45730</v>
      </c>
      <c r="H1963" t="s">
        <v>22</v>
      </c>
      <c r="I1963" t="s">
        <v>17</v>
      </c>
      <c r="J1963">
        <v>3</v>
      </c>
      <c r="K1963" t="s">
        <v>18</v>
      </c>
      <c r="L1963" t="s">
        <v>54</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2063</v>
      </c>
      <c r="B1964" t="s">
        <v>21</v>
      </c>
      <c r="C1964">
        <v>23</v>
      </c>
      <c r="D1964">
        <v>70.900000000000006</v>
      </c>
      <c r="E1964">
        <v>1630.7</v>
      </c>
      <c r="F1964" s="1">
        <v>45729</v>
      </c>
      <c r="G1964" s="1">
        <v>45730</v>
      </c>
      <c r="H1964" t="s">
        <v>26</v>
      </c>
      <c r="I1964" t="s">
        <v>39</v>
      </c>
      <c r="J1964">
        <v>4</v>
      </c>
      <c r="K1964" t="s">
        <v>18</v>
      </c>
      <c r="L1964" t="s">
        <v>61</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2064</v>
      </c>
      <c r="B1965" t="s">
        <v>25</v>
      </c>
      <c r="C1965">
        <v>2</v>
      </c>
      <c r="D1965">
        <v>53.7</v>
      </c>
      <c r="E1965">
        <v>107.4</v>
      </c>
      <c r="F1965" s="1">
        <v>45729</v>
      </c>
      <c r="G1965" s="1">
        <v>45730</v>
      </c>
      <c r="H1965" t="s">
        <v>22</v>
      </c>
      <c r="I1965" t="s">
        <v>39</v>
      </c>
      <c r="J1965">
        <v>5</v>
      </c>
      <c r="K1965" t="s">
        <v>18</v>
      </c>
      <c r="L1965" t="s">
        <v>61</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2065</v>
      </c>
      <c r="B1966" t="s">
        <v>45</v>
      </c>
      <c r="C1966">
        <v>4</v>
      </c>
      <c r="D1966">
        <v>42.9</v>
      </c>
      <c r="E1966">
        <v>171.6</v>
      </c>
      <c r="F1966" s="1">
        <v>45729</v>
      </c>
      <c r="G1966" s="1">
        <v>45730</v>
      </c>
      <c r="H1966" t="s">
        <v>26</v>
      </c>
      <c r="I1966" t="s">
        <v>39</v>
      </c>
      <c r="J1966">
        <v>2</v>
      </c>
      <c r="K1966" t="s">
        <v>18</v>
      </c>
      <c r="L1966" t="s">
        <v>71</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2066</v>
      </c>
      <c r="B1967" t="s">
        <v>25</v>
      </c>
      <c r="C1967">
        <v>7</v>
      </c>
      <c r="D1967">
        <v>107.5</v>
      </c>
      <c r="E1967">
        <v>752.5</v>
      </c>
      <c r="F1967" s="1">
        <v>45729</v>
      </c>
      <c r="G1967" s="1">
        <v>45730</v>
      </c>
      <c r="H1967" t="s">
        <v>22</v>
      </c>
      <c r="I1967" t="s">
        <v>34</v>
      </c>
      <c r="J1967">
        <v>4</v>
      </c>
      <c r="K1967" t="s">
        <v>18</v>
      </c>
      <c r="L1967" t="s">
        <v>76</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2067</v>
      </c>
      <c r="B1968" t="s">
        <v>134</v>
      </c>
      <c r="C1968">
        <v>16</v>
      </c>
      <c r="D1968">
        <v>21.5</v>
      </c>
      <c r="E1968">
        <v>344</v>
      </c>
      <c r="F1968" s="1">
        <v>45729</v>
      </c>
      <c r="G1968" s="1">
        <v>45730</v>
      </c>
      <c r="H1968" t="s">
        <v>22</v>
      </c>
      <c r="I1968" t="s">
        <v>34</v>
      </c>
      <c r="J1968">
        <v>3</v>
      </c>
      <c r="K1968" t="s">
        <v>18</v>
      </c>
      <c r="L1968" t="s">
        <v>308</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2068</v>
      </c>
      <c r="B1969" t="s">
        <v>29</v>
      </c>
      <c r="C1969">
        <v>5</v>
      </c>
      <c r="D1969">
        <v>85.3</v>
      </c>
      <c r="E1969">
        <v>426.5</v>
      </c>
      <c r="F1969" s="1">
        <v>45729</v>
      </c>
      <c r="G1969" s="1">
        <v>45731</v>
      </c>
      <c r="H1969" t="s">
        <v>26</v>
      </c>
      <c r="I1969" t="s">
        <v>50</v>
      </c>
      <c r="J1969">
        <v>4</v>
      </c>
      <c r="K1969" t="s">
        <v>18</v>
      </c>
      <c r="L1969" t="s">
        <v>107</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2069</v>
      </c>
      <c r="B1970" t="s">
        <v>41</v>
      </c>
      <c r="C1970">
        <v>5</v>
      </c>
      <c r="D1970">
        <v>80.8</v>
      </c>
      <c r="E1970">
        <v>404</v>
      </c>
      <c r="F1970" s="1">
        <v>45729</v>
      </c>
      <c r="G1970" s="1">
        <v>45737</v>
      </c>
      <c r="H1970" t="s">
        <v>88</v>
      </c>
      <c r="I1970" t="s">
        <v>34</v>
      </c>
      <c r="J1970">
        <v>3</v>
      </c>
      <c r="K1970" t="s">
        <v>18</v>
      </c>
      <c r="L1970" t="s">
        <v>109</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2070</v>
      </c>
      <c r="B1971" t="s">
        <v>25</v>
      </c>
      <c r="C1971">
        <v>3</v>
      </c>
      <c r="D1971">
        <v>123.1</v>
      </c>
      <c r="E1971">
        <v>369.29999999999995</v>
      </c>
      <c r="F1971" s="1">
        <v>45729</v>
      </c>
      <c r="G1971" s="1">
        <v>45731</v>
      </c>
      <c r="I1971" t="s">
        <v>39</v>
      </c>
      <c r="J1971">
        <v>4</v>
      </c>
      <c r="K1971" t="s">
        <v>18</v>
      </c>
      <c r="L1971" t="s">
        <v>114</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2071</v>
      </c>
      <c r="B1972" t="s">
        <v>43</v>
      </c>
      <c r="C1972">
        <v>2</v>
      </c>
      <c r="D1972">
        <v>36.9</v>
      </c>
      <c r="E1972">
        <v>73.8</v>
      </c>
      <c r="F1972" s="1">
        <v>45729</v>
      </c>
      <c r="G1972" s="1">
        <v>45731</v>
      </c>
      <c r="H1972" t="s">
        <v>26</v>
      </c>
      <c r="I1972" t="s">
        <v>39</v>
      </c>
      <c r="J1972">
        <v>2</v>
      </c>
      <c r="K1972" t="s">
        <v>18</v>
      </c>
      <c r="L1972" t="s">
        <v>966</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2072</v>
      </c>
      <c r="B1973" t="s">
        <v>66</v>
      </c>
      <c r="C1973">
        <v>5</v>
      </c>
      <c r="D1973">
        <v>40</v>
      </c>
      <c r="E1973">
        <v>200</v>
      </c>
      <c r="F1973" s="1">
        <v>45729</v>
      </c>
      <c r="G1973" s="1">
        <v>45730</v>
      </c>
      <c r="H1973" t="s">
        <v>22</v>
      </c>
      <c r="I1973" t="s">
        <v>17</v>
      </c>
      <c r="J1973">
        <v>4</v>
      </c>
      <c r="K1973" t="s">
        <v>18</v>
      </c>
      <c r="L1973" t="s">
        <v>23</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2073</v>
      </c>
      <c r="B1974" t="s">
        <v>38</v>
      </c>
      <c r="C1974">
        <v>3</v>
      </c>
      <c r="D1974">
        <v>55.5</v>
      </c>
      <c r="E1974">
        <v>166.5</v>
      </c>
      <c r="F1974" s="1">
        <v>45729</v>
      </c>
      <c r="G1974" s="1">
        <v>45730</v>
      </c>
      <c r="H1974" t="s">
        <v>22</v>
      </c>
      <c r="I1974" t="s">
        <v>69</v>
      </c>
      <c r="J1974">
        <v>5</v>
      </c>
      <c r="K1974" t="s">
        <v>18</v>
      </c>
      <c r="L1974" t="s">
        <v>23</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2074</v>
      </c>
      <c r="B1975" t="s">
        <v>16</v>
      </c>
      <c r="C1975">
        <v>4</v>
      </c>
      <c r="D1975">
        <v>20.5</v>
      </c>
      <c r="E1975">
        <v>82</v>
      </c>
      <c r="F1975" s="1">
        <v>45729</v>
      </c>
      <c r="G1975" s="1">
        <v>45733</v>
      </c>
      <c r="H1975" t="s">
        <v>26</v>
      </c>
      <c r="I1975" t="s">
        <v>69</v>
      </c>
      <c r="J1975">
        <v>4</v>
      </c>
      <c r="K1975" t="s">
        <v>18</v>
      </c>
      <c r="L1975" t="s">
        <v>23</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2075</v>
      </c>
      <c r="B1976" t="s">
        <v>145</v>
      </c>
      <c r="C1976">
        <v>4</v>
      </c>
      <c r="D1976">
        <v>50.1</v>
      </c>
      <c r="E1976">
        <v>200.4</v>
      </c>
      <c r="F1976" s="1">
        <v>45729</v>
      </c>
      <c r="G1976" s="1">
        <v>45730</v>
      </c>
      <c r="H1976" t="s">
        <v>26</v>
      </c>
      <c r="I1976" t="s">
        <v>69</v>
      </c>
      <c r="J1976">
        <v>4</v>
      </c>
      <c r="K1976" t="s">
        <v>18</v>
      </c>
      <c r="L1976" t="s">
        <v>23</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2076</v>
      </c>
      <c r="B1977" t="s">
        <v>45</v>
      </c>
      <c r="C1977">
        <v>1</v>
      </c>
      <c r="D1977">
        <v>35.9</v>
      </c>
      <c r="E1977">
        <v>35.9</v>
      </c>
      <c r="F1977" s="1">
        <v>45729</v>
      </c>
      <c r="G1977" s="1">
        <v>45731</v>
      </c>
      <c r="H1977" t="s">
        <v>22</v>
      </c>
      <c r="I1977" t="s">
        <v>34</v>
      </c>
      <c r="J1977">
        <v>5</v>
      </c>
      <c r="K1977" t="s">
        <v>18</v>
      </c>
      <c r="L1977" t="s">
        <v>23</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2077</v>
      </c>
      <c r="B1978" t="s">
        <v>75</v>
      </c>
      <c r="C1978">
        <v>4</v>
      </c>
      <c r="D1978">
        <v>29.4</v>
      </c>
      <c r="E1978">
        <v>117.6</v>
      </c>
      <c r="F1978" s="1">
        <v>45730</v>
      </c>
      <c r="G1978" s="1">
        <v>45731</v>
      </c>
      <c r="H1978" t="s">
        <v>22</v>
      </c>
      <c r="I1978" t="s">
        <v>39</v>
      </c>
      <c r="J1978">
        <v>5</v>
      </c>
      <c r="K1978" t="s">
        <v>18</v>
      </c>
      <c r="L1978" t="s">
        <v>330</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2078</v>
      </c>
      <c r="B1979" t="s">
        <v>43</v>
      </c>
      <c r="C1979">
        <v>5</v>
      </c>
      <c r="D1979">
        <v>29.1</v>
      </c>
      <c r="E1979">
        <v>145.5</v>
      </c>
      <c r="F1979" s="1">
        <v>45730</v>
      </c>
      <c r="G1979" s="1">
        <v>45738</v>
      </c>
      <c r="H1979" t="s">
        <v>88</v>
      </c>
      <c r="I1979" t="s">
        <v>39</v>
      </c>
      <c r="J1979">
        <v>3</v>
      </c>
      <c r="K1979" t="s">
        <v>18</v>
      </c>
      <c r="L1979" t="s">
        <v>330</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2079</v>
      </c>
      <c r="B1980" t="s">
        <v>43</v>
      </c>
      <c r="C1980">
        <v>3</v>
      </c>
      <c r="D1980">
        <v>33.5</v>
      </c>
      <c r="E1980">
        <v>100.5</v>
      </c>
      <c r="F1980" s="1">
        <v>45730</v>
      </c>
      <c r="G1980" s="1">
        <v>45742</v>
      </c>
      <c r="H1980" t="s">
        <v>22</v>
      </c>
      <c r="I1980" t="s">
        <v>17</v>
      </c>
      <c r="J1980">
        <v>5</v>
      </c>
      <c r="K1980" t="s">
        <v>18</v>
      </c>
      <c r="L1980" t="s">
        <v>146</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2080</v>
      </c>
      <c r="B1981" t="s">
        <v>31</v>
      </c>
      <c r="C1981">
        <v>10</v>
      </c>
      <c r="D1981">
        <v>36</v>
      </c>
      <c r="E1981">
        <v>360</v>
      </c>
      <c r="F1981" s="1">
        <v>45730</v>
      </c>
      <c r="G1981" s="1">
        <v>45730</v>
      </c>
      <c r="H1981" t="s">
        <v>22</v>
      </c>
      <c r="I1981" t="s">
        <v>50</v>
      </c>
      <c r="J1981">
        <v>5</v>
      </c>
      <c r="K1981" t="s">
        <v>18</v>
      </c>
      <c r="L1981" t="s">
        <v>32</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2081</v>
      </c>
      <c r="B1982" t="s">
        <v>127</v>
      </c>
      <c r="C1982">
        <v>3</v>
      </c>
      <c r="D1982">
        <v>57.3</v>
      </c>
      <c r="E1982">
        <v>171.89999999999998</v>
      </c>
      <c r="F1982" s="1">
        <v>45730</v>
      </c>
      <c r="G1982" s="1">
        <v>45734</v>
      </c>
      <c r="H1982" t="s">
        <v>26</v>
      </c>
      <c r="I1982" t="s">
        <v>17</v>
      </c>
      <c r="J1982">
        <v>5</v>
      </c>
      <c r="K1982" t="s">
        <v>18</v>
      </c>
      <c r="L1982" t="s">
        <v>32</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2082</v>
      </c>
      <c r="B1983" t="s">
        <v>21</v>
      </c>
      <c r="C1983">
        <v>1</v>
      </c>
      <c r="D1983">
        <v>81.400000000000006</v>
      </c>
      <c r="E1983">
        <v>81.400000000000006</v>
      </c>
      <c r="F1983" s="1">
        <v>45730</v>
      </c>
      <c r="G1983" s="1">
        <v>45731</v>
      </c>
      <c r="H1983" t="s">
        <v>26</v>
      </c>
      <c r="I1983" t="s">
        <v>39</v>
      </c>
      <c r="J1983">
        <v>5</v>
      </c>
      <c r="K1983" t="s">
        <v>18</v>
      </c>
      <c r="L1983" t="s">
        <v>32</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2083</v>
      </c>
      <c r="B1984" t="s">
        <v>53</v>
      </c>
      <c r="C1984">
        <v>2</v>
      </c>
      <c r="D1984">
        <v>35.299999999999997</v>
      </c>
      <c r="E1984">
        <v>70.599999999999994</v>
      </c>
      <c r="F1984" s="1">
        <v>45730</v>
      </c>
      <c r="G1984" s="1">
        <v>45734</v>
      </c>
      <c r="H1984" t="s">
        <v>22</v>
      </c>
      <c r="I1984" t="s">
        <v>17</v>
      </c>
      <c r="J1984">
        <v>5</v>
      </c>
      <c r="K1984" t="s">
        <v>18</v>
      </c>
      <c r="L1984" t="s">
        <v>32</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2084</v>
      </c>
      <c r="B1985" t="s">
        <v>29</v>
      </c>
      <c r="C1985">
        <v>1</v>
      </c>
      <c r="D1985">
        <v>36.1</v>
      </c>
      <c r="E1985">
        <v>36.1</v>
      </c>
      <c r="F1985" s="1">
        <v>45730</v>
      </c>
      <c r="G1985" s="1">
        <v>45731</v>
      </c>
      <c r="H1985" t="s">
        <v>26</v>
      </c>
      <c r="I1985" t="s">
        <v>69</v>
      </c>
      <c r="J1985">
        <v>4</v>
      </c>
      <c r="K1985" t="s">
        <v>18</v>
      </c>
      <c r="L1985" t="s">
        <v>32</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2085</v>
      </c>
      <c r="B1986" t="s">
        <v>21</v>
      </c>
      <c r="C1986">
        <v>2</v>
      </c>
      <c r="D1986">
        <v>36.700000000000003</v>
      </c>
      <c r="E1986">
        <v>73.400000000000006</v>
      </c>
      <c r="F1986" s="1">
        <v>45730</v>
      </c>
      <c r="G1986" s="1">
        <v>45732</v>
      </c>
      <c r="H1986" t="s">
        <v>26</v>
      </c>
      <c r="I1986" t="s">
        <v>17</v>
      </c>
      <c r="J1986">
        <v>5</v>
      </c>
      <c r="K1986" t="s">
        <v>18</v>
      </c>
      <c r="L1986" t="s">
        <v>32</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2086</v>
      </c>
      <c r="B1987" t="s">
        <v>53</v>
      </c>
      <c r="C1987">
        <v>1</v>
      </c>
      <c r="D1987">
        <v>20.9</v>
      </c>
      <c r="E1987">
        <v>20.9</v>
      </c>
      <c r="F1987" s="1">
        <v>45730</v>
      </c>
      <c r="G1987" s="1">
        <v>45732</v>
      </c>
      <c r="H1987" t="s">
        <v>26</v>
      </c>
      <c r="I1987" t="s">
        <v>17</v>
      </c>
      <c r="J1987">
        <v>2</v>
      </c>
      <c r="K1987" t="s">
        <v>18</v>
      </c>
      <c r="L1987" t="s">
        <v>32</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2087</v>
      </c>
      <c r="B1988" t="s">
        <v>68</v>
      </c>
      <c r="C1988">
        <v>3</v>
      </c>
      <c r="D1988">
        <v>58.8</v>
      </c>
      <c r="E1988">
        <v>176.39999999999998</v>
      </c>
      <c r="F1988" s="1">
        <v>45730</v>
      </c>
      <c r="G1988" s="1">
        <v>45734</v>
      </c>
      <c r="H1988" t="s">
        <v>22</v>
      </c>
      <c r="I1988" t="s">
        <v>17</v>
      </c>
      <c r="J1988">
        <v>5</v>
      </c>
      <c r="K1988" t="s">
        <v>18</v>
      </c>
      <c r="L1988" t="s">
        <v>187</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2088</v>
      </c>
      <c r="B1989" t="s">
        <v>25</v>
      </c>
      <c r="C1989">
        <v>3</v>
      </c>
      <c r="D1989">
        <v>97.6</v>
      </c>
      <c r="E1989">
        <v>292.79999999999995</v>
      </c>
      <c r="F1989" s="1">
        <v>45731</v>
      </c>
      <c r="G1989" s="1">
        <v>45733</v>
      </c>
      <c r="I1989" t="s">
        <v>17</v>
      </c>
      <c r="J1989">
        <v>4</v>
      </c>
      <c r="K1989" t="s">
        <v>18</v>
      </c>
      <c r="L1989" t="s">
        <v>54</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2089</v>
      </c>
      <c r="B1990" t="s">
        <v>21</v>
      </c>
      <c r="C1990">
        <v>2</v>
      </c>
      <c r="D1990">
        <v>58.7</v>
      </c>
      <c r="E1990">
        <v>117.4</v>
      </c>
      <c r="F1990" s="1">
        <v>45731</v>
      </c>
      <c r="G1990" s="1">
        <v>45734</v>
      </c>
      <c r="H1990" t="s">
        <v>26</v>
      </c>
      <c r="I1990" t="s">
        <v>17</v>
      </c>
      <c r="J1990">
        <v>3</v>
      </c>
      <c r="K1990" t="s">
        <v>18</v>
      </c>
      <c r="L1990" t="s">
        <v>54</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2090</v>
      </c>
      <c r="B1991" t="s">
        <v>38</v>
      </c>
      <c r="C1991">
        <v>5</v>
      </c>
      <c r="D1991">
        <v>71.900000000000006</v>
      </c>
      <c r="E1991">
        <v>359.5</v>
      </c>
      <c r="F1991" s="1">
        <v>45731</v>
      </c>
      <c r="G1991" s="1">
        <v>45732</v>
      </c>
      <c r="I1991" t="s">
        <v>17</v>
      </c>
      <c r="J1991">
        <v>3</v>
      </c>
      <c r="K1991" t="s">
        <v>18</v>
      </c>
      <c r="L1991" t="s">
        <v>54</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2091</v>
      </c>
      <c r="B1992" t="s">
        <v>21</v>
      </c>
      <c r="C1992">
        <v>2</v>
      </c>
      <c r="D1992">
        <v>62.4</v>
      </c>
      <c r="E1992">
        <v>124.8</v>
      </c>
      <c r="F1992" s="1">
        <v>45731</v>
      </c>
      <c r="G1992" s="1">
        <v>45733</v>
      </c>
      <c r="I1992" t="s">
        <v>17</v>
      </c>
      <c r="J1992">
        <v>3</v>
      </c>
      <c r="K1992" t="s">
        <v>18</v>
      </c>
      <c r="L1992" t="s">
        <v>61</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2092</v>
      </c>
      <c r="B1993" t="s">
        <v>38</v>
      </c>
      <c r="C1993">
        <v>16</v>
      </c>
      <c r="D1993">
        <v>53.8</v>
      </c>
      <c r="E1993">
        <v>860.8</v>
      </c>
      <c r="F1993" s="1">
        <v>45731</v>
      </c>
      <c r="G1993" s="1">
        <v>45732</v>
      </c>
      <c r="H1993" t="s">
        <v>26</v>
      </c>
      <c r="I1993" t="s">
        <v>34</v>
      </c>
      <c r="J1993">
        <v>4</v>
      </c>
      <c r="K1993" t="s">
        <v>18</v>
      </c>
      <c r="L1993" t="s">
        <v>61</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2093</v>
      </c>
      <c r="B1994" t="s">
        <v>45</v>
      </c>
      <c r="C1994">
        <v>1</v>
      </c>
      <c r="D1994">
        <v>43.8</v>
      </c>
      <c r="E1994">
        <v>43.8</v>
      </c>
      <c r="F1994" s="1">
        <v>45731</v>
      </c>
      <c r="G1994" s="1">
        <v>45738</v>
      </c>
      <c r="H1994" t="s">
        <v>26</v>
      </c>
      <c r="I1994" t="s">
        <v>17</v>
      </c>
      <c r="J1994">
        <v>5</v>
      </c>
      <c r="K1994" t="s">
        <v>18</v>
      </c>
      <c r="L1994" t="s">
        <v>61</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2094</v>
      </c>
      <c r="B1995" t="s">
        <v>36</v>
      </c>
      <c r="C1995">
        <v>3</v>
      </c>
      <c r="D1995">
        <v>53.6</v>
      </c>
      <c r="E1995">
        <v>160.80000000000001</v>
      </c>
      <c r="F1995" s="1">
        <v>45731</v>
      </c>
      <c r="G1995" s="1">
        <v>45732</v>
      </c>
      <c r="H1995" t="s">
        <v>22</v>
      </c>
      <c r="I1995" t="s">
        <v>50</v>
      </c>
      <c r="J1995">
        <v>4</v>
      </c>
      <c r="K1995" t="s">
        <v>18</v>
      </c>
      <c r="L1995" t="s">
        <v>61</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2095</v>
      </c>
      <c r="B1996" t="s">
        <v>68</v>
      </c>
      <c r="C1996">
        <v>2</v>
      </c>
      <c r="D1996">
        <v>84.3</v>
      </c>
      <c r="E1996">
        <v>168.6</v>
      </c>
      <c r="F1996" s="1">
        <v>45731</v>
      </c>
      <c r="G1996" s="1">
        <v>45734</v>
      </c>
      <c r="H1996" t="s">
        <v>22</v>
      </c>
      <c r="I1996" t="s">
        <v>69</v>
      </c>
      <c r="J1996">
        <v>3</v>
      </c>
      <c r="K1996" t="s">
        <v>18</v>
      </c>
      <c r="L1996" t="s">
        <v>61</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2096</v>
      </c>
      <c r="B1997" t="s">
        <v>38</v>
      </c>
      <c r="C1997">
        <v>9</v>
      </c>
      <c r="D1997">
        <v>117.9</v>
      </c>
      <c r="E1997">
        <v>1061.1000000000001</v>
      </c>
      <c r="F1997" s="1">
        <v>45731</v>
      </c>
      <c r="G1997" s="1">
        <v>45732</v>
      </c>
      <c r="H1997" t="s">
        <v>26</v>
      </c>
      <c r="I1997" t="s">
        <v>34</v>
      </c>
      <c r="J1997">
        <v>5</v>
      </c>
      <c r="K1997" t="s">
        <v>18</v>
      </c>
      <c r="L1997" t="s">
        <v>61</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2097</v>
      </c>
      <c r="B1998" t="s">
        <v>31</v>
      </c>
      <c r="C1998">
        <v>8</v>
      </c>
      <c r="D1998">
        <v>30</v>
      </c>
      <c r="E1998">
        <v>240</v>
      </c>
      <c r="F1998" s="1">
        <v>45731</v>
      </c>
      <c r="G1998" s="1">
        <v>45732</v>
      </c>
      <c r="H1998" t="s">
        <v>26</v>
      </c>
      <c r="I1998" t="s">
        <v>34</v>
      </c>
      <c r="J1998">
        <v>4</v>
      </c>
      <c r="K1998" t="s">
        <v>18</v>
      </c>
      <c r="L1998" t="s">
        <v>200</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2098</v>
      </c>
      <c r="B1999" t="s">
        <v>80</v>
      </c>
      <c r="C1999">
        <v>3</v>
      </c>
      <c r="D1999">
        <v>37.299999999999997</v>
      </c>
      <c r="E1999">
        <v>111.89999999999999</v>
      </c>
      <c r="F1999" s="1">
        <v>45731</v>
      </c>
      <c r="G1999" s="1">
        <v>45732</v>
      </c>
      <c r="H1999" t="s">
        <v>22</v>
      </c>
      <c r="I1999" t="s">
        <v>39</v>
      </c>
      <c r="J1999">
        <v>4</v>
      </c>
      <c r="K1999" t="s">
        <v>18</v>
      </c>
      <c r="L1999" t="s">
        <v>71</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2099</v>
      </c>
      <c r="B2000" t="s">
        <v>31</v>
      </c>
      <c r="C2000">
        <v>9</v>
      </c>
      <c r="D2000">
        <v>25.1</v>
      </c>
      <c r="E2000">
        <v>225.9</v>
      </c>
      <c r="F2000" s="1">
        <v>45731</v>
      </c>
      <c r="G2000" s="1">
        <v>45733</v>
      </c>
      <c r="H2000" t="s">
        <v>22</v>
      </c>
      <c r="I2000" t="s">
        <v>34</v>
      </c>
      <c r="J2000">
        <v>5</v>
      </c>
      <c r="K2000" t="s">
        <v>18</v>
      </c>
      <c r="L2000" t="s">
        <v>76</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2100</v>
      </c>
      <c r="B2001" t="s">
        <v>43</v>
      </c>
      <c r="C2001">
        <v>11</v>
      </c>
      <c r="D2001">
        <v>36</v>
      </c>
      <c r="E2001">
        <v>396</v>
      </c>
      <c r="F2001" s="1">
        <v>45731</v>
      </c>
      <c r="G2001" s="1">
        <v>45741</v>
      </c>
      <c r="H2001" t="s">
        <v>22</v>
      </c>
      <c r="I2001" t="s">
        <v>34</v>
      </c>
      <c r="J2001">
        <v>4</v>
      </c>
      <c r="K2001" t="s">
        <v>18</v>
      </c>
      <c r="L2001" t="s">
        <v>107</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2101</v>
      </c>
      <c r="B2002" t="s">
        <v>127</v>
      </c>
      <c r="C2002">
        <v>3</v>
      </c>
      <c r="D2002">
        <v>48.5</v>
      </c>
      <c r="E2002">
        <v>145.5</v>
      </c>
      <c r="F2002" s="1">
        <v>45731</v>
      </c>
      <c r="G2002" s="1">
        <v>45735</v>
      </c>
      <c r="H2002" t="s">
        <v>26</v>
      </c>
      <c r="I2002" t="s">
        <v>34</v>
      </c>
      <c r="J2002">
        <v>4</v>
      </c>
      <c r="K2002" t="s">
        <v>18</v>
      </c>
      <c r="L2002" t="s">
        <v>109</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2102</v>
      </c>
      <c r="B2003" t="s">
        <v>134</v>
      </c>
      <c r="C2003">
        <v>6</v>
      </c>
      <c r="D2003">
        <v>21.1</v>
      </c>
      <c r="E2003">
        <v>126.60000000000001</v>
      </c>
      <c r="F2003" s="1">
        <v>45731</v>
      </c>
      <c r="G2003" s="1">
        <v>45732</v>
      </c>
      <c r="H2003" t="s">
        <v>22</v>
      </c>
      <c r="I2003" t="s">
        <v>34</v>
      </c>
      <c r="J2003">
        <v>5</v>
      </c>
      <c r="K2003" t="s">
        <v>18</v>
      </c>
      <c r="L2003" t="s">
        <v>114</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2103</v>
      </c>
      <c r="B2004" t="s">
        <v>122</v>
      </c>
      <c r="C2004">
        <v>14</v>
      </c>
      <c r="D2004">
        <v>43.2</v>
      </c>
      <c r="E2004">
        <v>604.80000000000007</v>
      </c>
      <c r="F2004" s="1">
        <v>45731</v>
      </c>
      <c r="G2004" s="1">
        <v>45732</v>
      </c>
      <c r="H2004" t="s">
        <v>88</v>
      </c>
      <c r="I2004" t="s">
        <v>17</v>
      </c>
      <c r="J2004">
        <v>3</v>
      </c>
      <c r="K2004" t="s">
        <v>18</v>
      </c>
      <c r="L2004" t="s">
        <v>114</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2104</v>
      </c>
      <c r="B2005" t="s">
        <v>45</v>
      </c>
      <c r="C2005">
        <v>2</v>
      </c>
      <c r="D2005">
        <v>21.1</v>
      </c>
      <c r="E2005">
        <v>42.2</v>
      </c>
      <c r="F2005" s="1">
        <v>45731</v>
      </c>
      <c r="G2005" s="1">
        <v>45732</v>
      </c>
      <c r="I2005" t="s">
        <v>50</v>
      </c>
      <c r="J2005">
        <v>3</v>
      </c>
      <c r="K2005" t="s">
        <v>18</v>
      </c>
      <c r="L2005" t="s">
        <v>114</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2105</v>
      </c>
      <c r="B2006" t="s">
        <v>38</v>
      </c>
      <c r="C2006">
        <v>4</v>
      </c>
      <c r="D2006">
        <v>41.3</v>
      </c>
      <c r="E2006">
        <v>165.2</v>
      </c>
      <c r="F2006" s="1">
        <v>45731</v>
      </c>
      <c r="G2006" s="1">
        <v>45733</v>
      </c>
      <c r="H2006" t="s">
        <v>26</v>
      </c>
      <c r="I2006" t="s">
        <v>50</v>
      </c>
      <c r="J2006">
        <v>5</v>
      </c>
      <c r="K2006" t="s">
        <v>18</v>
      </c>
      <c r="L2006" t="s">
        <v>23</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2106</v>
      </c>
      <c r="B2007" t="s">
        <v>43</v>
      </c>
      <c r="C2007">
        <v>2</v>
      </c>
      <c r="D2007">
        <v>15.3</v>
      </c>
      <c r="E2007">
        <v>30.6</v>
      </c>
      <c r="F2007" s="1">
        <v>45731</v>
      </c>
      <c r="G2007" s="1">
        <v>45734</v>
      </c>
      <c r="I2007" t="s">
        <v>39</v>
      </c>
      <c r="J2007">
        <v>5</v>
      </c>
      <c r="K2007" t="s">
        <v>18</v>
      </c>
      <c r="L2007" t="s">
        <v>23</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2107</v>
      </c>
      <c r="B2008" t="s">
        <v>21</v>
      </c>
      <c r="C2008">
        <v>1</v>
      </c>
      <c r="D2008">
        <v>54.6</v>
      </c>
      <c r="E2008">
        <v>54.6</v>
      </c>
      <c r="F2008" s="1">
        <v>45731</v>
      </c>
      <c r="G2008" s="1">
        <v>45733</v>
      </c>
      <c r="H2008" t="s">
        <v>22</v>
      </c>
      <c r="I2008" t="s">
        <v>34</v>
      </c>
      <c r="J2008">
        <v>3</v>
      </c>
      <c r="K2008" t="s">
        <v>18</v>
      </c>
      <c r="L2008" t="s">
        <v>27</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2108</v>
      </c>
      <c r="B2009" t="s">
        <v>43</v>
      </c>
      <c r="C2009">
        <v>1</v>
      </c>
      <c r="D2009">
        <v>15.9</v>
      </c>
      <c r="E2009">
        <v>15.9</v>
      </c>
      <c r="F2009" s="1">
        <v>45731</v>
      </c>
      <c r="G2009" s="1">
        <v>45732</v>
      </c>
      <c r="H2009" t="s">
        <v>22</v>
      </c>
      <c r="I2009" t="s">
        <v>17</v>
      </c>
      <c r="J2009">
        <v>3</v>
      </c>
      <c r="K2009" t="s">
        <v>18</v>
      </c>
      <c r="L2009" t="s">
        <v>146</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2109</v>
      </c>
      <c r="B2010" t="s">
        <v>45</v>
      </c>
      <c r="C2010">
        <v>1</v>
      </c>
      <c r="D2010">
        <v>50.2</v>
      </c>
      <c r="E2010">
        <v>50.2</v>
      </c>
      <c r="F2010" s="1">
        <v>45731</v>
      </c>
      <c r="G2010" s="1">
        <v>45733</v>
      </c>
      <c r="H2010" t="s">
        <v>26</v>
      </c>
      <c r="I2010" t="s">
        <v>50</v>
      </c>
      <c r="J2010">
        <v>5</v>
      </c>
      <c r="K2010" t="s">
        <v>18</v>
      </c>
      <c r="L2010" t="s">
        <v>333</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2110</v>
      </c>
      <c r="B2011" t="s">
        <v>66</v>
      </c>
      <c r="C2011">
        <v>4</v>
      </c>
      <c r="D2011">
        <v>85.1</v>
      </c>
      <c r="E2011">
        <v>340.4</v>
      </c>
      <c r="F2011" s="1">
        <v>45731</v>
      </c>
      <c r="G2011" s="1">
        <v>45732</v>
      </c>
      <c r="H2011" t="s">
        <v>26</v>
      </c>
      <c r="I2011" t="s">
        <v>50</v>
      </c>
      <c r="J2011">
        <v>2</v>
      </c>
      <c r="K2011" t="s">
        <v>18</v>
      </c>
      <c r="L2011" t="s">
        <v>333</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2111</v>
      </c>
      <c r="B2012" t="s">
        <v>66</v>
      </c>
      <c r="C2012">
        <v>2</v>
      </c>
      <c r="D2012">
        <v>41.4</v>
      </c>
      <c r="E2012">
        <v>82.8</v>
      </c>
      <c r="F2012" s="1">
        <v>45731</v>
      </c>
      <c r="G2012" s="1">
        <v>45732</v>
      </c>
      <c r="H2012" t="s">
        <v>26</v>
      </c>
      <c r="I2012" t="s">
        <v>17</v>
      </c>
      <c r="J2012">
        <v>5</v>
      </c>
      <c r="K2012" t="s">
        <v>18</v>
      </c>
      <c r="L2012" t="s">
        <v>32</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2112</v>
      </c>
      <c r="B2013" t="s">
        <v>31</v>
      </c>
      <c r="C2013">
        <v>7</v>
      </c>
      <c r="D2013">
        <v>32.700000000000003</v>
      </c>
      <c r="E2013">
        <v>228.90000000000003</v>
      </c>
      <c r="F2013" s="1">
        <v>45731</v>
      </c>
      <c r="G2013" s="1">
        <v>45732</v>
      </c>
      <c r="H2013" t="s">
        <v>26</v>
      </c>
      <c r="I2013" t="s">
        <v>39</v>
      </c>
      <c r="J2013">
        <v>3</v>
      </c>
      <c r="K2013" t="s">
        <v>18</v>
      </c>
      <c r="L2013" t="s">
        <v>32</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2113</v>
      </c>
      <c r="B2014" t="s">
        <v>31</v>
      </c>
      <c r="C2014">
        <v>2</v>
      </c>
      <c r="D2014">
        <v>41.6</v>
      </c>
      <c r="E2014">
        <v>83.2</v>
      </c>
      <c r="F2014" s="1">
        <v>45731</v>
      </c>
      <c r="G2014" s="1">
        <v>45733</v>
      </c>
      <c r="H2014" t="s">
        <v>22</v>
      </c>
      <c r="I2014" t="s">
        <v>69</v>
      </c>
      <c r="J2014">
        <v>3</v>
      </c>
      <c r="K2014" t="s">
        <v>18</v>
      </c>
      <c r="L2014" t="s">
        <v>32</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2114</v>
      </c>
      <c r="B2015" t="s">
        <v>36</v>
      </c>
      <c r="C2015">
        <v>4</v>
      </c>
      <c r="D2015">
        <v>64.8</v>
      </c>
      <c r="E2015">
        <v>259.2</v>
      </c>
      <c r="F2015" s="1">
        <v>45731</v>
      </c>
      <c r="G2015" s="1">
        <v>45732</v>
      </c>
      <c r="I2015" t="s">
        <v>39</v>
      </c>
      <c r="J2015">
        <v>4</v>
      </c>
      <c r="K2015" t="s">
        <v>18</v>
      </c>
      <c r="L2015" t="s">
        <v>32</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2115</v>
      </c>
      <c r="B2016" t="s">
        <v>122</v>
      </c>
      <c r="C2016">
        <v>2</v>
      </c>
      <c r="D2016">
        <v>33.6</v>
      </c>
      <c r="E2016">
        <v>67.2</v>
      </c>
      <c r="F2016" s="1">
        <v>45731</v>
      </c>
      <c r="G2016" s="1">
        <v>45732</v>
      </c>
      <c r="H2016" t="s">
        <v>22</v>
      </c>
      <c r="I2016" t="s">
        <v>17</v>
      </c>
      <c r="J2016">
        <v>5</v>
      </c>
      <c r="K2016" t="s">
        <v>18</v>
      </c>
      <c r="L2016" t="s">
        <v>32</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2116</v>
      </c>
      <c r="B2017" t="s">
        <v>38</v>
      </c>
      <c r="C2017">
        <v>3</v>
      </c>
      <c r="D2017">
        <v>100.7</v>
      </c>
      <c r="E2017">
        <v>302.10000000000002</v>
      </c>
      <c r="F2017" s="1">
        <v>45731</v>
      </c>
      <c r="G2017" s="1">
        <v>45732</v>
      </c>
      <c r="I2017" t="s">
        <v>34</v>
      </c>
      <c r="J2017">
        <v>4</v>
      </c>
      <c r="K2017" t="s">
        <v>18</v>
      </c>
      <c r="L2017" t="s">
        <v>32</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2117</v>
      </c>
      <c r="B2018" t="s">
        <v>31</v>
      </c>
      <c r="C2018">
        <v>2</v>
      </c>
      <c r="D2018">
        <v>49.3</v>
      </c>
      <c r="E2018">
        <v>98.6</v>
      </c>
      <c r="F2018" s="1">
        <v>45732</v>
      </c>
      <c r="G2018" s="1">
        <v>45734</v>
      </c>
      <c r="H2018" t="s">
        <v>26</v>
      </c>
      <c r="I2018" t="s">
        <v>69</v>
      </c>
      <c r="J2018">
        <v>5</v>
      </c>
      <c r="K2018" t="s">
        <v>18</v>
      </c>
      <c r="L2018" t="s">
        <v>32</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2118</v>
      </c>
      <c r="B2019" t="s">
        <v>25</v>
      </c>
      <c r="C2019">
        <v>6</v>
      </c>
      <c r="D2019">
        <v>97</v>
      </c>
      <c r="E2019">
        <v>582</v>
      </c>
      <c r="F2019" s="1">
        <v>45732</v>
      </c>
      <c r="G2019" s="1">
        <v>45735</v>
      </c>
      <c r="H2019" t="s">
        <v>22</v>
      </c>
      <c r="I2019" t="s">
        <v>39</v>
      </c>
      <c r="J2019">
        <v>5</v>
      </c>
      <c r="K2019" t="s">
        <v>18</v>
      </c>
      <c r="L2019" t="s">
        <v>32</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2119</v>
      </c>
      <c r="B2020" t="s">
        <v>16</v>
      </c>
      <c r="C2020">
        <v>6</v>
      </c>
      <c r="D2020">
        <v>25.2</v>
      </c>
      <c r="E2020">
        <v>151.19999999999999</v>
      </c>
      <c r="F2020" s="1">
        <v>45732</v>
      </c>
      <c r="G2020" s="1">
        <v>45735</v>
      </c>
      <c r="H2020" t="s">
        <v>26</v>
      </c>
      <c r="I2020" t="s">
        <v>69</v>
      </c>
      <c r="J2020">
        <v>5</v>
      </c>
      <c r="K2020" t="s">
        <v>18</v>
      </c>
      <c r="L2020" t="s">
        <v>32</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2120</v>
      </c>
      <c r="B2021" t="s">
        <v>16</v>
      </c>
      <c r="C2021">
        <v>11</v>
      </c>
      <c r="D2021">
        <v>12.2</v>
      </c>
      <c r="E2021">
        <v>134.19999999999999</v>
      </c>
      <c r="F2021" s="1">
        <v>45732</v>
      </c>
      <c r="G2021" s="1">
        <v>45733</v>
      </c>
      <c r="I2021" t="s">
        <v>17</v>
      </c>
      <c r="J2021">
        <v>3</v>
      </c>
      <c r="K2021" t="s">
        <v>18</v>
      </c>
      <c r="L2021" t="s">
        <v>32</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2121</v>
      </c>
      <c r="B2022" t="s">
        <v>43</v>
      </c>
      <c r="C2022">
        <v>7</v>
      </c>
      <c r="D2022">
        <v>38.799999999999997</v>
      </c>
      <c r="E2022">
        <v>271.59999999999997</v>
      </c>
      <c r="F2022" s="1">
        <v>45732</v>
      </c>
      <c r="G2022" s="1">
        <v>45734</v>
      </c>
      <c r="H2022" t="s">
        <v>26</v>
      </c>
      <c r="I2022" t="s">
        <v>34</v>
      </c>
      <c r="J2022">
        <v>3</v>
      </c>
      <c r="K2022" t="s">
        <v>18</v>
      </c>
      <c r="L2022" t="s">
        <v>157</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2122</v>
      </c>
      <c r="B2023" t="s">
        <v>25</v>
      </c>
      <c r="C2023">
        <v>4</v>
      </c>
      <c r="D2023">
        <v>53.2</v>
      </c>
      <c r="E2023">
        <v>212.8</v>
      </c>
      <c r="F2023" s="1">
        <v>45732</v>
      </c>
      <c r="G2023" s="1">
        <v>45733</v>
      </c>
      <c r="H2023" t="s">
        <v>22</v>
      </c>
      <c r="I2023" t="s">
        <v>17</v>
      </c>
      <c r="J2023">
        <v>5</v>
      </c>
      <c r="K2023" t="s">
        <v>18</v>
      </c>
      <c r="L2023" t="s">
        <v>61</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2123</v>
      </c>
      <c r="B2024" t="s">
        <v>38</v>
      </c>
      <c r="C2024">
        <v>7</v>
      </c>
      <c r="D2024">
        <v>151</v>
      </c>
      <c r="E2024">
        <v>1057</v>
      </c>
      <c r="F2024" s="1">
        <v>45732</v>
      </c>
      <c r="G2024" s="1">
        <v>45733</v>
      </c>
      <c r="H2024" t="s">
        <v>88</v>
      </c>
      <c r="I2024" t="s">
        <v>34</v>
      </c>
      <c r="J2024">
        <v>3</v>
      </c>
      <c r="K2024" t="s">
        <v>18</v>
      </c>
      <c r="L2024" t="s">
        <v>61</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2124</v>
      </c>
      <c r="B2025" t="s">
        <v>21</v>
      </c>
      <c r="C2025">
        <v>2</v>
      </c>
      <c r="D2025">
        <v>37.1</v>
      </c>
      <c r="E2025">
        <v>74.2</v>
      </c>
      <c r="F2025" s="1">
        <v>45732</v>
      </c>
      <c r="G2025" s="1">
        <v>45733</v>
      </c>
      <c r="H2025" t="s">
        <v>26</v>
      </c>
      <c r="I2025" t="s">
        <v>69</v>
      </c>
      <c r="J2025">
        <v>4</v>
      </c>
      <c r="K2025" t="s">
        <v>18</v>
      </c>
      <c r="L2025" t="s">
        <v>61</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2125</v>
      </c>
      <c r="B2026" t="s">
        <v>36</v>
      </c>
      <c r="C2026">
        <v>2</v>
      </c>
      <c r="D2026">
        <v>38.9</v>
      </c>
      <c r="E2026">
        <v>77.8</v>
      </c>
      <c r="F2026" s="1">
        <v>45732</v>
      </c>
      <c r="G2026" s="1">
        <v>45733</v>
      </c>
      <c r="H2026" t="s">
        <v>22</v>
      </c>
      <c r="I2026" t="s">
        <v>69</v>
      </c>
      <c r="J2026">
        <v>4</v>
      </c>
      <c r="K2026" t="s">
        <v>18</v>
      </c>
      <c r="L2026" t="s">
        <v>61</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2126</v>
      </c>
      <c r="B2027" t="s">
        <v>53</v>
      </c>
      <c r="C2027">
        <v>2</v>
      </c>
      <c r="D2027">
        <v>35.200000000000003</v>
      </c>
      <c r="E2027">
        <v>70.400000000000006</v>
      </c>
      <c r="F2027" s="1">
        <v>45732</v>
      </c>
      <c r="G2027" s="1">
        <v>45733</v>
      </c>
      <c r="H2027" t="s">
        <v>22</v>
      </c>
      <c r="I2027" t="s">
        <v>17</v>
      </c>
      <c r="J2027">
        <v>5</v>
      </c>
      <c r="K2027" t="s">
        <v>18</v>
      </c>
      <c r="L2027" t="s">
        <v>102</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2127</v>
      </c>
      <c r="B2028" t="s">
        <v>16</v>
      </c>
      <c r="C2028">
        <v>2</v>
      </c>
      <c r="D2028">
        <v>22.3</v>
      </c>
      <c r="E2028">
        <v>44.6</v>
      </c>
      <c r="F2028" s="1">
        <v>45732</v>
      </c>
      <c r="G2028" s="1">
        <v>45734</v>
      </c>
      <c r="H2028" t="s">
        <v>26</v>
      </c>
      <c r="I2028" t="s">
        <v>34</v>
      </c>
      <c r="J2028">
        <v>4</v>
      </c>
      <c r="K2028" t="s">
        <v>18</v>
      </c>
      <c r="L2028" t="s">
        <v>71</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2128</v>
      </c>
      <c r="B2029" t="s">
        <v>45</v>
      </c>
      <c r="C2029">
        <v>1</v>
      </c>
      <c r="D2029">
        <v>43.3</v>
      </c>
      <c r="E2029">
        <v>43.3</v>
      </c>
      <c r="F2029" s="1">
        <v>45732</v>
      </c>
      <c r="G2029" s="1">
        <v>45735</v>
      </c>
      <c r="H2029" t="s">
        <v>26</v>
      </c>
      <c r="I2029" t="s">
        <v>17</v>
      </c>
      <c r="J2029">
        <v>5</v>
      </c>
      <c r="K2029" t="s">
        <v>18</v>
      </c>
      <c r="L2029" t="s">
        <v>76</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2129</v>
      </c>
      <c r="B2030" t="s">
        <v>38</v>
      </c>
      <c r="C2030">
        <v>6</v>
      </c>
      <c r="D2030">
        <v>75.900000000000006</v>
      </c>
      <c r="E2030">
        <v>455.40000000000003</v>
      </c>
      <c r="F2030" s="1">
        <v>45732</v>
      </c>
      <c r="G2030" s="1">
        <v>45738</v>
      </c>
      <c r="H2030" t="s">
        <v>22</v>
      </c>
      <c r="I2030" t="s">
        <v>17</v>
      </c>
      <c r="J2030">
        <v>4</v>
      </c>
      <c r="K2030" t="s">
        <v>18</v>
      </c>
      <c r="L2030" t="s">
        <v>76</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2130</v>
      </c>
      <c r="B2031" t="s">
        <v>38</v>
      </c>
      <c r="C2031">
        <v>3</v>
      </c>
      <c r="D2031">
        <v>78.7</v>
      </c>
      <c r="E2031">
        <v>236.10000000000002</v>
      </c>
      <c r="F2031" s="1">
        <v>45732</v>
      </c>
      <c r="G2031" s="1">
        <v>45736</v>
      </c>
      <c r="H2031" t="s">
        <v>26</v>
      </c>
      <c r="I2031" t="s">
        <v>39</v>
      </c>
      <c r="J2031">
        <v>3</v>
      </c>
      <c r="K2031" t="s">
        <v>18</v>
      </c>
      <c r="L2031" t="s">
        <v>76</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2131</v>
      </c>
      <c r="B2032" t="s">
        <v>21</v>
      </c>
      <c r="C2032">
        <v>1</v>
      </c>
      <c r="D2032">
        <v>66.3</v>
      </c>
      <c r="E2032">
        <v>66.3</v>
      </c>
      <c r="F2032" s="1">
        <v>45732</v>
      </c>
      <c r="G2032" s="1">
        <v>45736</v>
      </c>
      <c r="H2032" t="s">
        <v>26</v>
      </c>
      <c r="I2032" t="s">
        <v>17</v>
      </c>
      <c r="J2032">
        <v>5</v>
      </c>
      <c r="K2032" t="s">
        <v>18</v>
      </c>
      <c r="L2032" t="s">
        <v>109</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2132</v>
      </c>
      <c r="B2033" t="s">
        <v>43</v>
      </c>
      <c r="C2033">
        <v>2</v>
      </c>
      <c r="D2033">
        <v>33.6</v>
      </c>
      <c r="E2033">
        <v>67.2</v>
      </c>
      <c r="F2033" s="1">
        <v>45732</v>
      </c>
      <c r="G2033" s="1">
        <v>45732</v>
      </c>
      <c r="H2033" t="s">
        <v>22</v>
      </c>
      <c r="I2033" t="s">
        <v>17</v>
      </c>
      <c r="J2033">
        <v>3</v>
      </c>
      <c r="K2033" t="s">
        <v>18</v>
      </c>
      <c r="L2033" t="s">
        <v>109</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2133</v>
      </c>
      <c r="B2034" t="s">
        <v>25</v>
      </c>
      <c r="C2034">
        <v>7</v>
      </c>
      <c r="D2034">
        <v>61.4</v>
      </c>
      <c r="E2034">
        <v>429.8</v>
      </c>
      <c r="F2034" s="1">
        <v>45732</v>
      </c>
      <c r="G2034" s="1">
        <v>45733</v>
      </c>
      <c r="H2034" t="s">
        <v>22</v>
      </c>
      <c r="I2034" t="s">
        <v>69</v>
      </c>
      <c r="J2034">
        <v>4</v>
      </c>
      <c r="K2034" t="s">
        <v>18</v>
      </c>
      <c r="L2034" t="s">
        <v>109</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2134</v>
      </c>
      <c r="B2035" t="s">
        <v>43</v>
      </c>
      <c r="C2035">
        <v>2</v>
      </c>
      <c r="D2035">
        <v>17.5</v>
      </c>
      <c r="E2035">
        <v>35</v>
      </c>
      <c r="F2035" s="1">
        <v>45732</v>
      </c>
      <c r="G2035" s="1">
        <v>45735</v>
      </c>
      <c r="H2035" t="s">
        <v>26</v>
      </c>
      <c r="I2035" t="s">
        <v>17</v>
      </c>
      <c r="J2035">
        <v>4</v>
      </c>
      <c r="K2035" t="s">
        <v>18</v>
      </c>
      <c r="L2035" t="s">
        <v>114</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2135</v>
      </c>
      <c r="B2036" t="s">
        <v>43</v>
      </c>
      <c r="C2036">
        <v>2</v>
      </c>
      <c r="D2036">
        <v>32.5</v>
      </c>
      <c r="E2036">
        <v>65</v>
      </c>
      <c r="F2036" s="1">
        <v>45732</v>
      </c>
      <c r="G2036" s="1">
        <v>45735</v>
      </c>
      <c r="H2036" t="s">
        <v>26</v>
      </c>
      <c r="I2036" t="s">
        <v>34</v>
      </c>
      <c r="J2036">
        <v>4</v>
      </c>
      <c r="K2036" t="s">
        <v>18</v>
      </c>
      <c r="L2036" t="s">
        <v>114</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2136</v>
      </c>
      <c r="B2037" t="s">
        <v>31</v>
      </c>
      <c r="C2037">
        <v>1</v>
      </c>
      <c r="D2037">
        <v>34.6</v>
      </c>
      <c r="E2037">
        <v>34.6</v>
      </c>
      <c r="F2037" s="1">
        <v>45732</v>
      </c>
      <c r="G2037" s="1">
        <v>45733</v>
      </c>
      <c r="H2037" t="s">
        <v>26</v>
      </c>
      <c r="I2037" t="s">
        <v>69</v>
      </c>
      <c r="J2037">
        <v>4</v>
      </c>
      <c r="K2037" t="s">
        <v>18</v>
      </c>
      <c r="L2037" t="s">
        <v>114</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2137</v>
      </c>
      <c r="B2038" t="s">
        <v>25</v>
      </c>
      <c r="C2038">
        <v>1</v>
      </c>
      <c r="D2038">
        <v>75.900000000000006</v>
      </c>
      <c r="E2038">
        <v>75.900000000000006</v>
      </c>
      <c r="F2038" s="1">
        <v>45732</v>
      </c>
      <c r="G2038" s="1">
        <v>45732</v>
      </c>
      <c r="H2038" t="s">
        <v>22</v>
      </c>
      <c r="I2038" t="s">
        <v>34</v>
      </c>
      <c r="J2038">
        <v>5</v>
      </c>
      <c r="K2038" t="s">
        <v>18</v>
      </c>
      <c r="L2038" t="s">
        <v>114</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2138</v>
      </c>
      <c r="B2039" t="s">
        <v>21</v>
      </c>
      <c r="C2039">
        <v>3</v>
      </c>
      <c r="D2039">
        <v>42.1</v>
      </c>
      <c r="E2039">
        <v>126.30000000000001</v>
      </c>
      <c r="F2039" s="1">
        <v>45732</v>
      </c>
      <c r="G2039" s="1">
        <v>45735</v>
      </c>
      <c r="H2039" t="s">
        <v>22</v>
      </c>
      <c r="I2039" t="s">
        <v>34</v>
      </c>
      <c r="J2039">
        <v>3</v>
      </c>
      <c r="K2039" t="s">
        <v>18</v>
      </c>
      <c r="L2039" t="s">
        <v>114</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2139</v>
      </c>
      <c r="B2040" t="s">
        <v>41</v>
      </c>
      <c r="C2040">
        <v>3</v>
      </c>
      <c r="D2040">
        <v>65.3</v>
      </c>
      <c r="E2040">
        <v>195.89999999999998</v>
      </c>
      <c r="F2040" s="1">
        <v>45732</v>
      </c>
      <c r="G2040" s="1">
        <v>45739</v>
      </c>
      <c r="H2040" t="s">
        <v>22</v>
      </c>
      <c r="I2040" t="s">
        <v>17</v>
      </c>
      <c r="J2040">
        <v>4</v>
      </c>
      <c r="K2040" t="s">
        <v>18</v>
      </c>
      <c r="L2040" t="s">
        <v>23</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2140</v>
      </c>
      <c r="B2041" t="s">
        <v>122</v>
      </c>
      <c r="C2041">
        <v>1</v>
      </c>
      <c r="D2041">
        <v>20.6</v>
      </c>
      <c r="E2041">
        <v>20.6</v>
      </c>
      <c r="F2041" s="1">
        <v>45732</v>
      </c>
      <c r="G2041" s="1">
        <v>45735</v>
      </c>
      <c r="H2041" t="s">
        <v>22</v>
      </c>
      <c r="I2041" t="s">
        <v>50</v>
      </c>
      <c r="J2041">
        <v>4</v>
      </c>
      <c r="K2041" t="s">
        <v>18</v>
      </c>
      <c r="L2041" t="s">
        <v>436</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2141</v>
      </c>
      <c r="B2042" t="s">
        <v>43</v>
      </c>
      <c r="C2042">
        <v>7</v>
      </c>
      <c r="D2042">
        <v>16.5</v>
      </c>
      <c r="E2042">
        <v>115.5</v>
      </c>
      <c r="F2042" s="1">
        <v>45732</v>
      </c>
      <c r="G2042" s="1">
        <v>45733</v>
      </c>
      <c r="H2042" t="s">
        <v>22</v>
      </c>
      <c r="I2042" t="s">
        <v>34</v>
      </c>
      <c r="J2042">
        <v>3</v>
      </c>
      <c r="K2042" t="s">
        <v>18</v>
      </c>
      <c r="L2042" t="s">
        <v>27</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2142</v>
      </c>
      <c r="B2043" t="s">
        <v>127</v>
      </c>
      <c r="C2043">
        <v>10</v>
      </c>
      <c r="D2043">
        <v>36.200000000000003</v>
      </c>
      <c r="E2043">
        <v>362</v>
      </c>
      <c r="F2043" s="1">
        <v>45732</v>
      </c>
      <c r="G2043" s="1">
        <v>45734</v>
      </c>
      <c r="H2043" t="s">
        <v>22</v>
      </c>
      <c r="I2043" t="s">
        <v>17</v>
      </c>
      <c r="J2043">
        <v>5</v>
      </c>
      <c r="K2043" t="s">
        <v>18</v>
      </c>
      <c r="L2043" t="s">
        <v>27</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2143</v>
      </c>
      <c r="B2044" t="s">
        <v>38</v>
      </c>
      <c r="C2044">
        <v>1</v>
      </c>
      <c r="D2044">
        <v>53.2</v>
      </c>
      <c r="E2044">
        <v>53.2</v>
      </c>
      <c r="F2044" s="1">
        <v>45732</v>
      </c>
      <c r="G2044" s="1">
        <v>45733</v>
      </c>
      <c r="H2044" t="s">
        <v>26</v>
      </c>
      <c r="I2044" t="s">
        <v>17</v>
      </c>
      <c r="J2044">
        <v>3</v>
      </c>
      <c r="K2044" t="s">
        <v>18</v>
      </c>
      <c r="L2044" t="s">
        <v>146</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2144</v>
      </c>
      <c r="B2045" t="s">
        <v>25</v>
      </c>
      <c r="C2045">
        <v>14</v>
      </c>
      <c r="D2045">
        <v>176</v>
      </c>
      <c r="E2045">
        <v>2464</v>
      </c>
      <c r="F2045" s="1">
        <v>45732</v>
      </c>
      <c r="G2045" s="1">
        <v>45733</v>
      </c>
      <c r="H2045" t="s">
        <v>26</v>
      </c>
      <c r="I2045" t="s">
        <v>17</v>
      </c>
      <c r="J2045">
        <v>3</v>
      </c>
      <c r="K2045" t="s">
        <v>18</v>
      </c>
      <c r="L2045" t="s">
        <v>32</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2145</v>
      </c>
      <c r="B2046" t="s">
        <v>21</v>
      </c>
      <c r="C2046">
        <v>1</v>
      </c>
      <c r="D2046">
        <v>52.4</v>
      </c>
      <c r="E2046">
        <v>52.4</v>
      </c>
      <c r="F2046" s="1">
        <v>45732</v>
      </c>
      <c r="G2046" s="1">
        <v>45733</v>
      </c>
      <c r="H2046" t="s">
        <v>22</v>
      </c>
      <c r="I2046" t="s">
        <v>34</v>
      </c>
      <c r="J2046">
        <v>4</v>
      </c>
      <c r="K2046" t="s">
        <v>18</v>
      </c>
      <c r="L2046" t="s">
        <v>32</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2146</v>
      </c>
      <c r="B2047" t="s">
        <v>53</v>
      </c>
      <c r="C2047">
        <v>3</v>
      </c>
      <c r="D2047">
        <v>48.2</v>
      </c>
      <c r="E2047">
        <v>144.60000000000002</v>
      </c>
      <c r="F2047" s="1">
        <v>45732</v>
      </c>
      <c r="G2047" s="1">
        <v>45733</v>
      </c>
      <c r="H2047" t="s">
        <v>26</v>
      </c>
      <c r="I2047" t="s">
        <v>34</v>
      </c>
      <c r="J2047">
        <v>5</v>
      </c>
      <c r="K2047" t="s">
        <v>18</v>
      </c>
      <c r="L2047" t="s">
        <v>32</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2147</v>
      </c>
      <c r="B2048" t="s">
        <v>122</v>
      </c>
      <c r="C2048">
        <v>1</v>
      </c>
      <c r="D2048">
        <v>51.6</v>
      </c>
      <c r="E2048">
        <v>51.6</v>
      </c>
      <c r="F2048" s="1">
        <v>45732</v>
      </c>
      <c r="G2048" s="1">
        <v>45736</v>
      </c>
      <c r="H2048" t="s">
        <v>26</v>
      </c>
      <c r="I2048" t="s">
        <v>39</v>
      </c>
      <c r="J2048">
        <v>3</v>
      </c>
      <c r="K2048" t="s">
        <v>18</v>
      </c>
      <c r="L2048" t="s">
        <v>32</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2148</v>
      </c>
      <c r="B2049" t="s">
        <v>16</v>
      </c>
      <c r="C2049">
        <v>4</v>
      </c>
      <c r="D2049">
        <v>33.700000000000003</v>
      </c>
      <c r="E2049">
        <v>134.80000000000001</v>
      </c>
      <c r="F2049" s="1">
        <v>45733</v>
      </c>
      <c r="G2049" s="1">
        <v>45734</v>
      </c>
      <c r="H2049" t="s">
        <v>22</v>
      </c>
      <c r="I2049" t="s">
        <v>17</v>
      </c>
      <c r="J2049">
        <v>4</v>
      </c>
      <c r="K2049" t="s">
        <v>18</v>
      </c>
      <c r="L2049" t="s">
        <v>32</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2149</v>
      </c>
      <c r="B2050" t="s">
        <v>31</v>
      </c>
      <c r="C2050">
        <v>10</v>
      </c>
      <c r="D2050">
        <v>36.299999999999997</v>
      </c>
      <c r="E2050">
        <v>363</v>
      </c>
      <c r="F2050" s="1">
        <v>45733</v>
      </c>
      <c r="G2050" s="1">
        <v>45735</v>
      </c>
      <c r="H2050" t="s">
        <v>26</v>
      </c>
      <c r="I2050" t="s">
        <v>69</v>
      </c>
      <c r="J2050">
        <v>3</v>
      </c>
      <c r="K2050" t="s">
        <v>18</v>
      </c>
      <c r="L2050" t="s">
        <v>32</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2150</v>
      </c>
      <c r="B2051" t="s">
        <v>43</v>
      </c>
      <c r="C2051">
        <v>1</v>
      </c>
      <c r="D2051">
        <v>23.4</v>
      </c>
      <c r="E2051">
        <v>23.4</v>
      </c>
      <c r="F2051" s="1">
        <v>45733</v>
      </c>
      <c r="G2051" s="1">
        <v>45738</v>
      </c>
      <c r="H2051" t="s">
        <v>26</v>
      </c>
      <c r="I2051" t="s">
        <v>34</v>
      </c>
      <c r="J2051">
        <v>5</v>
      </c>
      <c r="K2051" t="s">
        <v>18</v>
      </c>
      <c r="L2051" t="s">
        <v>32</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2151</v>
      </c>
      <c r="B2052" t="s">
        <v>122</v>
      </c>
      <c r="C2052">
        <v>8</v>
      </c>
      <c r="D2052">
        <v>56.6</v>
      </c>
      <c r="E2052">
        <v>452.8</v>
      </c>
      <c r="F2052" s="1">
        <v>45733</v>
      </c>
      <c r="G2052" s="1">
        <v>45735</v>
      </c>
      <c r="H2052" t="s">
        <v>26</v>
      </c>
      <c r="I2052" t="s">
        <v>34</v>
      </c>
      <c r="J2052">
        <v>4</v>
      </c>
      <c r="K2052" t="s">
        <v>18</v>
      </c>
      <c r="L2052" t="s">
        <v>32</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2152</v>
      </c>
      <c r="B2053" t="s">
        <v>122</v>
      </c>
      <c r="C2053">
        <v>2</v>
      </c>
      <c r="D2053">
        <v>26.8</v>
      </c>
      <c r="E2053">
        <v>53.6</v>
      </c>
      <c r="F2053" s="1">
        <v>45733</v>
      </c>
      <c r="G2053" s="1">
        <v>45734</v>
      </c>
      <c r="H2053" t="s">
        <v>22</v>
      </c>
      <c r="I2053" t="s">
        <v>17</v>
      </c>
      <c r="J2053">
        <v>4</v>
      </c>
      <c r="K2053" t="s">
        <v>18</v>
      </c>
      <c r="L2053" t="s">
        <v>48</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2153</v>
      </c>
      <c r="B2054" t="s">
        <v>16</v>
      </c>
      <c r="C2054">
        <v>3</v>
      </c>
      <c r="D2054">
        <v>11.3</v>
      </c>
      <c r="E2054">
        <v>33.900000000000006</v>
      </c>
      <c r="F2054" s="1">
        <v>45733</v>
      </c>
      <c r="G2054" s="1">
        <v>45735</v>
      </c>
      <c r="H2054" t="s">
        <v>22</v>
      </c>
      <c r="I2054" t="s">
        <v>39</v>
      </c>
      <c r="J2054">
        <v>4</v>
      </c>
      <c r="K2054" t="s">
        <v>18</v>
      </c>
      <c r="L2054" t="s">
        <v>187</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2154</v>
      </c>
      <c r="B2055" t="s">
        <v>38</v>
      </c>
      <c r="C2055">
        <v>3</v>
      </c>
      <c r="D2055">
        <v>60.1</v>
      </c>
      <c r="E2055">
        <v>180.3</v>
      </c>
      <c r="F2055" s="1">
        <v>45733</v>
      </c>
      <c r="G2055" s="1">
        <v>45736</v>
      </c>
      <c r="H2055" t="s">
        <v>26</v>
      </c>
      <c r="I2055" t="s">
        <v>17</v>
      </c>
      <c r="J2055">
        <v>4</v>
      </c>
      <c r="K2055" t="s">
        <v>18</v>
      </c>
      <c r="L2055" t="s">
        <v>58</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2155</v>
      </c>
      <c r="B2056" t="s">
        <v>16</v>
      </c>
      <c r="C2056">
        <v>11</v>
      </c>
      <c r="D2056">
        <v>27.7</v>
      </c>
      <c r="E2056">
        <v>304.7</v>
      </c>
      <c r="F2056" s="1">
        <v>45733</v>
      </c>
      <c r="G2056" s="1">
        <v>45738</v>
      </c>
      <c r="H2056" t="s">
        <v>26</v>
      </c>
      <c r="I2056" t="s">
        <v>17</v>
      </c>
      <c r="J2056">
        <v>4</v>
      </c>
      <c r="K2056" t="s">
        <v>18</v>
      </c>
      <c r="L2056" t="s">
        <v>61</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2156</v>
      </c>
      <c r="B2057" t="s">
        <v>122</v>
      </c>
      <c r="C2057">
        <v>1</v>
      </c>
      <c r="D2057">
        <v>71.400000000000006</v>
      </c>
      <c r="E2057">
        <v>71.400000000000006</v>
      </c>
      <c r="F2057" s="1">
        <v>45733</v>
      </c>
      <c r="G2057" s="1">
        <v>45736</v>
      </c>
      <c r="H2057" t="s">
        <v>22</v>
      </c>
      <c r="I2057" t="s">
        <v>17</v>
      </c>
      <c r="J2057">
        <v>5</v>
      </c>
      <c r="K2057" t="s">
        <v>18</v>
      </c>
      <c r="L2057" t="s">
        <v>61</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2157</v>
      </c>
      <c r="B2058" t="s">
        <v>25</v>
      </c>
      <c r="C2058">
        <v>2</v>
      </c>
      <c r="D2058">
        <v>66.7</v>
      </c>
      <c r="E2058">
        <v>133.4</v>
      </c>
      <c r="F2058" s="1">
        <v>45733</v>
      </c>
      <c r="G2058" s="1">
        <v>45734</v>
      </c>
      <c r="H2058" t="s">
        <v>26</v>
      </c>
      <c r="I2058" t="s">
        <v>17</v>
      </c>
      <c r="J2058">
        <v>5</v>
      </c>
      <c r="K2058" t="s">
        <v>18</v>
      </c>
      <c r="L2058" t="s">
        <v>61</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2158</v>
      </c>
      <c r="B2059" t="s">
        <v>75</v>
      </c>
      <c r="C2059">
        <v>5</v>
      </c>
      <c r="D2059">
        <v>39.1</v>
      </c>
      <c r="E2059">
        <v>195.5</v>
      </c>
      <c r="F2059" s="1">
        <v>45733</v>
      </c>
      <c r="G2059" s="1">
        <v>45734</v>
      </c>
      <c r="H2059" t="s">
        <v>26</v>
      </c>
      <c r="I2059" t="s">
        <v>17</v>
      </c>
      <c r="J2059">
        <v>4</v>
      </c>
      <c r="K2059" t="s">
        <v>18</v>
      </c>
      <c r="L2059" t="s">
        <v>61</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2159</v>
      </c>
      <c r="B2060" t="s">
        <v>43</v>
      </c>
      <c r="C2060">
        <v>4</v>
      </c>
      <c r="D2060">
        <v>24.9</v>
      </c>
      <c r="E2060">
        <v>99.6</v>
      </c>
      <c r="F2060" s="1">
        <v>45733</v>
      </c>
      <c r="G2060" s="1">
        <v>45738</v>
      </c>
      <c r="H2060" t="s">
        <v>22</v>
      </c>
      <c r="I2060" t="s">
        <v>34</v>
      </c>
      <c r="J2060">
        <v>5</v>
      </c>
      <c r="K2060" t="s">
        <v>18</v>
      </c>
      <c r="L2060" t="s">
        <v>61</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2160</v>
      </c>
      <c r="B2061" t="s">
        <v>36</v>
      </c>
      <c r="C2061">
        <v>5</v>
      </c>
      <c r="D2061">
        <v>29.2</v>
      </c>
      <c r="E2061">
        <v>146</v>
      </c>
      <c r="F2061" s="1">
        <v>45733</v>
      </c>
      <c r="G2061" s="1">
        <v>45734</v>
      </c>
      <c r="H2061" t="s">
        <v>22</v>
      </c>
      <c r="I2061" t="s">
        <v>17</v>
      </c>
      <c r="J2061">
        <v>5</v>
      </c>
      <c r="K2061" t="s">
        <v>18</v>
      </c>
      <c r="L2061" t="s">
        <v>102</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2161</v>
      </c>
      <c r="B2062" t="s">
        <v>75</v>
      </c>
      <c r="C2062">
        <v>14</v>
      </c>
      <c r="D2062">
        <v>28.3</v>
      </c>
      <c r="E2062">
        <v>396.2</v>
      </c>
      <c r="F2062" s="1">
        <v>45733</v>
      </c>
      <c r="G2062" s="1">
        <v>45735</v>
      </c>
      <c r="H2062" t="s">
        <v>26</v>
      </c>
      <c r="I2062" t="s">
        <v>34</v>
      </c>
      <c r="J2062">
        <v>4</v>
      </c>
      <c r="K2062" t="s">
        <v>18</v>
      </c>
      <c r="L2062" t="s">
        <v>76</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2162</v>
      </c>
      <c r="B2063" t="s">
        <v>45</v>
      </c>
      <c r="C2063">
        <v>3</v>
      </c>
      <c r="D2063">
        <v>37.799999999999997</v>
      </c>
      <c r="E2063">
        <v>113.39999999999999</v>
      </c>
      <c r="F2063" s="1">
        <v>45733</v>
      </c>
      <c r="G2063" s="1">
        <v>45734</v>
      </c>
      <c r="H2063" t="s">
        <v>26</v>
      </c>
      <c r="I2063" t="s">
        <v>17</v>
      </c>
      <c r="J2063">
        <v>3</v>
      </c>
      <c r="K2063" t="s">
        <v>18</v>
      </c>
      <c r="L2063" t="s">
        <v>76</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2163</v>
      </c>
      <c r="B2064" t="s">
        <v>80</v>
      </c>
      <c r="C2064">
        <v>7</v>
      </c>
      <c r="D2064">
        <v>28.1</v>
      </c>
      <c r="E2064">
        <v>196.70000000000002</v>
      </c>
      <c r="F2064" s="1">
        <v>45733</v>
      </c>
      <c r="G2064" s="1">
        <v>45739</v>
      </c>
      <c r="H2064" t="s">
        <v>26</v>
      </c>
      <c r="I2064" t="s">
        <v>39</v>
      </c>
      <c r="J2064">
        <v>4</v>
      </c>
      <c r="K2064" t="s">
        <v>18</v>
      </c>
      <c r="L2064" t="s">
        <v>76</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2164</v>
      </c>
      <c r="B2065" t="s">
        <v>21</v>
      </c>
      <c r="C2065">
        <v>3</v>
      </c>
      <c r="D2065">
        <v>59.7</v>
      </c>
      <c r="E2065">
        <v>179.10000000000002</v>
      </c>
      <c r="F2065" s="1">
        <v>45733</v>
      </c>
      <c r="G2065" s="1">
        <v>45735</v>
      </c>
      <c r="H2065" t="s">
        <v>26</v>
      </c>
      <c r="I2065" t="s">
        <v>39</v>
      </c>
      <c r="J2065">
        <v>4</v>
      </c>
      <c r="K2065" t="s">
        <v>18</v>
      </c>
      <c r="L2065" t="s">
        <v>76</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2165</v>
      </c>
      <c r="B2066" t="s">
        <v>127</v>
      </c>
      <c r="C2066">
        <v>1</v>
      </c>
      <c r="D2066">
        <v>71.900000000000006</v>
      </c>
      <c r="E2066">
        <v>71.900000000000006</v>
      </c>
      <c r="F2066" s="1">
        <v>45733</v>
      </c>
      <c r="G2066" s="1">
        <v>45734</v>
      </c>
      <c r="H2066" t="s">
        <v>22</v>
      </c>
      <c r="I2066" t="s">
        <v>34</v>
      </c>
      <c r="J2066">
        <v>3</v>
      </c>
      <c r="K2066" t="s">
        <v>18</v>
      </c>
      <c r="L2066" t="s">
        <v>76</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2166</v>
      </c>
      <c r="B2067" t="s">
        <v>21</v>
      </c>
      <c r="C2067">
        <v>2</v>
      </c>
      <c r="D2067">
        <v>56.9</v>
      </c>
      <c r="E2067">
        <v>113.8</v>
      </c>
      <c r="F2067" s="1">
        <v>45733</v>
      </c>
      <c r="G2067" s="1">
        <v>45734</v>
      </c>
      <c r="H2067" t="s">
        <v>22</v>
      </c>
      <c r="I2067" t="s">
        <v>39</v>
      </c>
      <c r="J2067">
        <v>4</v>
      </c>
      <c r="K2067" t="s">
        <v>18</v>
      </c>
      <c r="L2067" t="s">
        <v>81</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2167</v>
      </c>
      <c r="B2068" t="s">
        <v>43</v>
      </c>
      <c r="C2068">
        <v>2</v>
      </c>
      <c r="D2068">
        <v>15.8</v>
      </c>
      <c r="E2068">
        <v>31.6</v>
      </c>
      <c r="F2068" s="1">
        <v>45733</v>
      </c>
      <c r="G2068" s="1">
        <v>45736</v>
      </c>
      <c r="H2068" t="s">
        <v>26</v>
      </c>
      <c r="I2068" t="s">
        <v>39</v>
      </c>
      <c r="J2068">
        <v>3</v>
      </c>
      <c r="K2068" t="s">
        <v>18</v>
      </c>
      <c r="L2068" t="s">
        <v>23</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2168</v>
      </c>
      <c r="B2069" t="s">
        <v>66</v>
      </c>
      <c r="C2069">
        <v>4</v>
      </c>
      <c r="D2069">
        <v>61.7</v>
      </c>
      <c r="E2069">
        <v>246.8</v>
      </c>
      <c r="F2069" s="1">
        <v>45733</v>
      </c>
      <c r="G2069" s="1">
        <v>45735</v>
      </c>
      <c r="H2069" t="s">
        <v>26</v>
      </c>
      <c r="I2069" t="s">
        <v>39</v>
      </c>
      <c r="J2069">
        <v>4</v>
      </c>
      <c r="K2069" t="s">
        <v>18</v>
      </c>
      <c r="L2069" t="s">
        <v>146</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2169</v>
      </c>
      <c r="B2070" t="s">
        <v>25</v>
      </c>
      <c r="C2070">
        <v>10</v>
      </c>
      <c r="D2070">
        <v>105.2</v>
      </c>
      <c r="E2070">
        <v>1052</v>
      </c>
      <c r="F2070" s="1">
        <v>45733</v>
      </c>
      <c r="G2070" s="1">
        <v>45735</v>
      </c>
      <c r="H2070" t="s">
        <v>22</v>
      </c>
      <c r="I2070" t="s">
        <v>34</v>
      </c>
      <c r="J2070">
        <v>2</v>
      </c>
      <c r="K2070" t="s">
        <v>18</v>
      </c>
      <c r="L2070" t="s">
        <v>32</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2170</v>
      </c>
      <c r="B2071" t="s">
        <v>16</v>
      </c>
      <c r="C2071">
        <v>2</v>
      </c>
      <c r="D2071">
        <v>17</v>
      </c>
      <c r="E2071">
        <v>34</v>
      </c>
      <c r="F2071" s="1">
        <v>45733</v>
      </c>
      <c r="G2071" s="1">
        <v>45735</v>
      </c>
      <c r="H2071" t="s">
        <v>26</v>
      </c>
      <c r="I2071" t="s">
        <v>39</v>
      </c>
      <c r="J2071">
        <v>4</v>
      </c>
      <c r="K2071" t="s">
        <v>18</v>
      </c>
      <c r="L2071" t="s">
        <v>32</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2171</v>
      </c>
      <c r="B2072" t="s">
        <v>38</v>
      </c>
      <c r="C2072">
        <v>3</v>
      </c>
      <c r="D2072">
        <v>84.1</v>
      </c>
      <c r="E2072">
        <v>252.29999999999998</v>
      </c>
      <c r="F2072" s="1">
        <v>45733</v>
      </c>
      <c r="G2072" s="1">
        <v>45734</v>
      </c>
      <c r="H2072" t="s">
        <v>22</v>
      </c>
      <c r="I2072" t="s">
        <v>39</v>
      </c>
      <c r="J2072">
        <v>4</v>
      </c>
      <c r="K2072" t="s">
        <v>18</v>
      </c>
      <c r="L2072" t="s">
        <v>32</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2172</v>
      </c>
      <c r="B2073" t="s">
        <v>29</v>
      </c>
      <c r="C2073">
        <v>4</v>
      </c>
      <c r="D2073">
        <v>59.5</v>
      </c>
      <c r="E2073">
        <v>238</v>
      </c>
      <c r="F2073" s="1">
        <v>45733</v>
      </c>
      <c r="G2073" s="1">
        <v>45738</v>
      </c>
      <c r="H2073" t="s">
        <v>22</v>
      </c>
      <c r="I2073" t="s">
        <v>17</v>
      </c>
      <c r="J2073">
        <v>5</v>
      </c>
      <c r="K2073" t="s">
        <v>18</v>
      </c>
      <c r="L2073" t="s">
        <v>32</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2173</v>
      </c>
      <c r="B2074" t="s">
        <v>43</v>
      </c>
      <c r="C2074">
        <v>2</v>
      </c>
      <c r="D2074">
        <v>57.5</v>
      </c>
      <c r="E2074">
        <v>115</v>
      </c>
      <c r="F2074" s="1">
        <v>45733</v>
      </c>
      <c r="G2074" s="1">
        <v>45735</v>
      </c>
      <c r="H2074" t="s">
        <v>22</v>
      </c>
      <c r="I2074" t="s">
        <v>34</v>
      </c>
      <c r="J2074">
        <v>5</v>
      </c>
      <c r="K2074" t="s">
        <v>18</v>
      </c>
      <c r="L2074" t="s">
        <v>32</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2174</v>
      </c>
      <c r="B2075" t="s">
        <v>43</v>
      </c>
      <c r="C2075">
        <v>1</v>
      </c>
      <c r="D2075">
        <v>34.299999999999997</v>
      </c>
      <c r="E2075">
        <v>34.299999999999997</v>
      </c>
      <c r="F2075" s="1">
        <v>45733</v>
      </c>
      <c r="G2075" s="1">
        <v>45734</v>
      </c>
      <c r="H2075" t="s">
        <v>26</v>
      </c>
      <c r="I2075" t="s">
        <v>69</v>
      </c>
      <c r="J2075">
        <v>5</v>
      </c>
      <c r="K2075" t="s">
        <v>18</v>
      </c>
      <c r="L2075" t="s">
        <v>32</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2175</v>
      </c>
      <c r="B2076" t="s">
        <v>36</v>
      </c>
      <c r="C2076">
        <v>2</v>
      </c>
      <c r="D2076">
        <v>27.8</v>
      </c>
      <c r="E2076">
        <v>55.6</v>
      </c>
      <c r="F2076" s="1">
        <v>45734</v>
      </c>
      <c r="G2076" s="1">
        <v>45736</v>
      </c>
      <c r="H2076" t="s">
        <v>26</v>
      </c>
      <c r="I2076" t="s">
        <v>17</v>
      </c>
      <c r="J2076">
        <v>4</v>
      </c>
      <c r="K2076" t="s">
        <v>18</v>
      </c>
      <c r="L2076" t="s">
        <v>32</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2176</v>
      </c>
      <c r="B2077" t="s">
        <v>68</v>
      </c>
      <c r="C2077">
        <v>2</v>
      </c>
      <c r="D2077">
        <v>85</v>
      </c>
      <c r="E2077">
        <v>170</v>
      </c>
      <c r="F2077" s="1">
        <v>45734</v>
      </c>
      <c r="G2077" s="1">
        <v>45734</v>
      </c>
      <c r="H2077" t="s">
        <v>22</v>
      </c>
      <c r="I2077" t="s">
        <v>39</v>
      </c>
      <c r="J2077">
        <v>5</v>
      </c>
      <c r="K2077" t="s">
        <v>18</v>
      </c>
      <c r="L2077" t="s">
        <v>32</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2177</v>
      </c>
      <c r="B2078" t="s">
        <v>38</v>
      </c>
      <c r="C2078">
        <v>2</v>
      </c>
      <c r="D2078">
        <v>95</v>
      </c>
      <c r="E2078">
        <v>190</v>
      </c>
      <c r="F2078" s="1">
        <v>45734</v>
      </c>
      <c r="G2078" s="1">
        <v>45736</v>
      </c>
      <c r="H2078" t="s">
        <v>26</v>
      </c>
      <c r="I2078" t="s">
        <v>17</v>
      </c>
      <c r="J2078">
        <v>4</v>
      </c>
      <c r="K2078" t="s">
        <v>18</v>
      </c>
      <c r="L2078" t="s">
        <v>32</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2178</v>
      </c>
      <c r="B2079" t="s">
        <v>127</v>
      </c>
      <c r="C2079">
        <v>2</v>
      </c>
      <c r="D2079">
        <v>32</v>
      </c>
      <c r="E2079">
        <v>64</v>
      </c>
      <c r="F2079" s="1">
        <v>45734</v>
      </c>
      <c r="G2079" s="1">
        <v>45736</v>
      </c>
      <c r="H2079" t="s">
        <v>22</v>
      </c>
      <c r="I2079" t="s">
        <v>17</v>
      </c>
      <c r="J2079">
        <v>3</v>
      </c>
      <c r="K2079" t="s">
        <v>18</v>
      </c>
      <c r="L2079" t="s">
        <v>32</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2179</v>
      </c>
      <c r="B2080" t="s">
        <v>25</v>
      </c>
      <c r="C2080">
        <v>2</v>
      </c>
      <c r="D2080">
        <v>65.2</v>
      </c>
      <c r="E2080">
        <v>130.4</v>
      </c>
      <c r="F2080" s="1">
        <v>45734</v>
      </c>
      <c r="G2080" s="1">
        <v>45735</v>
      </c>
      <c r="H2080" t="s">
        <v>26</v>
      </c>
      <c r="I2080" t="s">
        <v>34</v>
      </c>
      <c r="J2080">
        <v>4</v>
      </c>
      <c r="K2080" t="s">
        <v>18</v>
      </c>
      <c r="L2080" t="s">
        <v>32</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2180</v>
      </c>
      <c r="B2081" t="s">
        <v>134</v>
      </c>
      <c r="C2081">
        <v>4</v>
      </c>
      <c r="D2081">
        <v>22</v>
      </c>
      <c r="E2081">
        <v>88</v>
      </c>
      <c r="F2081" s="1">
        <v>45734</v>
      </c>
      <c r="G2081" s="1">
        <v>45735</v>
      </c>
      <c r="H2081" t="s">
        <v>22</v>
      </c>
      <c r="I2081" t="s">
        <v>34</v>
      </c>
      <c r="J2081">
        <v>5</v>
      </c>
      <c r="K2081" t="s">
        <v>18</v>
      </c>
      <c r="L2081" t="s">
        <v>32</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2181</v>
      </c>
      <c r="B2082" t="s">
        <v>122</v>
      </c>
      <c r="C2082">
        <v>3</v>
      </c>
      <c r="D2082">
        <v>69.400000000000006</v>
      </c>
      <c r="E2082">
        <v>208.20000000000002</v>
      </c>
      <c r="F2082" s="1">
        <v>45734</v>
      </c>
      <c r="G2082" s="1">
        <v>45737</v>
      </c>
      <c r="H2082" t="s">
        <v>22</v>
      </c>
      <c r="I2082" t="s">
        <v>34</v>
      </c>
      <c r="J2082">
        <v>5</v>
      </c>
      <c r="K2082" t="s">
        <v>18</v>
      </c>
      <c r="L2082" t="s">
        <v>32</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2182</v>
      </c>
      <c r="B2083" t="s">
        <v>53</v>
      </c>
      <c r="C2083">
        <v>6</v>
      </c>
      <c r="D2083">
        <v>31.5</v>
      </c>
      <c r="E2083">
        <v>189</v>
      </c>
      <c r="F2083" s="1">
        <v>45734</v>
      </c>
      <c r="G2083" s="1">
        <v>45736</v>
      </c>
      <c r="H2083" t="s">
        <v>26</v>
      </c>
      <c r="I2083" t="s">
        <v>17</v>
      </c>
      <c r="J2083">
        <v>5</v>
      </c>
      <c r="K2083" t="s">
        <v>18</v>
      </c>
      <c r="L2083" t="s">
        <v>32</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2183</v>
      </c>
      <c r="B2084" t="s">
        <v>38</v>
      </c>
      <c r="C2084">
        <v>1</v>
      </c>
      <c r="D2084">
        <v>45.8</v>
      </c>
      <c r="E2084">
        <v>45.8</v>
      </c>
      <c r="F2084" s="1">
        <v>45734</v>
      </c>
      <c r="G2084" s="1">
        <v>45738</v>
      </c>
      <c r="H2084" t="s">
        <v>88</v>
      </c>
      <c r="I2084" t="s">
        <v>17</v>
      </c>
      <c r="J2084">
        <v>4</v>
      </c>
      <c r="K2084" t="s">
        <v>18</v>
      </c>
      <c r="L2084" t="s">
        <v>32</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2184</v>
      </c>
      <c r="B2085" t="s">
        <v>170</v>
      </c>
      <c r="C2085">
        <v>4</v>
      </c>
      <c r="D2085">
        <v>12.8</v>
      </c>
      <c r="E2085">
        <v>51.2</v>
      </c>
      <c r="F2085" s="1">
        <v>45734</v>
      </c>
      <c r="G2085" s="1">
        <v>45741</v>
      </c>
      <c r="H2085" t="s">
        <v>26</v>
      </c>
      <c r="I2085" t="s">
        <v>34</v>
      </c>
      <c r="J2085">
        <v>3</v>
      </c>
      <c r="K2085" t="s">
        <v>18</v>
      </c>
      <c r="L2085" t="s">
        <v>51</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2185</v>
      </c>
      <c r="B2086" t="s">
        <v>36</v>
      </c>
      <c r="C2086">
        <v>3</v>
      </c>
      <c r="D2086">
        <v>115.3</v>
      </c>
      <c r="E2086">
        <v>345.9</v>
      </c>
      <c r="F2086" s="1">
        <v>45734</v>
      </c>
      <c r="G2086" s="1">
        <v>45735</v>
      </c>
      <c r="H2086" t="s">
        <v>26</v>
      </c>
      <c r="I2086" t="s">
        <v>39</v>
      </c>
      <c r="J2086">
        <v>5</v>
      </c>
      <c r="K2086" t="s">
        <v>18</v>
      </c>
      <c r="L2086" t="s">
        <v>54</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2186</v>
      </c>
      <c r="B2087" t="s">
        <v>36</v>
      </c>
      <c r="C2087">
        <v>2</v>
      </c>
      <c r="D2087">
        <v>85</v>
      </c>
      <c r="E2087">
        <v>170</v>
      </c>
      <c r="F2087" s="1">
        <v>45734</v>
      </c>
      <c r="G2087" s="1">
        <v>45736</v>
      </c>
      <c r="H2087" t="s">
        <v>26</v>
      </c>
      <c r="I2087" t="s">
        <v>34</v>
      </c>
      <c r="J2087">
        <v>4</v>
      </c>
      <c r="K2087" t="s">
        <v>18</v>
      </c>
      <c r="L2087" t="s">
        <v>58</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2187</v>
      </c>
      <c r="B2088" t="s">
        <v>43</v>
      </c>
      <c r="C2088">
        <v>3</v>
      </c>
      <c r="D2088">
        <v>56.6</v>
      </c>
      <c r="E2088">
        <v>169.8</v>
      </c>
      <c r="F2088" s="1">
        <v>45734</v>
      </c>
      <c r="G2088" s="1">
        <v>45735</v>
      </c>
      <c r="H2088" t="s">
        <v>26</v>
      </c>
      <c r="I2088" t="s">
        <v>34</v>
      </c>
      <c r="J2088">
        <v>5</v>
      </c>
      <c r="K2088" t="s">
        <v>18</v>
      </c>
      <c r="L2088" t="s">
        <v>58</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2188</v>
      </c>
      <c r="B2089" t="s">
        <v>122</v>
      </c>
      <c r="C2089">
        <v>27</v>
      </c>
      <c r="D2089">
        <v>46.3</v>
      </c>
      <c r="E2089">
        <v>1250.0999999999999</v>
      </c>
      <c r="F2089" s="1">
        <v>45734</v>
      </c>
      <c r="G2089" s="1">
        <v>45737</v>
      </c>
      <c r="H2089" t="s">
        <v>22</v>
      </c>
      <c r="I2089" t="s">
        <v>17</v>
      </c>
      <c r="J2089">
        <v>4</v>
      </c>
      <c r="K2089" t="s">
        <v>18</v>
      </c>
      <c r="L2089" t="s">
        <v>58</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2189</v>
      </c>
      <c r="B2090" t="s">
        <v>80</v>
      </c>
      <c r="C2090">
        <v>4</v>
      </c>
      <c r="D2090">
        <v>23</v>
      </c>
      <c r="E2090">
        <v>92</v>
      </c>
      <c r="F2090" s="1">
        <v>45734</v>
      </c>
      <c r="G2090" s="1">
        <v>45738</v>
      </c>
      <c r="H2090" t="s">
        <v>22</v>
      </c>
      <c r="I2090" t="s">
        <v>50</v>
      </c>
      <c r="J2090">
        <v>5</v>
      </c>
      <c r="K2090" t="s">
        <v>18</v>
      </c>
      <c r="L2090" t="s">
        <v>58</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2190</v>
      </c>
      <c r="B2091" t="s">
        <v>43</v>
      </c>
      <c r="C2091">
        <v>6</v>
      </c>
      <c r="D2091">
        <v>42.1</v>
      </c>
      <c r="E2091">
        <v>252.60000000000002</v>
      </c>
      <c r="F2091" s="1">
        <v>45734</v>
      </c>
      <c r="G2091" s="1">
        <v>45736</v>
      </c>
      <c r="H2091" t="s">
        <v>22</v>
      </c>
      <c r="I2091" t="s">
        <v>69</v>
      </c>
      <c r="J2091">
        <v>4</v>
      </c>
      <c r="K2091" t="s">
        <v>18</v>
      </c>
      <c r="L2091" t="s">
        <v>61</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2191</v>
      </c>
      <c r="B2092" t="s">
        <v>36</v>
      </c>
      <c r="C2092">
        <v>7</v>
      </c>
      <c r="D2092">
        <v>57.4</v>
      </c>
      <c r="E2092">
        <v>401.8</v>
      </c>
      <c r="F2092" s="1">
        <v>45734</v>
      </c>
      <c r="G2092" s="1">
        <v>45738</v>
      </c>
      <c r="H2092" t="s">
        <v>26</v>
      </c>
      <c r="I2092" t="s">
        <v>34</v>
      </c>
      <c r="J2092">
        <v>2</v>
      </c>
      <c r="K2092" t="s">
        <v>18</v>
      </c>
      <c r="L2092" t="s">
        <v>61</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2192</v>
      </c>
      <c r="B2093" t="s">
        <v>16</v>
      </c>
      <c r="C2093">
        <v>6</v>
      </c>
      <c r="D2093">
        <v>13.2</v>
      </c>
      <c r="E2093">
        <v>79.199999999999989</v>
      </c>
      <c r="F2093" s="1">
        <v>45734</v>
      </c>
      <c r="G2093" s="1">
        <v>45738</v>
      </c>
      <c r="H2093" t="s">
        <v>22</v>
      </c>
      <c r="I2093" t="s">
        <v>39</v>
      </c>
      <c r="J2093">
        <v>4</v>
      </c>
      <c r="K2093" t="s">
        <v>18</v>
      </c>
      <c r="L2093" t="s">
        <v>61</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2193</v>
      </c>
      <c r="B2094" t="s">
        <v>38</v>
      </c>
      <c r="C2094">
        <v>3</v>
      </c>
      <c r="D2094">
        <v>52.3</v>
      </c>
      <c r="E2094">
        <v>156.89999999999998</v>
      </c>
      <c r="F2094" s="1">
        <v>45734</v>
      </c>
      <c r="G2094" s="1">
        <v>45735</v>
      </c>
      <c r="H2094" t="s">
        <v>22</v>
      </c>
      <c r="I2094" t="s">
        <v>34</v>
      </c>
      <c r="J2094">
        <v>4</v>
      </c>
      <c r="K2094" t="s">
        <v>18</v>
      </c>
      <c r="L2094" t="s">
        <v>61</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2194</v>
      </c>
      <c r="B2095" t="s">
        <v>43</v>
      </c>
      <c r="C2095">
        <v>2</v>
      </c>
      <c r="D2095">
        <v>15.7</v>
      </c>
      <c r="E2095">
        <v>31.4</v>
      </c>
      <c r="F2095" s="1">
        <v>45734</v>
      </c>
      <c r="G2095" s="1">
        <v>45737</v>
      </c>
      <c r="H2095" t="s">
        <v>22</v>
      </c>
      <c r="I2095" t="s">
        <v>34</v>
      </c>
      <c r="J2095">
        <v>5</v>
      </c>
      <c r="K2095" t="s">
        <v>18</v>
      </c>
      <c r="L2095" t="s">
        <v>61</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2195</v>
      </c>
      <c r="B2096" t="s">
        <v>41</v>
      </c>
      <c r="C2096">
        <v>3</v>
      </c>
      <c r="D2096">
        <v>35</v>
      </c>
      <c r="E2096">
        <v>105</v>
      </c>
      <c r="F2096" s="1">
        <v>45734</v>
      </c>
      <c r="G2096" s="1">
        <v>45737</v>
      </c>
      <c r="H2096" t="s">
        <v>26</v>
      </c>
      <c r="I2096" t="s">
        <v>34</v>
      </c>
      <c r="J2096">
        <v>5</v>
      </c>
      <c r="K2096" t="s">
        <v>18</v>
      </c>
      <c r="L2096" t="s">
        <v>71</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2196</v>
      </c>
      <c r="B2097" t="s">
        <v>31</v>
      </c>
      <c r="C2097">
        <v>3</v>
      </c>
      <c r="D2097">
        <v>26.6</v>
      </c>
      <c r="E2097">
        <v>79.800000000000011</v>
      </c>
      <c r="F2097" s="1">
        <v>45734</v>
      </c>
      <c r="G2097" s="1">
        <v>45734</v>
      </c>
      <c r="H2097" t="s">
        <v>22</v>
      </c>
      <c r="I2097" t="s">
        <v>34</v>
      </c>
      <c r="J2097">
        <v>5</v>
      </c>
      <c r="K2097" t="s">
        <v>18</v>
      </c>
      <c r="L2097" t="s">
        <v>76</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2197</v>
      </c>
      <c r="B2098" t="s">
        <v>31</v>
      </c>
      <c r="C2098">
        <v>8</v>
      </c>
      <c r="D2098">
        <v>47.9</v>
      </c>
      <c r="E2098">
        <v>383.2</v>
      </c>
      <c r="F2098" s="1">
        <v>45735</v>
      </c>
      <c r="G2098" s="1">
        <v>45736</v>
      </c>
      <c r="H2098" t="s">
        <v>26</v>
      </c>
      <c r="I2098" t="s">
        <v>50</v>
      </c>
      <c r="J2098">
        <v>5</v>
      </c>
      <c r="K2098" t="s">
        <v>18</v>
      </c>
      <c r="L2098" t="s">
        <v>112</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2198</v>
      </c>
      <c r="B2099" t="s">
        <v>36</v>
      </c>
      <c r="C2099">
        <v>1</v>
      </c>
      <c r="D2099">
        <v>80.099999999999994</v>
      </c>
      <c r="E2099">
        <v>80.099999999999994</v>
      </c>
      <c r="F2099" s="1">
        <v>45735</v>
      </c>
      <c r="G2099" s="1">
        <v>45736</v>
      </c>
      <c r="H2099" t="s">
        <v>22</v>
      </c>
      <c r="I2099" t="s">
        <v>39</v>
      </c>
      <c r="J2099">
        <v>4</v>
      </c>
      <c r="K2099" t="s">
        <v>18</v>
      </c>
      <c r="L2099" t="s">
        <v>114</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2199</v>
      </c>
      <c r="B2100" t="s">
        <v>38</v>
      </c>
      <c r="C2100">
        <v>5</v>
      </c>
      <c r="D2100">
        <v>50.4</v>
      </c>
      <c r="E2100">
        <v>252</v>
      </c>
      <c r="F2100" s="1">
        <v>45735</v>
      </c>
      <c r="G2100" s="1">
        <v>45736</v>
      </c>
      <c r="H2100" t="s">
        <v>22</v>
      </c>
      <c r="I2100" t="s">
        <v>34</v>
      </c>
      <c r="J2100">
        <v>5</v>
      </c>
      <c r="K2100" t="s">
        <v>18</v>
      </c>
      <c r="L2100" t="s">
        <v>114</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2200</v>
      </c>
      <c r="B2101" t="s">
        <v>53</v>
      </c>
      <c r="C2101">
        <v>7</v>
      </c>
      <c r="D2101">
        <v>43.3</v>
      </c>
      <c r="E2101">
        <v>303.09999999999997</v>
      </c>
      <c r="F2101" s="1">
        <v>45735</v>
      </c>
      <c r="G2101" s="1">
        <v>45736</v>
      </c>
      <c r="H2101" t="s">
        <v>22</v>
      </c>
      <c r="I2101" t="s">
        <v>39</v>
      </c>
      <c r="J2101">
        <v>4</v>
      </c>
      <c r="K2101" t="s">
        <v>18</v>
      </c>
      <c r="L2101" t="s">
        <v>114</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2201</v>
      </c>
      <c r="B2102" t="s">
        <v>53</v>
      </c>
      <c r="C2102">
        <v>4</v>
      </c>
      <c r="D2102">
        <v>57.5</v>
      </c>
      <c r="E2102">
        <v>230</v>
      </c>
      <c r="F2102" s="1">
        <v>45735</v>
      </c>
      <c r="G2102" s="1">
        <v>45736</v>
      </c>
      <c r="H2102" t="s">
        <v>26</v>
      </c>
      <c r="I2102" t="s">
        <v>34</v>
      </c>
      <c r="J2102">
        <v>5</v>
      </c>
      <c r="K2102" t="s">
        <v>18</v>
      </c>
      <c r="L2102" t="s">
        <v>23</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2202</v>
      </c>
      <c r="B2103" t="s">
        <v>45</v>
      </c>
      <c r="C2103">
        <v>13</v>
      </c>
      <c r="D2103">
        <v>24.8</v>
      </c>
      <c r="E2103">
        <v>322.40000000000003</v>
      </c>
      <c r="F2103" s="1">
        <v>45735</v>
      </c>
      <c r="G2103" s="1">
        <v>45736</v>
      </c>
      <c r="H2103" t="s">
        <v>22</v>
      </c>
      <c r="I2103" t="s">
        <v>17</v>
      </c>
      <c r="J2103">
        <v>4</v>
      </c>
      <c r="K2103" t="s">
        <v>18</v>
      </c>
      <c r="L2103" t="s">
        <v>2203</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2204</v>
      </c>
      <c r="B2104" t="s">
        <v>25</v>
      </c>
      <c r="C2104">
        <v>9</v>
      </c>
      <c r="D2104">
        <v>85.7</v>
      </c>
      <c r="E2104">
        <v>771.30000000000007</v>
      </c>
      <c r="F2104" s="1">
        <v>45735</v>
      </c>
      <c r="G2104" s="1">
        <v>45736</v>
      </c>
      <c r="H2104" t="s">
        <v>26</v>
      </c>
      <c r="I2104" t="s">
        <v>17</v>
      </c>
      <c r="J2104">
        <v>4</v>
      </c>
      <c r="K2104" t="s">
        <v>18</v>
      </c>
      <c r="L2104" t="s">
        <v>436</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2205</v>
      </c>
      <c r="B2105" t="s">
        <v>41</v>
      </c>
      <c r="C2105">
        <v>1</v>
      </c>
      <c r="D2105">
        <v>47.1</v>
      </c>
      <c r="E2105">
        <v>47.1</v>
      </c>
      <c r="F2105" s="1">
        <v>45735</v>
      </c>
      <c r="G2105" s="1">
        <v>45737</v>
      </c>
      <c r="H2105" t="s">
        <v>26</v>
      </c>
      <c r="I2105" t="s">
        <v>17</v>
      </c>
      <c r="J2105">
        <v>4</v>
      </c>
      <c r="K2105" t="s">
        <v>18</v>
      </c>
      <c r="L2105" t="s">
        <v>27</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2206</v>
      </c>
      <c r="B2106" t="s">
        <v>36</v>
      </c>
      <c r="C2106">
        <v>10</v>
      </c>
      <c r="D2106">
        <v>83.2</v>
      </c>
      <c r="E2106">
        <v>832</v>
      </c>
      <c r="F2106" s="1">
        <v>45735</v>
      </c>
      <c r="G2106" s="1">
        <v>45739</v>
      </c>
      <c r="H2106" t="s">
        <v>26</v>
      </c>
      <c r="I2106" t="s">
        <v>17</v>
      </c>
      <c r="J2106">
        <v>4</v>
      </c>
      <c r="K2106" t="s">
        <v>18</v>
      </c>
      <c r="L2106" t="s">
        <v>330</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2207</v>
      </c>
      <c r="B2107" t="s">
        <v>25</v>
      </c>
      <c r="C2107">
        <v>3</v>
      </c>
      <c r="D2107">
        <v>157</v>
      </c>
      <c r="E2107">
        <v>471</v>
      </c>
      <c r="F2107" s="1">
        <v>45735</v>
      </c>
      <c r="G2107" s="1">
        <v>45737</v>
      </c>
      <c r="H2107" t="s">
        <v>26</v>
      </c>
      <c r="I2107" t="s">
        <v>17</v>
      </c>
      <c r="J2107">
        <v>5</v>
      </c>
      <c r="K2107" t="s">
        <v>18</v>
      </c>
      <c r="L2107" t="s">
        <v>146</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2208</v>
      </c>
      <c r="B2108" t="s">
        <v>127</v>
      </c>
      <c r="C2108">
        <v>4</v>
      </c>
      <c r="D2108">
        <v>33.700000000000003</v>
      </c>
      <c r="E2108">
        <v>134.80000000000001</v>
      </c>
      <c r="F2108" s="1">
        <v>45735</v>
      </c>
      <c r="G2108" s="1">
        <v>45736</v>
      </c>
      <c r="H2108" t="s">
        <v>22</v>
      </c>
      <c r="I2108" t="s">
        <v>39</v>
      </c>
      <c r="J2108">
        <v>5</v>
      </c>
      <c r="K2108" t="s">
        <v>18</v>
      </c>
      <c r="L2108" t="s">
        <v>146</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2209</v>
      </c>
      <c r="B2109" t="s">
        <v>25</v>
      </c>
      <c r="C2109">
        <v>3</v>
      </c>
      <c r="D2109">
        <v>60.8</v>
      </c>
      <c r="E2109">
        <v>182.39999999999998</v>
      </c>
      <c r="F2109" s="1">
        <v>45735</v>
      </c>
      <c r="G2109" s="1">
        <v>45739</v>
      </c>
      <c r="H2109" t="s">
        <v>26</v>
      </c>
      <c r="I2109" t="s">
        <v>34</v>
      </c>
      <c r="J2109">
        <v>3</v>
      </c>
      <c r="K2109" t="s">
        <v>18</v>
      </c>
      <c r="L2109" t="s">
        <v>32</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2210</v>
      </c>
      <c r="B2110" t="s">
        <v>41</v>
      </c>
      <c r="C2110">
        <v>1</v>
      </c>
      <c r="D2110">
        <v>57.6</v>
      </c>
      <c r="E2110">
        <v>57.6</v>
      </c>
      <c r="F2110" s="1">
        <v>45735</v>
      </c>
      <c r="G2110" s="1">
        <v>45736</v>
      </c>
      <c r="H2110" t="s">
        <v>22</v>
      </c>
      <c r="I2110" t="s">
        <v>34</v>
      </c>
      <c r="J2110">
        <v>2</v>
      </c>
      <c r="K2110" t="s">
        <v>18</v>
      </c>
      <c r="L2110" t="s">
        <v>32</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2211</v>
      </c>
      <c r="B2111" t="s">
        <v>53</v>
      </c>
      <c r="C2111">
        <v>1</v>
      </c>
      <c r="D2111">
        <v>32</v>
      </c>
      <c r="E2111">
        <v>32</v>
      </c>
      <c r="F2111" s="1">
        <v>45735</v>
      </c>
      <c r="G2111" s="1">
        <v>45737</v>
      </c>
      <c r="H2111" t="s">
        <v>22</v>
      </c>
      <c r="I2111" t="s">
        <v>17</v>
      </c>
      <c r="J2111">
        <v>4</v>
      </c>
      <c r="K2111" t="s">
        <v>18</v>
      </c>
      <c r="L2111" t="s">
        <v>32</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2212</v>
      </c>
      <c r="B2112" t="s">
        <v>53</v>
      </c>
      <c r="C2112">
        <v>4</v>
      </c>
      <c r="D2112">
        <v>23.5</v>
      </c>
      <c r="E2112">
        <v>94</v>
      </c>
      <c r="F2112" s="1">
        <v>45735</v>
      </c>
      <c r="G2112" s="1">
        <v>45736</v>
      </c>
      <c r="H2112" t="s">
        <v>26</v>
      </c>
      <c r="I2112" t="s">
        <v>17</v>
      </c>
      <c r="J2112">
        <v>5</v>
      </c>
      <c r="K2112" t="s">
        <v>18</v>
      </c>
      <c r="L2112" t="s">
        <v>32</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2213</v>
      </c>
      <c r="B2113" t="s">
        <v>68</v>
      </c>
      <c r="C2113">
        <v>3</v>
      </c>
      <c r="D2113">
        <v>44.8</v>
      </c>
      <c r="E2113">
        <v>134.39999999999998</v>
      </c>
      <c r="F2113" s="1">
        <v>45735</v>
      </c>
      <c r="G2113" s="1">
        <v>45736</v>
      </c>
      <c r="H2113" t="s">
        <v>88</v>
      </c>
      <c r="I2113" t="s">
        <v>69</v>
      </c>
      <c r="J2113">
        <v>4</v>
      </c>
      <c r="K2113" t="s">
        <v>18</v>
      </c>
      <c r="L2113" t="s">
        <v>32</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2214</v>
      </c>
      <c r="B2114" t="s">
        <v>16</v>
      </c>
      <c r="C2114">
        <v>8</v>
      </c>
      <c r="D2114">
        <v>11.7</v>
      </c>
      <c r="E2114">
        <v>93.6</v>
      </c>
      <c r="F2114" s="1">
        <v>45735</v>
      </c>
      <c r="G2114" s="1">
        <v>45736</v>
      </c>
      <c r="H2114" t="s">
        <v>22</v>
      </c>
      <c r="I2114" t="s">
        <v>39</v>
      </c>
      <c r="J2114">
        <v>5</v>
      </c>
      <c r="K2114" t="s">
        <v>18</v>
      </c>
      <c r="L2114" t="s">
        <v>32</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2215</v>
      </c>
      <c r="B2115" t="s">
        <v>41</v>
      </c>
      <c r="C2115">
        <v>2</v>
      </c>
      <c r="D2115">
        <v>38.799999999999997</v>
      </c>
      <c r="E2115">
        <v>77.599999999999994</v>
      </c>
      <c r="F2115" s="1">
        <v>45735</v>
      </c>
      <c r="G2115" s="1">
        <v>45738</v>
      </c>
      <c r="H2115" t="s">
        <v>26</v>
      </c>
      <c r="I2115" t="s">
        <v>39</v>
      </c>
      <c r="J2115">
        <v>4</v>
      </c>
      <c r="K2115" t="s">
        <v>18</v>
      </c>
      <c r="L2115" t="s">
        <v>32</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2216</v>
      </c>
      <c r="B2116" t="s">
        <v>36</v>
      </c>
      <c r="C2116">
        <v>14</v>
      </c>
      <c r="D2116">
        <v>86.9</v>
      </c>
      <c r="E2116">
        <v>1216.6000000000001</v>
      </c>
      <c r="F2116" s="1">
        <v>45735</v>
      </c>
      <c r="G2116" s="1">
        <v>45740</v>
      </c>
      <c r="H2116" t="s">
        <v>26</v>
      </c>
      <c r="I2116" t="s">
        <v>34</v>
      </c>
      <c r="J2116">
        <v>4</v>
      </c>
      <c r="K2116" t="s">
        <v>18</v>
      </c>
      <c r="L2116" t="s">
        <v>32</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2217</v>
      </c>
      <c r="B2117" t="s">
        <v>43</v>
      </c>
      <c r="C2117">
        <v>1</v>
      </c>
      <c r="D2117">
        <v>18.3</v>
      </c>
      <c r="E2117">
        <v>18.3</v>
      </c>
      <c r="F2117" s="1">
        <v>45735</v>
      </c>
      <c r="G2117" s="1">
        <v>45736</v>
      </c>
      <c r="H2117" t="s">
        <v>26</v>
      </c>
      <c r="I2117" t="s">
        <v>17</v>
      </c>
      <c r="J2117">
        <v>4</v>
      </c>
      <c r="K2117" t="s">
        <v>18</v>
      </c>
      <c r="L2117" t="s">
        <v>32</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2218</v>
      </c>
      <c r="B2118" t="s">
        <v>36</v>
      </c>
      <c r="C2118">
        <v>1</v>
      </c>
      <c r="D2118">
        <v>47.5</v>
      </c>
      <c r="E2118">
        <v>47.5</v>
      </c>
      <c r="F2118" s="1">
        <v>45735</v>
      </c>
      <c r="G2118" s="1">
        <v>45739</v>
      </c>
      <c r="H2118" t="s">
        <v>22</v>
      </c>
      <c r="I2118" t="s">
        <v>69</v>
      </c>
      <c r="J2118">
        <v>5</v>
      </c>
      <c r="K2118" t="s">
        <v>18</v>
      </c>
      <c r="L2118" t="s">
        <v>32</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2219</v>
      </c>
      <c r="B2119" t="s">
        <v>21</v>
      </c>
      <c r="C2119">
        <v>2</v>
      </c>
      <c r="D2119">
        <v>78.599999999999994</v>
      </c>
      <c r="E2119">
        <v>157.19999999999999</v>
      </c>
      <c r="F2119" s="1">
        <v>45735</v>
      </c>
      <c r="G2119" s="1">
        <v>45736</v>
      </c>
      <c r="H2119" t="s">
        <v>22</v>
      </c>
      <c r="I2119" t="s">
        <v>39</v>
      </c>
      <c r="J2119">
        <v>5</v>
      </c>
      <c r="K2119" t="s">
        <v>18</v>
      </c>
      <c r="L2119" t="s">
        <v>32</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2220</v>
      </c>
      <c r="B2120" t="s">
        <v>38</v>
      </c>
      <c r="C2120">
        <v>4</v>
      </c>
      <c r="D2120">
        <v>87.3</v>
      </c>
      <c r="E2120">
        <v>349.2</v>
      </c>
      <c r="F2120" s="1">
        <v>45735</v>
      </c>
      <c r="G2120" s="1">
        <v>45736</v>
      </c>
      <c r="H2120" t="s">
        <v>22</v>
      </c>
      <c r="I2120" t="s">
        <v>17</v>
      </c>
      <c r="J2120">
        <v>4</v>
      </c>
      <c r="K2120" t="s">
        <v>18</v>
      </c>
      <c r="L2120" t="s">
        <v>32</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2221</v>
      </c>
      <c r="B2121" t="s">
        <v>45</v>
      </c>
      <c r="C2121">
        <v>2</v>
      </c>
      <c r="D2121">
        <v>63.2</v>
      </c>
      <c r="E2121">
        <v>126.4</v>
      </c>
      <c r="F2121" s="1">
        <v>45735</v>
      </c>
      <c r="G2121" s="1">
        <v>45735</v>
      </c>
      <c r="H2121" t="s">
        <v>22</v>
      </c>
      <c r="I2121" t="s">
        <v>69</v>
      </c>
      <c r="J2121">
        <v>3</v>
      </c>
      <c r="K2121" t="s">
        <v>18</v>
      </c>
      <c r="L2121" t="s">
        <v>32</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2222</v>
      </c>
      <c r="B2122" t="s">
        <v>36</v>
      </c>
      <c r="C2122">
        <v>5</v>
      </c>
      <c r="D2122">
        <v>33.700000000000003</v>
      </c>
      <c r="E2122">
        <v>168.5</v>
      </c>
      <c r="F2122" s="1">
        <v>45735</v>
      </c>
      <c r="G2122" s="1">
        <v>45736</v>
      </c>
      <c r="H2122" t="s">
        <v>26</v>
      </c>
      <c r="I2122" t="s">
        <v>17</v>
      </c>
      <c r="J2122">
        <v>4</v>
      </c>
      <c r="K2122" t="s">
        <v>18</v>
      </c>
      <c r="L2122" t="s">
        <v>32</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2223</v>
      </c>
      <c r="B2123" t="s">
        <v>25</v>
      </c>
      <c r="C2123">
        <v>3</v>
      </c>
      <c r="D2123">
        <v>107.4</v>
      </c>
      <c r="E2123">
        <v>322.20000000000005</v>
      </c>
      <c r="F2123" s="1">
        <v>45735</v>
      </c>
      <c r="G2123" s="1">
        <v>45748</v>
      </c>
      <c r="H2123" t="s">
        <v>26</v>
      </c>
      <c r="I2123" t="s">
        <v>34</v>
      </c>
      <c r="J2123">
        <v>5</v>
      </c>
      <c r="K2123" t="s">
        <v>18</v>
      </c>
      <c r="L2123" t="s">
        <v>32</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2224</v>
      </c>
      <c r="B2124" t="s">
        <v>31</v>
      </c>
      <c r="C2124">
        <v>4</v>
      </c>
      <c r="D2124">
        <v>22.2</v>
      </c>
      <c r="E2124">
        <v>88.8</v>
      </c>
      <c r="F2124" s="1">
        <v>45735</v>
      </c>
      <c r="G2124" s="1">
        <v>45736</v>
      </c>
      <c r="I2124" t="s">
        <v>34</v>
      </c>
      <c r="J2124">
        <v>5</v>
      </c>
      <c r="K2124" t="s">
        <v>18</v>
      </c>
      <c r="L2124" t="s">
        <v>185</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2225</v>
      </c>
      <c r="B2125" t="s">
        <v>145</v>
      </c>
      <c r="C2125">
        <v>3</v>
      </c>
      <c r="D2125">
        <v>52.8</v>
      </c>
      <c r="E2125">
        <v>158.39999999999998</v>
      </c>
      <c r="F2125" s="1">
        <v>45735</v>
      </c>
      <c r="G2125" s="1">
        <v>45736</v>
      </c>
      <c r="H2125" t="s">
        <v>22</v>
      </c>
      <c r="I2125" t="s">
        <v>50</v>
      </c>
      <c r="J2125">
        <v>5</v>
      </c>
      <c r="K2125" t="s">
        <v>18</v>
      </c>
      <c r="L2125" t="s">
        <v>185</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2226</v>
      </c>
      <c r="B2126" t="s">
        <v>43</v>
      </c>
      <c r="C2126">
        <v>3</v>
      </c>
      <c r="D2126">
        <v>41.5</v>
      </c>
      <c r="E2126">
        <v>124.5</v>
      </c>
      <c r="F2126" s="1">
        <v>45735</v>
      </c>
      <c r="G2126" s="1">
        <v>45738</v>
      </c>
      <c r="H2126" t="s">
        <v>26</v>
      </c>
      <c r="I2126" t="s">
        <v>17</v>
      </c>
      <c r="J2126">
        <v>4</v>
      </c>
      <c r="K2126" t="s">
        <v>18</v>
      </c>
      <c r="L2126" t="s">
        <v>187</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2227</v>
      </c>
      <c r="B2127" t="s">
        <v>68</v>
      </c>
      <c r="C2127">
        <v>8</v>
      </c>
      <c r="D2127">
        <v>103.5</v>
      </c>
      <c r="E2127">
        <v>828</v>
      </c>
      <c r="F2127" s="1">
        <v>45735</v>
      </c>
      <c r="G2127" s="1">
        <v>45738</v>
      </c>
      <c r="H2127" t="s">
        <v>26</v>
      </c>
      <c r="I2127" t="s">
        <v>17</v>
      </c>
      <c r="J2127">
        <v>5</v>
      </c>
      <c r="K2127" t="s">
        <v>18</v>
      </c>
      <c r="L2127" t="s">
        <v>157</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2228</v>
      </c>
      <c r="B2128" t="s">
        <v>31</v>
      </c>
      <c r="C2128">
        <v>14</v>
      </c>
      <c r="D2128">
        <v>37.5</v>
      </c>
      <c r="E2128">
        <v>525</v>
      </c>
      <c r="F2128" s="1">
        <v>45735</v>
      </c>
      <c r="G2128" s="1">
        <v>45735</v>
      </c>
      <c r="H2128" t="s">
        <v>26</v>
      </c>
      <c r="I2128" t="s">
        <v>34</v>
      </c>
      <c r="J2128">
        <v>5</v>
      </c>
      <c r="K2128" t="s">
        <v>18</v>
      </c>
      <c r="L2128" t="s">
        <v>54</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2229</v>
      </c>
      <c r="B2129" t="s">
        <v>122</v>
      </c>
      <c r="C2129">
        <v>8</v>
      </c>
      <c r="D2129">
        <v>44.4</v>
      </c>
      <c r="E2129">
        <v>355.2</v>
      </c>
      <c r="F2129" s="1">
        <v>45735</v>
      </c>
      <c r="G2129" s="1">
        <v>45741</v>
      </c>
      <c r="H2129" t="s">
        <v>26</v>
      </c>
      <c r="I2129" t="s">
        <v>50</v>
      </c>
      <c r="J2129">
        <v>5</v>
      </c>
      <c r="K2129" t="s">
        <v>18</v>
      </c>
      <c r="L2129" t="s">
        <v>58</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2230</v>
      </c>
      <c r="B2130" t="s">
        <v>43</v>
      </c>
      <c r="C2130">
        <v>3</v>
      </c>
      <c r="D2130">
        <v>26.2</v>
      </c>
      <c r="E2130">
        <v>78.599999999999994</v>
      </c>
      <c r="F2130" s="1">
        <v>45735</v>
      </c>
      <c r="G2130" s="1">
        <v>45736</v>
      </c>
      <c r="H2130" t="s">
        <v>22</v>
      </c>
      <c r="I2130" t="s">
        <v>17</v>
      </c>
      <c r="J2130">
        <v>4</v>
      </c>
      <c r="K2130" t="s">
        <v>18</v>
      </c>
      <c r="L2130" t="s">
        <v>61</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2231</v>
      </c>
      <c r="B2131" t="s">
        <v>21</v>
      </c>
      <c r="C2131">
        <v>7</v>
      </c>
      <c r="D2131">
        <v>32.200000000000003</v>
      </c>
      <c r="E2131">
        <v>225.40000000000003</v>
      </c>
      <c r="F2131" s="1">
        <v>45735</v>
      </c>
      <c r="G2131" s="1">
        <v>45736</v>
      </c>
      <c r="H2131" t="s">
        <v>26</v>
      </c>
      <c r="I2131" t="s">
        <v>34</v>
      </c>
      <c r="J2131">
        <v>5</v>
      </c>
      <c r="K2131" t="s">
        <v>18</v>
      </c>
      <c r="L2131" t="s">
        <v>61</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2232</v>
      </c>
      <c r="B2132" t="s">
        <v>43</v>
      </c>
      <c r="C2132">
        <v>1</v>
      </c>
      <c r="D2132">
        <v>17.399999999999999</v>
      </c>
      <c r="E2132">
        <v>17.399999999999999</v>
      </c>
      <c r="F2132" s="1">
        <v>45735</v>
      </c>
      <c r="G2132" s="1">
        <v>45739</v>
      </c>
      <c r="I2132" t="s">
        <v>39</v>
      </c>
      <c r="J2132">
        <v>3</v>
      </c>
      <c r="K2132" t="s">
        <v>18</v>
      </c>
      <c r="L2132" t="s">
        <v>61</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2233</v>
      </c>
      <c r="B2133" t="s">
        <v>43</v>
      </c>
      <c r="C2133">
        <v>6</v>
      </c>
      <c r="D2133">
        <v>72.3</v>
      </c>
      <c r="E2133">
        <v>433.79999999999995</v>
      </c>
      <c r="F2133" s="1">
        <v>45735</v>
      </c>
      <c r="G2133" s="1">
        <v>45738</v>
      </c>
      <c r="H2133" t="s">
        <v>26</v>
      </c>
      <c r="I2133" t="s">
        <v>17</v>
      </c>
      <c r="J2133">
        <v>4</v>
      </c>
      <c r="K2133" t="s">
        <v>18</v>
      </c>
      <c r="L2133" t="s">
        <v>61</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2234</v>
      </c>
      <c r="B2134" t="s">
        <v>43</v>
      </c>
      <c r="C2134">
        <v>11</v>
      </c>
      <c r="D2134">
        <v>24.3</v>
      </c>
      <c r="E2134">
        <v>267.3</v>
      </c>
      <c r="F2134" s="1">
        <v>45735</v>
      </c>
      <c r="G2134" s="1">
        <v>45736</v>
      </c>
      <c r="H2134" t="s">
        <v>22</v>
      </c>
      <c r="I2134" t="s">
        <v>17</v>
      </c>
      <c r="J2134">
        <v>4</v>
      </c>
      <c r="K2134" t="s">
        <v>18</v>
      </c>
      <c r="L2134" t="s">
        <v>61</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2235</v>
      </c>
      <c r="B2135" t="s">
        <v>75</v>
      </c>
      <c r="C2135">
        <v>3</v>
      </c>
      <c r="D2135">
        <v>49.1</v>
      </c>
      <c r="E2135">
        <v>147.30000000000001</v>
      </c>
      <c r="F2135" s="1">
        <v>45735</v>
      </c>
      <c r="G2135" s="1">
        <v>45741</v>
      </c>
      <c r="H2135" t="s">
        <v>22</v>
      </c>
      <c r="I2135" t="s">
        <v>39</v>
      </c>
      <c r="J2135">
        <v>2</v>
      </c>
      <c r="K2135" t="s">
        <v>18</v>
      </c>
      <c r="L2135" t="s">
        <v>61</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2236</v>
      </c>
      <c r="B2136" t="s">
        <v>25</v>
      </c>
      <c r="C2136">
        <v>10</v>
      </c>
      <c r="D2136">
        <v>234.7</v>
      </c>
      <c r="E2136">
        <v>2347</v>
      </c>
      <c r="F2136" s="1">
        <v>45735</v>
      </c>
      <c r="G2136" s="1">
        <v>45736</v>
      </c>
      <c r="H2136" t="s">
        <v>22</v>
      </c>
      <c r="I2136" t="s">
        <v>50</v>
      </c>
      <c r="J2136">
        <v>3</v>
      </c>
      <c r="K2136" t="s">
        <v>18</v>
      </c>
      <c r="L2136" t="s">
        <v>61</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2237</v>
      </c>
      <c r="B2137" t="s">
        <v>29</v>
      </c>
      <c r="C2137">
        <v>5</v>
      </c>
      <c r="D2137">
        <v>76.099999999999994</v>
      </c>
      <c r="E2137">
        <v>380.5</v>
      </c>
      <c r="F2137" s="1">
        <v>45735</v>
      </c>
      <c r="G2137" s="1">
        <v>45737</v>
      </c>
      <c r="H2137" t="s">
        <v>22</v>
      </c>
      <c r="I2137" t="s">
        <v>34</v>
      </c>
      <c r="J2137">
        <v>3</v>
      </c>
      <c r="K2137" t="s">
        <v>18</v>
      </c>
      <c r="L2137" t="s">
        <v>102</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2238</v>
      </c>
      <c r="B2138" t="s">
        <v>21</v>
      </c>
      <c r="C2138">
        <v>3</v>
      </c>
      <c r="D2138">
        <v>93.9</v>
      </c>
      <c r="E2138">
        <v>281.70000000000005</v>
      </c>
      <c r="F2138" s="1">
        <v>45735</v>
      </c>
      <c r="G2138" s="1">
        <v>45736</v>
      </c>
      <c r="H2138" t="s">
        <v>22</v>
      </c>
      <c r="I2138" t="s">
        <v>34</v>
      </c>
      <c r="J2138">
        <v>2</v>
      </c>
      <c r="K2138" t="s">
        <v>18</v>
      </c>
      <c r="L2138" t="s">
        <v>76</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2239</v>
      </c>
      <c r="B2139" t="s">
        <v>25</v>
      </c>
      <c r="C2139">
        <v>4</v>
      </c>
      <c r="D2139">
        <v>187</v>
      </c>
      <c r="E2139">
        <v>748</v>
      </c>
      <c r="F2139" s="1">
        <v>45736</v>
      </c>
      <c r="G2139" s="1">
        <v>45739</v>
      </c>
      <c r="H2139" t="s">
        <v>22</v>
      </c>
      <c r="I2139" t="s">
        <v>17</v>
      </c>
      <c r="J2139">
        <v>4</v>
      </c>
      <c r="K2139" t="s">
        <v>18</v>
      </c>
      <c r="L2139" t="s">
        <v>76</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2240</v>
      </c>
      <c r="B2140" t="s">
        <v>43</v>
      </c>
      <c r="C2140">
        <v>2</v>
      </c>
      <c r="D2140">
        <v>18</v>
      </c>
      <c r="E2140">
        <v>36</v>
      </c>
      <c r="F2140" s="1">
        <v>45736</v>
      </c>
      <c r="G2140" s="1">
        <v>45737</v>
      </c>
      <c r="H2140" t="s">
        <v>26</v>
      </c>
      <c r="I2140" t="s">
        <v>34</v>
      </c>
      <c r="J2140">
        <v>5</v>
      </c>
      <c r="K2140" t="s">
        <v>18</v>
      </c>
      <c r="L2140" t="s">
        <v>1115</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2241</v>
      </c>
      <c r="B2141" t="s">
        <v>31</v>
      </c>
      <c r="C2141">
        <v>1</v>
      </c>
      <c r="D2141">
        <v>24.4</v>
      </c>
      <c r="E2141">
        <v>24.4</v>
      </c>
      <c r="F2141" s="1">
        <v>45736</v>
      </c>
      <c r="G2141" s="1">
        <v>45737</v>
      </c>
      <c r="H2141" t="s">
        <v>26</v>
      </c>
      <c r="I2141" t="s">
        <v>69</v>
      </c>
      <c r="J2141">
        <v>5</v>
      </c>
      <c r="K2141" t="s">
        <v>18</v>
      </c>
      <c r="L2141" t="s">
        <v>114</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2242</v>
      </c>
      <c r="B2142" t="s">
        <v>53</v>
      </c>
      <c r="C2142">
        <v>2</v>
      </c>
      <c r="D2142">
        <v>38.799999999999997</v>
      </c>
      <c r="E2142">
        <v>77.599999999999994</v>
      </c>
      <c r="F2142" s="1">
        <v>45736</v>
      </c>
      <c r="G2142" s="1">
        <v>45737</v>
      </c>
      <c r="H2142" t="s">
        <v>22</v>
      </c>
      <c r="I2142" t="s">
        <v>69</v>
      </c>
      <c r="J2142">
        <v>3</v>
      </c>
      <c r="K2142" t="s">
        <v>18</v>
      </c>
      <c r="L2142" t="s">
        <v>32</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2243</v>
      </c>
      <c r="B2143" t="s">
        <v>29</v>
      </c>
      <c r="C2143">
        <v>1</v>
      </c>
      <c r="D2143">
        <v>59.7</v>
      </c>
      <c r="E2143">
        <v>59.7</v>
      </c>
      <c r="F2143" s="1">
        <v>45736</v>
      </c>
      <c r="G2143" s="1">
        <v>45739</v>
      </c>
      <c r="H2143" t="s">
        <v>22</v>
      </c>
      <c r="I2143" t="s">
        <v>50</v>
      </c>
      <c r="J2143">
        <v>4</v>
      </c>
      <c r="K2143" t="s">
        <v>18</v>
      </c>
      <c r="L2143" t="s">
        <v>32</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2244</v>
      </c>
      <c r="B2144" t="s">
        <v>41</v>
      </c>
      <c r="C2144">
        <v>1</v>
      </c>
      <c r="D2144">
        <v>31.2</v>
      </c>
      <c r="E2144">
        <v>31.2</v>
      </c>
      <c r="F2144" s="1">
        <v>45736</v>
      </c>
      <c r="G2144" s="1">
        <v>45737</v>
      </c>
      <c r="H2144" t="s">
        <v>22</v>
      </c>
      <c r="I2144" t="s">
        <v>34</v>
      </c>
      <c r="J2144">
        <v>5</v>
      </c>
      <c r="K2144" t="s">
        <v>18</v>
      </c>
      <c r="L2144" t="s">
        <v>32</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2245</v>
      </c>
      <c r="B2145" t="s">
        <v>16</v>
      </c>
      <c r="C2145">
        <v>1</v>
      </c>
      <c r="D2145">
        <v>16.8</v>
      </c>
      <c r="E2145">
        <v>16.8</v>
      </c>
      <c r="F2145" s="1">
        <v>45736</v>
      </c>
      <c r="G2145" s="1">
        <v>45737</v>
      </c>
      <c r="H2145" t="s">
        <v>26</v>
      </c>
      <c r="I2145" t="s">
        <v>39</v>
      </c>
      <c r="J2145">
        <v>3</v>
      </c>
      <c r="K2145" t="s">
        <v>18</v>
      </c>
      <c r="L2145" t="s">
        <v>32</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2246</v>
      </c>
      <c r="B2146" t="s">
        <v>43</v>
      </c>
      <c r="C2146">
        <v>1</v>
      </c>
      <c r="D2146">
        <v>46</v>
      </c>
      <c r="E2146">
        <v>46</v>
      </c>
      <c r="F2146" s="1">
        <v>45736</v>
      </c>
      <c r="G2146" s="1">
        <v>45737</v>
      </c>
      <c r="H2146" t="s">
        <v>22</v>
      </c>
      <c r="I2146" t="s">
        <v>17</v>
      </c>
      <c r="J2146">
        <v>4</v>
      </c>
      <c r="K2146" t="s">
        <v>18</v>
      </c>
      <c r="L2146" t="s">
        <v>32</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2247</v>
      </c>
      <c r="B2147" t="s">
        <v>45</v>
      </c>
      <c r="C2147">
        <v>8</v>
      </c>
      <c r="D2147">
        <v>42.2</v>
      </c>
      <c r="E2147">
        <v>337.6</v>
      </c>
      <c r="F2147" s="1">
        <v>45736</v>
      </c>
      <c r="G2147" s="1">
        <v>45739</v>
      </c>
      <c r="H2147" t="s">
        <v>26</v>
      </c>
      <c r="I2147" t="s">
        <v>50</v>
      </c>
      <c r="J2147">
        <v>5</v>
      </c>
      <c r="K2147" t="s">
        <v>18</v>
      </c>
      <c r="L2147" t="s">
        <v>32</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2248</v>
      </c>
      <c r="B2148" t="s">
        <v>21</v>
      </c>
      <c r="C2148">
        <v>3</v>
      </c>
      <c r="D2148">
        <v>71.5</v>
      </c>
      <c r="E2148">
        <v>214.5</v>
      </c>
      <c r="F2148" s="1">
        <v>45736</v>
      </c>
      <c r="G2148" s="1">
        <v>45750</v>
      </c>
      <c r="H2148" t="s">
        <v>26</v>
      </c>
      <c r="I2148" t="s">
        <v>17</v>
      </c>
      <c r="J2148">
        <v>4</v>
      </c>
      <c r="K2148" t="s">
        <v>18</v>
      </c>
      <c r="L2148" t="s">
        <v>32</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2249</v>
      </c>
      <c r="B2149" t="s">
        <v>21</v>
      </c>
      <c r="C2149">
        <v>2</v>
      </c>
      <c r="D2149">
        <v>76.599999999999994</v>
      </c>
      <c r="E2149">
        <v>153.19999999999999</v>
      </c>
      <c r="F2149" s="1">
        <v>45736</v>
      </c>
      <c r="G2149" s="1">
        <v>45736</v>
      </c>
      <c r="H2149" t="s">
        <v>22</v>
      </c>
      <c r="I2149" t="s">
        <v>17</v>
      </c>
      <c r="J2149">
        <v>5</v>
      </c>
      <c r="K2149" t="s">
        <v>18</v>
      </c>
      <c r="L2149" t="s">
        <v>32</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2250</v>
      </c>
      <c r="B2150" t="s">
        <v>68</v>
      </c>
      <c r="C2150">
        <v>2</v>
      </c>
      <c r="D2150">
        <v>87.3</v>
      </c>
      <c r="E2150">
        <v>174.6</v>
      </c>
      <c r="F2150" s="1">
        <v>45736</v>
      </c>
      <c r="G2150" s="1">
        <v>45744</v>
      </c>
      <c r="H2150" t="s">
        <v>26</v>
      </c>
      <c r="I2150" t="s">
        <v>50</v>
      </c>
      <c r="J2150">
        <v>5</v>
      </c>
      <c r="K2150" t="s">
        <v>18</v>
      </c>
      <c r="L2150" t="s">
        <v>32</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2251</v>
      </c>
      <c r="B2151" t="s">
        <v>21</v>
      </c>
      <c r="C2151">
        <v>1</v>
      </c>
      <c r="D2151">
        <v>63</v>
      </c>
      <c r="E2151">
        <v>63</v>
      </c>
      <c r="F2151" s="1">
        <v>45736</v>
      </c>
      <c r="G2151" s="1">
        <v>45739</v>
      </c>
      <c r="H2151" t="s">
        <v>22</v>
      </c>
      <c r="I2151" t="s">
        <v>50</v>
      </c>
      <c r="J2151">
        <v>4</v>
      </c>
      <c r="K2151" t="s">
        <v>18</v>
      </c>
      <c r="L2151" t="s">
        <v>32</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2252</v>
      </c>
      <c r="B2152" t="s">
        <v>43</v>
      </c>
      <c r="C2152">
        <v>2</v>
      </c>
      <c r="D2152">
        <v>41.7</v>
      </c>
      <c r="E2152">
        <v>83.4</v>
      </c>
      <c r="F2152" s="1">
        <v>45736</v>
      </c>
      <c r="G2152" s="1">
        <v>45737</v>
      </c>
      <c r="H2152" t="s">
        <v>26</v>
      </c>
      <c r="I2152" t="s">
        <v>69</v>
      </c>
      <c r="J2152">
        <v>3</v>
      </c>
      <c r="K2152" t="s">
        <v>18</v>
      </c>
      <c r="L2152" t="s">
        <v>544</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2253</v>
      </c>
      <c r="B2153" t="s">
        <v>38</v>
      </c>
      <c r="C2153">
        <v>2</v>
      </c>
      <c r="D2153">
        <v>76.099999999999994</v>
      </c>
      <c r="E2153">
        <v>152.19999999999999</v>
      </c>
      <c r="F2153" s="1">
        <v>45736</v>
      </c>
      <c r="G2153" s="1">
        <v>45736</v>
      </c>
      <c r="H2153" t="s">
        <v>26</v>
      </c>
      <c r="I2153" t="s">
        <v>69</v>
      </c>
      <c r="J2153">
        <v>5</v>
      </c>
      <c r="K2153" t="s">
        <v>18</v>
      </c>
      <c r="L2153" t="s">
        <v>97</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2254</v>
      </c>
      <c r="B2154" t="s">
        <v>75</v>
      </c>
      <c r="C2154">
        <v>2</v>
      </c>
      <c r="D2154">
        <v>28.5</v>
      </c>
      <c r="E2154">
        <v>57</v>
      </c>
      <c r="F2154" s="1">
        <v>45736</v>
      </c>
      <c r="G2154" s="1">
        <v>45737</v>
      </c>
      <c r="H2154" t="s">
        <v>26</v>
      </c>
      <c r="I2154" t="s">
        <v>17</v>
      </c>
      <c r="J2154">
        <v>5</v>
      </c>
      <c r="K2154" t="s">
        <v>18</v>
      </c>
      <c r="L2154" t="s">
        <v>48</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2255</v>
      </c>
      <c r="B2155" t="s">
        <v>16</v>
      </c>
      <c r="C2155">
        <v>4</v>
      </c>
      <c r="D2155">
        <v>32.1</v>
      </c>
      <c r="E2155">
        <v>128.4</v>
      </c>
      <c r="F2155" s="1">
        <v>45736</v>
      </c>
      <c r="G2155" s="1">
        <v>45737</v>
      </c>
      <c r="H2155" t="s">
        <v>26</v>
      </c>
      <c r="I2155" t="s">
        <v>34</v>
      </c>
      <c r="J2155">
        <v>5</v>
      </c>
      <c r="K2155" t="s">
        <v>18</v>
      </c>
      <c r="L2155" t="s">
        <v>187</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2256</v>
      </c>
      <c r="B2156" t="s">
        <v>31</v>
      </c>
      <c r="C2156">
        <v>3</v>
      </c>
      <c r="D2156">
        <v>39</v>
      </c>
      <c r="E2156">
        <v>117</v>
      </c>
      <c r="F2156" s="1">
        <v>45736</v>
      </c>
      <c r="G2156" s="1">
        <v>45739</v>
      </c>
      <c r="H2156" t="s">
        <v>22</v>
      </c>
      <c r="I2156" t="s">
        <v>34</v>
      </c>
      <c r="J2156">
        <v>5</v>
      </c>
      <c r="K2156" t="s">
        <v>18</v>
      </c>
      <c r="L2156" t="s">
        <v>187</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2257</v>
      </c>
      <c r="B2157" t="s">
        <v>38</v>
      </c>
      <c r="C2157">
        <v>1</v>
      </c>
      <c r="D2157">
        <v>78.5</v>
      </c>
      <c r="E2157">
        <v>78.5</v>
      </c>
      <c r="F2157" s="1">
        <v>45736</v>
      </c>
      <c r="G2157" s="1">
        <v>45737</v>
      </c>
      <c r="H2157" t="s">
        <v>22</v>
      </c>
      <c r="I2157" t="s">
        <v>34</v>
      </c>
      <c r="J2157">
        <v>4</v>
      </c>
      <c r="K2157" t="s">
        <v>18</v>
      </c>
      <c r="L2157" t="s">
        <v>54</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2258</v>
      </c>
      <c r="B2158" t="s">
        <v>31</v>
      </c>
      <c r="C2158">
        <v>5</v>
      </c>
      <c r="D2158">
        <v>49.7</v>
      </c>
      <c r="E2158">
        <v>248.5</v>
      </c>
      <c r="F2158" s="1">
        <v>45736</v>
      </c>
      <c r="G2158" s="1">
        <v>45738</v>
      </c>
      <c r="H2158" t="s">
        <v>26</v>
      </c>
      <c r="I2158" t="s">
        <v>17</v>
      </c>
      <c r="J2158">
        <v>4</v>
      </c>
      <c r="K2158" t="s">
        <v>18</v>
      </c>
      <c r="L2158" t="s">
        <v>54</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2259</v>
      </c>
      <c r="B2159" t="s">
        <v>21</v>
      </c>
      <c r="C2159">
        <v>4</v>
      </c>
      <c r="D2159">
        <v>68.400000000000006</v>
      </c>
      <c r="E2159">
        <v>273.60000000000002</v>
      </c>
      <c r="F2159" s="1">
        <v>45736</v>
      </c>
      <c r="G2159" s="1">
        <v>45737</v>
      </c>
      <c r="H2159" t="s">
        <v>26</v>
      </c>
      <c r="I2159" t="s">
        <v>39</v>
      </c>
      <c r="J2159">
        <v>5</v>
      </c>
      <c r="K2159" t="s">
        <v>18</v>
      </c>
      <c r="L2159" t="s">
        <v>58</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2260</v>
      </c>
      <c r="B2160" t="s">
        <v>29</v>
      </c>
      <c r="C2160">
        <v>2</v>
      </c>
      <c r="D2160">
        <v>72.900000000000006</v>
      </c>
      <c r="E2160">
        <v>145.80000000000001</v>
      </c>
      <c r="F2160" s="1">
        <v>45736</v>
      </c>
      <c r="G2160" s="1">
        <v>45739</v>
      </c>
      <c r="I2160" t="s">
        <v>17</v>
      </c>
      <c r="J2160">
        <v>5</v>
      </c>
      <c r="K2160" t="s">
        <v>18</v>
      </c>
      <c r="L2160" t="s">
        <v>58</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2261</v>
      </c>
      <c r="B2161" t="s">
        <v>36</v>
      </c>
      <c r="C2161">
        <v>13</v>
      </c>
      <c r="D2161">
        <v>30.3</v>
      </c>
      <c r="E2161">
        <v>393.90000000000003</v>
      </c>
      <c r="F2161" s="1">
        <v>45736</v>
      </c>
      <c r="G2161" s="1">
        <v>45737</v>
      </c>
      <c r="H2161" t="s">
        <v>22</v>
      </c>
      <c r="I2161" t="s">
        <v>69</v>
      </c>
      <c r="J2161">
        <v>4</v>
      </c>
      <c r="K2161" t="s">
        <v>18</v>
      </c>
      <c r="L2161" t="s">
        <v>58</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2262</v>
      </c>
      <c r="B2162" t="s">
        <v>38</v>
      </c>
      <c r="C2162">
        <v>11</v>
      </c>
      <c r="D2162">
        <v>57.9</v>
      </c>
      <c r="E2162">
        <v>636.9</v>
      </c>
      <c r="F2162" s="1">
        <v>45736</v>
      </c>
      <c r="G2162" s="1">
        <v>45737</v>
      </c>
      <c r="H2162" t="s">
        <v>26</v>
      </c>
      <c r="I2162" t="s">
        <v>17</v>
      </c>
      <c r="J2162">
        <v>4</v>
      </c>
      <c r="K2162" t="s">
        <v>18</v>
      </c>
      <c r="L2162" t="s">
        <v>61</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2263</v>
      </c>
      <c r="B2163" t="s">
        <v>21</v>
      </c>
      <c r="C2163">
        <v>1</v>
      </c>
      <c r="D2163">
        <v>96.7</v>
      </c>
      <c r="E2163">
        <v>96.7</v>
      </c>
      <c r="F2163" s="1">
        <v>45736</v>
      </c>
      <c r="G2163" s="1">
        <v>45737</v>
      </c>
      <c r="H2163" t="s">
        <v>22</v>
      </c>
      <c r="I2163" t="s">
        <v>17</v>
      </c>
      <c r="J2163">
        <v>4</v>
      </c>
      <c r="K2163" t="s">
        <v>18</v>
      </c>
      <c r="L2163" t="s">
        <v>61</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2264</v>
      </c>
      <c r="B2164" t="s">
        <v>43</v>
      </c>
      <c r="C2164">
        <v>12</v>
      </c>
      <c r="D2164">
        <v>27.6</v>
      </c>
      <c r="E2164">
        <v>331.20000000000005</v>
      </c>
      <c r="F2164" s="1">
        <v>45736</v>
      </c>
      <c r="G2164" s="1">
        <v>45738</v>
      </c>
      <c r="H2164" t="s">
        <v>22</v>
      </c>
      <c r="I2164" t="s">
        <v>39</v>
      </c>
      <c r="J2164">
        <v>5</v>
      </c>
      <c r="K2164" t="s">
        <v>18</v>
      </c>
      <c r="L2164" t="s">
        <v>61</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2265</v>
      </c>
      <c r="B2165" t="s">
        <v>38</v>
      </c>
      <c r="C2165">
        <v>4</v>
      </c>
      <c r="D2165">
        <v>64.7</v>
      </c>
      <c r="E2165">
        <v>258.8</v>
      </c>
      <c r="F2165" s="1">
        <v>45736</v>
      </c>
      <c r="G2165" s="1">
        <v>45736</v>
      </c>
      <c r="H2165" t="s">
        <v>22</v>
      </c>
      <c r="I2165" t="s">
        <v>50</v>
      </c>
      <c r="J2165">
        <v>5</v>
      </c>
      <c r="K2165" t="s">
        <v>18</v>
      </c>
      <c r="L2165" t="s">
        <v>61</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2266</v>
      </c>
      <c r="B2166" t="s">
        <v>53</v>
      </c>
      <c r="C2166">
        <v>6</v>
      </c>
      <c r="D2166">
        <v>30.5</v>
      </c>
      <c r="E2166">
        <v>183</v>
      </c>
      <c r="F2166" s="1">
        <v>45736</v>
      </c>
      <c r="G2166" s="1">
        <v>45737</v>
      </c>
      <c r="H2166" t="s">
        <v>22</v>
      </c>
      <c r="I2166" t="s">
        <v>69</v>
      </c>
      <c r="J2166">
        <v>4</v>
      </c>
      <c r="K2166" t="s">
        <v>18</v>
      </c>
      <c r="L2166" t="s">
        <v>61</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2267</v>
      </c>
      <c r="B2167" t="s">
        <v>38</v>
      </c>
      <c r="C2167">
        <v>70</v>
      </c>
      <c r="D2167">
        <v>106</v>
      </c>
      <c r="E2167">
        <v>7420</v>
      </c>
      <c r="F2167" s="1">
        <v>45737</v>
      </c>
      <c r="G2167" s="1">
        <v>45739</v>
      </c>
      <c r="H2167" t="s">
        <v>22</v>
      </c>
      <c r="I2167" t="s">
        <v>69</v>
      </c>
      <c r="J2167">
        <v>5</v>
      </c>
      <c r="K2167" t="s">
        <v>18</v>
      </c>
      <c r="L2167" t="s">
        <v>61</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2268</v>
      </c>
      <c r="B2168" t="s">
        <v>68</v>
      </c>
      <c r="C2168">
        <v>5</v>
      </c>
      <c r="D2168">
        <v>76.8</v>
      </c>
      <c r="E2168">
        <v>384</v>
      </c>
      <c r="F2168" s="1">
        <v>45737</v>
      </c>
      <c r="G2168" s="1">
        <v>45743</v>
      </c>
      <c r="I2168" t="s">
        <v>34</v>
      </c>
      <c r="J2168">
        <v>3</v>
      </c>
      <c r="K2168" t="s">
        <v>18</v>
      </c>
      <c r="L2168" t="s">
        <v>107</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2269</v>
      </c>
      <c r="B2169" t="s">
        <v>38</v>
      </c>
      <c r="C2169">
        <v>2</v>
      </c>
      <c r="D2169">
        <v>80.400000000000006</v>
      </c>
      <c r="E2169">
        <v>160.80000000000001</v>
      </c>
      <c r="F2169" s="1">
        <v>45737</v>
      </c>
      <c r="G2169" s="1">
        <v>45738</v>
      </c>
      <c r="H2169" t="s">
        <v>26</v>
      </c>
      <c r="I2169" t="s">
        <v>39</v>
      </c>
      <c r="J2169">
        <v>4</v>
      </c>
      <c r="K2169" t="s">
        <v>18</v>
      </c>
      <c r="L2169" t="s">
        <v>81</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2270</v>
      </c>
      <c r="B2170" t="s">
        <v>38</v>
      </c>
      <c r="C2170">
        <v>4</v>
      </c>
      <c r="D2170">
        <v>69.099999999999994</v>
      </c>
      <c r="E2170">
        <v>276.39999999999998</v>
      </c>
      <c r="F2170" s="1">
        <v>45737</v>
      </c>
      <c r="G2170" s="1">
        <v>45738</v>
      </c>
      <c r="H2170" t="s">
        <v>22</v>
      </c>
      <c r="I2170" t="s">
        <v>34</v>
      </c>
      <c r="J2170">
        <v>5</v>
      </c>
      <c r="K2170" t="s">
        <v>18</v>
      </c>
      <c r="L2170" t="s">
        <v>114</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2271</v>
      </c>
      <c r="B2171" t="s">
        <v>145</v>
      </c>
      <c r="C2171">
        <v>2</v>
      </c>
      <c r="D2171">
        <v>76.400000000000006</v>
      </c>
      <c r="E2171">
        <v>152.80000000000001</v>
      </c>
      <c r="F2171" s="1">
        <v>45737</v>
      </c>
      <c r="G2171" s="1">
        <v>45737</v>
      </c>
      <c r="H2171" t="s">
        <v>22</v>
      </c>
      <c r="I2171" t="s">
        <v>50</v>
      </c>
      <c r="J2171">
        <v>4</v>
      </c>
      <c r="K2171" t="s">
        <v>18</v>
      </c>
      <c r="L2171" t="s">
        <v>114</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2272</v>
      </c>
      <c r="B2172" t="s">
        <v>25</v>
      </c>
      <c r="C2172">
        <v>2</v>
      </c>
      <c r="D2172">
        <v>61.3</v>
      </c>
      <c r="E2172">
        <v>122.6</v>
      </c>
      <c r="F2172" s="1">
        <v>45737</v>
      </c>
      <c r="G2172" s="1">
        <v>45738</v>
      </c>
      <c r="H2172" t="s">
        <v>26</v>
      </c>
      <c r="I2172" t="s">
        <v>34</v>
      </c>
      <c r="J2172">
        <v>3</v>
      </c>
      <c r="K2172" t="s">
        <v>18</v>
      </c>
      <c r="L2172" t="s">
        <v>114</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2273</v>
      </c>
      <c r="B2173" t="s">
        <v>41</v>
      </c>
      <c r="C2173">
        <v>1</v>
      </c>
      <c r="D2173">
        <v>58</v>
      </c>
      <c r="E2173">
        <v>58</v>
      </c>
      <c r="F2173" s="1">
        <v>45737</v>
      </c>
      <c r="G2173" s="1">
        <v>45738</v>
      </c>
      <c r="H2173" t="s">
        <v>22</v>
      </c>
      <c r="I2173" t="s">
        <v>50</v>
      </c>
      <c r="J2173">
        <v>3</v>
      </c>
      <c r="K2173" t="s">
        <v>18</v>
      </c>
      <c r="L2173" t="s">
        <v>23</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2274</v>
      </c>
      <c r="B2174" t="s">
        <v>25</v>
      </c>
      <c r="C2174">
        <v>8</v>
      </c>
      <c r="D2174">
        <v>102.3</v>
      </c>
      <c r="E2174">
        <v>818.4</v>
      </c>
      <c r="F2174" s="1">
        <v>45737</v>
      </c>
      <c r="G2174" s="1">
        <v>45739</v>
      </c>
      <c r="H2174" t="s">
        <v>22</v>
      </c>
      <c r="I2174" t="s">
        <v>39</v>
      </c>
      <c r="J2174">
        <v>4</v>
      </c>
      <c r="K2174" t="s">
        <v>18</v>
      </c>
      <c r="L2174" t="s">
        <v>436</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2275</v>
      </c>
      <c r="B2175" t="s">
        <v>170</v>
      </c>
      <c r="C2175">
        <v>2</v>
      </c>
      <c r="D2175">
        <v>13.8</v>
      </c>
      <c r="E2175">
        <v>27.6</v>
      </c>
      <c r="F2175" s="1">
        <v>45737</v>
      </c>
      <c r="G2175" s="1">
        <v>45738</v>
      </c>
      <c r="H2175" t="s">
        <v>26</v>
      </c>
      <c r="I2175" t="s">
        <v>69</v>
      </c>
      <c r="J2175">
        <v>5</v>
      </c>
      <c r="K2175" t="s">
        <v>18</v>
      </c>
      <c r="L2175" t="s">
        <v>27</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2276</v>
      </c>
      <c r="B2176" t="s">
        <v>43</v>
      </c>
      <c r="C2176">
        <v>3</v>
      </c>
      <c r="D2176">
        <v>33.299999999999997</v>
      </c>
      <c r="E2176">
        <v>99.899999999999991</v>
      </c>
      <c r="F2176" s="1">
        <v>45737</v>
      </c>
      <c r="G2176" s="1">
        <v>45740</v>
      </c>
      <c r="H2176" t="s">
        <v>26</v>
      </c>
      <c r="I2176" t="s">
        <v>39</v>
      </c>
      <c r="J2176">
        <v>4</v>
      </c>
      <c r="K2176" t="s">
        <v>18</v>
      </c>
      <c r="L2176" t="s">
        <v>146</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2277</v>
      </c>
      <c r="B2177" t="s">
        <v>53</v>
      </c>
      <c r="C2177">
        <v>1</v>
      </c>
      <c r="D2177">
        <v>27.4</v>
      </c>
      <c r="E2177">
        <v>27.4</v>
      </c>
      <c r="F2177" s="1">
        <v>45737</v>
      </c>
      <c r="G2177" s="1">
        <v>45740</v>
      </c>
      <c r="H2177" t="s">
        <v>22</v>
      </c>
      <c r="I2177" t="s">
        <v>17</v>
      </c>
      <c r="J2177">
        <v>5</v>
      </c>
      <c r="K2177" t="s">
        <v>18</v>
      </c>
      <c r="L2177" t="s">
        <v>146</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2278</v>
      </c>
      <c r="B2178" t="s">
        <v>80</v>
      </c>
      <c r="C2178">
        <v>2</v>
      </c>
      <c r="D2178">
        <v>25.6</v>
      </c>
      <c r="E2178">
        <v>51.2</v>
      </c>
      <c r="F2178" s="1">
        <v>45737</v>
      </c>
      <c r="G2178" s="1">
        <v>45738</v>
      </c>
      <c r="H2178" t="s">
        <v>26</v>
      </c>
      <c r="I2178" t="s">
        <v>34</v>
      </c>
      <c r="J2178">
        <v>3</v>
      </c>
      <c r="K2178" t="s">
        <v>18</v>
      </c>
      <c r="L2178" t="s">
        <v>32</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2279</v>
      </c>
      <c r="B2179" t="s">
        <v>75</v>
      </c>
      <c r="C2179">
        <v>1</v>
      </c>
      <c r="D2179">
        <v>58.4</v>
      </c>
      <c r="E2179">
        <v>58.4</v>
      </c>
      <c r="F2179" s="1">
        <v>45737</v>
      </c>
      <c r="G2179" s="1">
        <v>45738</v>
      </c>
      <c r="H2179" t="s">
        <v>26</v>
      </c>
      <c r="I2179" t="s">
        <v>39</v>
      </c>
      <c r="J2179">
        <v>5</v>
      </c>
      <c r="K2179" t="s">
        <v>18</v>
      </c>
      <c r="L2179" t="s">
        <v>32</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2280</v>
      </c>
      <c r="B2180" t="s">
        <v>66</v>
      </c>
      <c r="C2180">
        <v>30</v>
      </c>
      <c r="D2180">
        <v>27</v>
      </c>
      <c r="E2180">
        <v>810</v>
      </c>
      <c r="F2180" s="1">
        <v>45737</v>
      </c>
      <c r="G2180" s="1">
        <v>45738</v>
      </c>
      <c r="H2180" t="s">
        <v>26</v>
      </c>
      <c r="I2180" t="s">
        <v>69</v>
      </c>
      <c r="J2180">
        <v>4</v>
      </c>
      <c r="K2180" t="s">
        <v>18</v>
      </c>
      <c r="L2180" t="s">
        <v>32</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2281</v>
      </c>
      <c r="B2181" t="s">
        <v>16</v>
      </c>
      <c r="C2181">
        <v>4</v>
      </c>
      <c r="D2181">
        <v>14.2</v>
      </c>
      <c r="E2181">
        <v>56.8</v>
      </c>
      <c r="F2181" s="1">
        <v>45737</v>
      </c>
      <c r="G2181" s="1">
        <v>45738</v>
      </c>
      <c r="H2181" t="s">
        <v>22</v>
      </c>
      <c r="I2181" t="s">
        <v>17</v>
      </c>
      <c r="J2181">
        <v>5</v>
      </c>
      <c r="K2181" t="s">
        <v>18</v>
      </c>
      <c r="L2181" t="s">
        <v>32</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2282</v>
      </c>
      <c r="B2182" t="s">
        <v>41</v>
      </c>
      <c r="C2182">
        <v>2</v>
      </c>
      <c r="D2182">
        <v>68</v>
      </c>
      <c r="E2182">
        <v>136</v>
      </c>
      <c r="F2182" s="1">
        <v>45737</v>
      </c>
      <c r="G2182" s="1">
        <v>45747</v>
      </c>
      <c r="H2182" t="s">
        <v>22</v>
      </c>
      <c r="I2182" t="s">
        <v>39</v>
      </c>
      <c r="J2182">
        <v>3</v>
      </c>
      <c r="K2182" t="s">
        <v>18</v>
      </c>
      <c r="L2182" t="s">
        <v>32</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2283</v>
      </c>
      <c r="B2183" t="s">
        <v>43</v>
      </c>
      <c r="C2183">
        <v>1</v>
      </c>
      <c r="D2183">
        <v>30.7</v>
      </c>
      <c r="E2183">
        <v>30.7</v>
      </c>
      <c r="F2183" s="1">
        <v>45737</v>
      </c>
      <c r="G2183" s="1">
        <v>45738</v>
      </c>
      <c r="H2183" t="s">
        <v>22</v>
      </c>
      <c r="I2183" t="s">
        <v>17</v>
      </c>
      <c r="J2183">
        <v>4</v>
      </c>
      <c r="K2183" t="s">
        <v>18</v>
      </c>
      <c r="L2183" t="s">
        <v>32</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2284</v>
      </c>
      <c r="B2184" t="s">
        <v>134</v>
      </c>
      <c r="C2184">
        <v>13</v>
      </c>
      <c r="D2184">
        <v>51.6</v>
      </c>
      <c r="E2184">
        <v>670.80000000000007</v>
      </c>
      <c r="F2184" s="1">
        <v>45737</v>
      </c>
      <c r="G2184" s="1">
        <v>45740</v>
      </c>
      <c r="H2184" t="s">
        <v>88</v>
      </c>
      <c r="I2184" t="s">
        <v>34</v>
      </c>
      <c r="J2184">
        <v>5</v>
      </c>
      <c r="K2184" t="s">
        <v>18</v>
      </c>
      <c r="L2184" t="s">
        <v>32</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2285</v>
      </c>
      <c r="B2185" t="s">
        <v>43</v>
      </c>
      <c r="C2185">
        <v>3</v>
      </c>
      <c r="D2185">
        <v>20.6</v>
      </c>
      <c r="E2185">
        <v>61.800000000000004</v>
      </c>
      <c r="F2185" s="1">
        <v>45737</v>
      </c>
      <c r="G2185" s="1">
        <v>45741</v>
      </c>
      <c r="H2185" t="s">
        <v>26</v>
      </c>
      <c r="I2185" t="s">
        <v>69</v>
      </c>
      <c r="J2185">
        <v>5</v>
      </c>
      <c r="K2185" t="s">
        <v>18</v>
      </c>
      <c r="L2185" t="s">
        <v>32</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2286</v>
      </c>
      <c r="B2186" t="s">
        <v>43</v>
      </c>
      <c r="C2186">
        <v>1</v>
      </c>
      <c r="D2186">
        <v>24.8</v>
      </c>
      <c r="E2186">
        <v>24.8</v>
      </c>
      <c r="F2186" s="1">
        <v>45737</v>
      </c>
      <c r="G2186" s="1">
        <v>45738</v>
      </c>
      <c r="H2186" t="s">
        <v>22</v>
      </c>
      <c r="I2186" t="s">
        <v>69</v>
      </c>
      <c r="J2186">
        <v>4</v>
      </c>
      <c r="K2186" t="s">
        <v>18</v>
      </c>
      <c r="L2186" t="s">
        <v>32</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2287</v>
      </c>
      <c r="B2187" t="s">
        <v>16</v>
      </c>
      <c r="C2187">
        <v>7</v>
      </c>
      <c r="D2187">
        <v>11.2</v>
      </c>
      <c r="E2187">
        <v>78.399999999999991</v>
      </c>
      <c r="F2187" s="1">
        <v>45737</v>
      </c>
      <c r="G2187" s="1">
        <v>45740</v>
      </c>
      <c r="H2187" t="s">
        <v>22</v>
      </c>
      <c r="I2187" t="s">
        <v>34</v>
      </c>
      <c r="J2187">
        <v>4</v>
      </c>
      <c r="K2187" t="s">
        <v>18</v>
      </c>
      <c r="L2187" t="s">
        <v>32</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2288</v>
      </c>
      <c r="B2188" t="s">
        <v>66</v>
      </c>
      <c r="C2188">
        <v>2</v>
      </c>
      <c r="D2188">
        <v>51.2</v>
      </c>
      <c r="E2188">
        <v>102.4</v>
      </c>
      <c r="F2188" s="1">
        <v>45737</v>
      </c>
      <c r="G2188" s="1">
        <v>45738</v>
      </c>
      <c r="H2188" t="s">
        <v>26</v>
      </c>
      <c r="I2188" t="s">
        <v>34</v>
      </c>
      <c r="J2188">
        <v>5</v>
      </c>
      <c r="K2188" t="s">
        <v>18</v>
      </c>
      <c r="L2188" t="s">
        <v>32</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2289</v>
      </c>
      <c r="B2189" t="s">
        <v>41</v>
      </c>
      <c r="C2189">
        <v>6</v>
      </c>
      <c r="D2189">
        <v>90.5</v>
      </c>
      <c r="E2189">
        <v>543</v>
      </c>
      <c r="F2189" s="1">
        <v>45737</v>
      </c>
      <c r="G2189" s="1">
        <v>45738</v>
      </c>
      <c r="H2189" t="s">
        <v>26</v>
      </c>
      <c r="I2189" t="s">
        <v>34</v>
      </c>
      <c r="J2189">
        <v>2</v>
      </c>
      <c r="K2189" t="s">
        <v>18</v>
      </c>
      <c r="L2189" t="s">
        <v>32</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2290</v>
      </c>
      <c r="B2190" t="s">
        <v>21</v>
      </c>
      <c r="C2190">
        <v>2</v>
      </c>
      <c r="D2190">
        <v>42.4</v>
      </c>
      <c r="E2190">
        <v>84.8</v>
      </c>
      <c r="F2190" s="1">
        <v>45737</v>
      </c>
      <c r="G2190" s="1">
        <v>45738</v>
      </c>
      <c r="H2190" t="s">
        <v>22</v>
      </c>
      <c r="I2190" t="s">
        <v>34</v>
      </c>
      <c r="J2190">
        <v>5</v>
      </c>
      <c r="K2190" t="s">
        <v>18</v>
      </c>
      <c r="L2190" t="s">
        <v>48</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2291</v>
      </c>
      <c r="B2191" t="s">
        <v>21</v>
      </c>
      <c r="C2191">
        <v>2</v>
      </c>
      <c r="D2191">
        <v>38.200000000000003</v>
      </c>
      <c r="E2191">
        <v>76.400000000000006</v>
      </c>
      <c r="F2191" s="1">
        <v>45737</v>
      </c>
      <c r="G2191" s="1">
        <v>45738</v>
      </c>
      <c r="H2191" t="s">
        <v>22</v>
      </c>
      <c r="I2191" t="s">
        <v>17</v>
      </c>
      <c r="J2191">
        <v>4</v>
      </c>
      <c r="K2191" t="s">
        <v>18</v>
      </c>
      <c r="L2191" t="s">
        <v>51</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2292</v>
      </c>
      <c r="B2192" t="s">
        <v>25</v>
      </c>
      <c r="C2192">
        <v>9</v>
      </c>
      <c r="D2192">
        <v>121.3</v>
      </c>
      <c r="E2192">
        <v>1091.7</v>
      </c>
      <c r="F2192" s="1">
        <v>45737</v>
      </c>
      <c r="G2192" s="1">
        <v>45742</v>
      </c>
      <c r="H2192" t="s">
        <v>22</v>
      </c>
      <c r="I2192" t="s">
        <v>17</v>
      </c>
      <c r="J2192">
        <v>4</v>
      </c>
      <c r="K2192" t="s">
        <v>18</v>
      </c>
      <c r="L2192" t="s">
        <v>54</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2293</v>
      </c>
      <c r="B2193" t="s">
        <v>38</v>
      </c>
      <c r="C2193">
        <v>2</v>
      </c>
      <c r="D2193">
        <v>46.9</v>
      </c>
      <c r="E2193">
        <v>93.8</v>
      </c>
      <c r="F2193" s="1">
        <v>45737</v>
      </c>
      <c r="G2193" s="1">
        <v>45744</v>
      </c>
      <c r="H2193" t="s">
        <v>22</v>
      </c>
      <c r="I2193" t="s">
        <v>17</v>
      </c>
      <c r="J2193">
        <v>4</v>
      </c>
      <c r="K2193" t="s">
        <v>18</v>
      </c>
      <c r="L2193" t="s">
        <v>61</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2294</v>
      </c>
      <c r="B2194" t="s">
        <v>53</v>
      </c>
      <c r="C2194">
        <v>1</v>
      </c>
      <c r="D2194">
        <v>55.3</v>
      </c>
      <c r="E2194">
        <v>55.3</v>
      </c>
      <c r="F2194" s="1">
        <v>45737</v>
      </c>
      <c r="G2194" s="1">
        <v>45739</v>
      </c>
      <c r="H2194" t="s">
        <v>22</v>
      </c>
      <c r="I2194" t="s">
        <v>17</v>
      </c>
      <c r="J2194">
        <v>4</v>
      </c>
      <c r="K2194" t="s">
        <v>18</v>
      </c>
      <c r="L2194" t="s">
        <v>61</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2295</v>
      </c>
      <c r="B2195" t="s">
        <v>25</v>
      </c>
      <c r="C2195">
        <v>3</v>
      </c>
      <c r="D2195">
        <v>70.599999999999994</v>
      </c>
      <c r="E2195">
        <v>211.79999999999998</v>
      </c>
      <c r="F2195" s="1">
        <v>45738</v>
      </c>
      <c r="G2195" s="1">
        <v>45738</v>
      </c>
      <c r="H2195" t="s">
        <v>26</v>
      </c>
      <c r="I2195" t="s">
        <v>17</v>
      </c>
      <c r="J2195">
        <v>3</v>
      </c>
      <c r="K2195" t="s">
        <v>18</v>
      </c>
      <c r="L2195" t="s">
        <v>61</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2296</v>
      </c>
      <c r="B2196" t="s">
        <v>80</v>
      </c>
      <c r="C2196">
        <v>4</v>
      </c>
      <c r="D2196">
        <v>26.1</v>
      </c>
      <c r="E2196">
        <v>104.4</v>
      </c>
      <c r="F2196" s="1">
        <v>45738</v>
      </c>
      <c r="G2196" s="1">
        <v>45740</v>
      </c>
      <c r="H2196" t="s">
        <v>22</v>
      </c>
      <c r="I2196" t="s">
        <v>17</v>
      </c>
      <c r="J2196">
        <v>4</v>
      </c>
      <c r="K2196" t="s">
        <v>18</v>
      </c>
      <c r="L2196" t="s">
        <v>61</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2297</v>
      </c>
      <c r="B2197" t="s">
        <v>45</v>
      </c>
      <c r="C2197">
        <v>11</v>
      </c>
      <c r="D2197">
        <v>34.5</v>
      </c>
      <c r="E2197">
        <v>379.5</v>
      </c>
      <c r="F2197" s="1">
        <v>45738</v>
      </c>
      <c r="G2197" s="1">
        <v>45742</v>
      </c>
      <c r="H2197" t="s">
        <v>22</v>
      </c>
      <c r="I2197" t="s">
        <v>39</v>
      </c>
      <c r="J2197">
        <v>4</v>
      </c>
      <c r="K2197" t="s">
        <v>18</v>
      </c>
      <c r="L2197" t="s">
        <v>102</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2298</v>
      </c>
      <c r="B2198" t="s">
        <v>21</v>
      </c>
      <c r="C2198">
        <v>2</v>
      </c>
      <c r="D2198">
        <v>64.2</v>
      </c>
      <c r="E2198">
        <v>128.4</v>
      </c>
      <c r="F2198" s="1">
        <v>45738</v>
      </c>
      <c r="G2198" s="1">
        <v>45739</v>
      </c>
      <c r="H2198" t="s">
        <v>26</v>
      </c>
      <c r="I2198" t="s">
        <v>17</v>
      </c>
      <c r="J2198">
        <v>3</v>
      </c>
      <c r="K2198" t="s">
        <v>18</v>
      </c>
      <c r="L2198" t="s">
        <v>102</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2299</v>
      </c>
      <c r="B2199" t="s">
        <v>25</v>
      </c>
      <c r="C2199">
        <v>4</v>
      </c>
      <c r="D2199">
        <v>145.69999999999999</v>
      </c>
      <c r="E2199">
        <v>582.79999999999995</v>
      </c>
      <c r="F2199" s="1">
        <v>45738</v>
      </c>
      <c r="G2199" s="1">
        <v>45739</v>
      </c>
      <c r="H2199" t="s">
        <v>26</v>
      </c>
      <c r="I2199" t="s">
        <v>17</v>
      </c>
      <c r="J2199">
        <v>2</v>
      </c>
      <c r="K2199" t="s">
        <v>18</v>
      </c>
      <c r="L2199" t="s">
        <v>102</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2300</v>
      </c>
      <c r="B2200" t="s">
        <v>68</v>
      </c>
      <c r="C2200">
        <v>2</v>
      </c>
      <c r="D2200">
        <v>78.5</v>
      </c>
      <c r="E2200">
        <v>157</v>
      </c>
      <c r="F2200" s="1">
        <v>45738</v>
      </c>
      <c r="G2200" s="1">
        <v>45739</v>
      </c>
      <c r="H2200" t="s">
        <v>22</v>
      </c>
      <c r="I2200" t="s">
        <v>39</v>
      </c>
      <c r="J2200">
        <v>4</v>
      </c>
      <c r="K2200" t="s">
        <v>18</v>
      </c>
      <c r="L2200" t="s">
        <v>200</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2301</v>
      </c>
      <c r="B2201" t="s">
        <v>21</v>
      </c>
      <c r="C2201">
        <v>1</v>
      </c>
      <c r="D2201">
        <v>34.200000000000003</v>
      </c>
      <c r="E2201">
        <v>34.200000000000003</v>
      </c>
      <c r="F2201" s="1">
        <v>45738</v>
      </c>
      <c r="G2201" s="1">
        <v>45740</v>
      </c>
      <c r="H2201" t="s">
        <v>22</v>
      </c>
      <c r="I2201" t="s">
        <v>17</v>
      </c>
      <c r="J2201">
        <v>4</v>
      </c>
      <c r="K2201" t="s">
        <v>18</v>
      </c>
      <c r="L2201" t="s">
        <v>71</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2302</v>
      </c>
      <c r="B2202" t="s">
        <v>170</v>
      </c>
      <c r="C2202">
        <v>1</v>
      </c>
      <c r="D2202">
        <v>26.2</v>
      </c>
      <c r="E2202">
        <v>26.2</v>
      </c>
      <c r="F2202" s="1">
        <v>45738</v>
      </c>
      <c r="G2202" s="1">
        <v>45739</v>
      </c>
      <c r="H2202" t="s">
        <v>22</v>
      </c>
      <c r="I2202" t="s">
        <v>39</v>
      </c>
      <c r="J2202">
        <v>4</v>
      </c>
      <c r="K2202" t="s">
        <v>18</v>
      </c>
      <c r="L2202" t="s">
        <v>71</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2303</v>
      </c>
      <c r="B2203" t="s">
        <v>38</v>
      </c>
      <c r="C2203">
        <v>4</v>
      </c>
      <c r="D2203">
        <v>53.2</v>
      </c>
      <c r="E2203">
        <v>212.8</v>
      </c>
      <c r="F2203" s="1">
        <v>45738</v>
      </c>
      <c r="G2203" s="1">
        <v>45739</v>
      </c>
      <c r="H2203" t="s">
        <v>22</v>
      </c>
      <c r="I2203" t="s">
        <v>34</v>
      </c>
      <c r="J2203">
        <v>3</v>
      </c>
      <c r="K2203" t="s">
        <v>18</v>
      </c>
      <c r="L2203" t="s">
        <v>76</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2304</v>
      </c>
      <c r="B2204" t="s">
        <v>21</v>
      </c>
      <c r="C2204">
        <v>1</v>
      </c>
      <c r="D2204">
        <v>35.4</v>
      </c>
      <c r="E2204">
        <v>35.4</v>
      </c>
      <c r="F2204" s="1">
        <v>45738</v>
      </c>
      <c r="G2204" s="1">
        <v>45742</v>
      </c>
      <c r="H2204" t="s">
        <v>22</v>
      </c>
      <c r="I2204" t="s">
        <v>34</v>
      </c>
      <c r="J2204">
        <v>2</v>
      </c>
      <c r="K2204" t="s">
        <v>18</v>
      </c>
      <c r="L2204" t="s">
        <v>107</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2305</v>
      </c>
      <c r="B2205" t="s">
        <v>80</v>
      </c>
      <c r="C2205">
        <v>2</v>
      </c>
      <c r="D2205">
        <v>21.3</v>
      </c>
      <c r="E2205">
        <v>42.6</v>
      </c>
      <c r="F2205" s="1">
        <v>45738</v>
      </c>
      <c r="G2205" s="1">
        <v>45739</v>
      </c>
      <c r="H2205" t="s">
        <v>22</v>
      </c>
      <c r="I2205" t="s">
        <v>39</v>
      </c>
      <c r="J2205">
        <v>4</v>
      </c>
      <c r="K2205" t="s">
        <v>18</v>
      </c>
      <c r="L2205" t="s">
        <v>112</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2306</v>
      </c>
      <c r="B2206" t="s">
        <v>43</v>
      </c>
      <c r="C2206">
        <v>4</v>
      </c>
      <c r="D2206">
        <v>32.9</v>
      </c>
      <c r="E2206">
        <v>131.6</v>
      </c>
      <c r="F2206" s="1">
        <v>45738</v>
      </c>
      <c r="G2206" s="1">
        <v>45741</v>
      </c>
      <c r="H2206" t="s">
        <v>26</v>
      </c>
      <c r="I2206" t="s">
        <v>69</v>
      </c>
      <c r="J2206">
        <v>5</v>
      </c>
      <c r="K2206" t="s">
        <v>18</v>
      </c>
      <c r="L2206" t="s">
        <v>114</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2307</v>
      </c>
      <c r="B2207" t="s">
        <v>36</v>
      </c>
      <c r="C2207">
        <v>15</v>
      </c>
      <c r="D2207">
        <v>85.5</v>
      </c>
      <c r="E2207">
        <v>1282.5</v>
      </c>
      <c r="F2207" s="1">
        <v>45738</v>
      </c>
      <c r="G2207" s="1">
        <v>45740</v>
      </c>
      <c r="H2207" t="s">
        <v>26</v>
      </c>
      <c r="I2207" t="s">
        <v>50</v>
      </c>
      <c r="J2207">
        <v>3</v>
      </c>
      <c r="K2207" t="s">
        <v>18</v>
      </c>
      <c r="L2207" t="s">
        <v>114</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2308</v>
      </c>
      <c r="B2208" t="s">
        <v>31</v>
      </c>
      <c r="C2208">
        <v>1</v>
      </c>
      <c r="D2208">
        <v>26.8</v>
      </c>
      <c r="E2208">
        <v>26.8</v>
      </c>
      <c r="F2208" s="1">
        <v>45738</v>
      </c>
      <c r="G2208" s="1">
        <v>45739</v>
      </c>
      <c r="H2208" t="s">
        <v>26</v>
      </c>
      <c r="I2208" t="s">
        <v>17</v>
      </c>
      <c r="J2208">
        <v>3</v>
      </c>
      <c r="K2208" t="s">
        <v>18</v>
      </c>
      <c r="L2208" t="s">
        <v>27</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2309</v>
      </c>
      <c r="B2209" t="s">
        <v>45</v>
      </c>
      <c r="C2209">
        <v>26</v>
      </c>
      <c r="D2209">
        <v>31.7</v>
      </c>
      <c r="E2209">
        <v>824.19999999999993</v>
      </c>
      <c r="F2209" s="1">
        <v>45738</v>
      </c>
      <c r="G2209" s="1">
        <v>45738</v>
      </c>
      <c r="H2209" t="s">
        <v>26</v>
      </c>
      <c r="I2209" t="s">
        <v>50</v>
      </c>
      <c r="J2209">
        <v>4</v>
      </c>
      <c r="K2209" t="s">
        <v>18</v>
      </c>
      <c r="L2209" t="s">
        <v>27</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2310</v>
      </c>
      <c r="B2210" t="s">
        <v>21</v>
      </c>
      <c r="C2210">
        <v>2</v>
      </c>
      <c r="D2210">
        <v>78.3</v>
      </c>
      <c r="E2210">
        <v>156.6</v>
      </c>
      <c r="F2210" s="1">
        <v>45738</v>
      </c>
      <c r="G2210" s="1">
        <v>45740</v>
      </c>
      <c r="H2210" t="s">
        <v>26</v>
      </c>
      <c r="I2210" t="s">
        <v>34</v>
      </c>
      <c r="J2210">
        <v>3</v>
      </c>
      <c r="K2210" t="s">
        <v>18</v>
      </c>
      <c r="L2210" t="s">
        <v>32</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2311</v>
      </c>
      <c r="B2211" t="s">
        <v>38</v>
      </c>
      <c r="C2211">
        <v>1</v>
      </c>
      <c r="D2211">
        <v>43.9</v>
      </c>
      <c r="E2211">
        <v>43.9</v>
      </c>
      <c r="F2211" s="1">
        <v>45738</v>
      </c>
      <c r="G2211" s="1">
        <v>45739</v>
      </c>
      <c r="H2211" t="s">
        <v>22</v>
      </c>
      <c r="I2211" t="s">
        <v>17</v>
      </c>
      <c r="J2211">
        <v>4</v>
      </c>
      <c r="K2211" t="s">
        <v>18</v>
      </c>
      <c r="L2211" t="s">
        <v>32</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2312</v>
      </c>
      <c r="B2212" t="s">
        <v>145</v>
      </c>
      <c r="C2212">
        <v>3</v>
      </c>
      <c r="D2212">
        <v>84</v>
      </c>
      <c r="E2212">
        <v>252</v>
      </c>
      <c r="F2212" s="1">
        <v>45738</v>
      </c>
      <c r="G2212" s="1">
        <v>45740</v>
      </c>
      <c r="I2212" t="s">
        <v>50</v>
      </c>
      <c r="J2212">
        <v>5</v>
      </c>
      <c r="K2212" t="s">
        <v>18</v>
      </c>
      <c r="L2212" t="s">
        <v>32</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2313</v>
      </c>
      <c r="B2213" t="s">
        <v>16</v>
      </c>
      <c r="C2213">
        <v>3</v>
      </c>
      <c r="D2213">
        <v>11.4</v>
      </c>
      <c r="E2213">
        <v>34.200000000000003</v>
      </c>
      <c r="F2213" s="1">
        <v>45738</v>
      </c>
      <c r="G2213" s="1">
        <v>45739</v>
      </c>
      <c r="H2213" t="s">
        <v>22</v>
      </c>
      <c r="I2213" t="s">
        <v>69</v>
      </c>
      <c r="J2213">
        <v>4</v>
      </c>
      <c r="K2213" t="s">
        <v>18</v>
      </c>
      <c r="L2213" t="s">
        <v>32</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2314</v>
      </c>
      <c r="B2214" t="s">
        <v>68</v>
      </c>
      <c r="C2214">
        <v>8</v>
      </c>
      <c r="D2214">
        <v>47.5</v>
      </c>
      <c r="E2214">
        <v>380</v>
      </c>
      <c r="F2214" s="1">
        <v>45738</v>
      </c>
      <c r="G2214" s="1">
        <v>45746</v>
      </c>
      <c r="H2214" t="s">
        <v>26</v>
      </c>
      <c r="I2214" t="s">
        <v>17</v>
      </c>
      <c r="J2214">
        <v>4</v>
      </c>
      <c r="K2214" t="s">
        <v>18</v>
      </c>
      <c r="L2214" t="s">
        <v>32</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2315</v>
      </c>
      <c r="B2215" t="s">
        <v>45</v>
      </c>
      <c r="C2215">
        <v>11</v>
      </c>
      <c r="D2215">
        <v>50.5</v>
      </c>
      <c r="E2215">
        <v>555.5</v>
      </c>
      <c r="F2215" s="1">
        <v>45738</v>
      </c>
      <c r="G2215" s="1">
        <v>45740</v>
      </c>
      <c r="H2215" t="s">
        <v>22</v>
      </c>
      <c r="I2215" t="s">
        <v>39</v>
      </c>
      <c r="J2215">
        <v>4</v>
      </c>
      <c r="K2215" t="s">
        <v>18</v>
      </c>
      <c r="L2215" t="s">
        <v>32</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2316</v>
      </c>
      <c r="B2216" t="s">
        <v>122</v>
      </c>
      <c r="C2216">
        <v>1</v>
      </c>
      <c r="D2216">
        <v>36.299999999999997</v>
      </c>
      <c r="E2216">
        <v>36.299999999999997</v>
      </c>
      <c r="F2216" s="1">
        <v>45738</v>
      </c>
      <c r="G2216" s="1">
        <v>45741</v>
      </c>
      <c r="H2216" t="s">
        <v>88</v>
      </c>
      <c r="I2216" t="s">
        <v>17</v>
      </c>
      <c r="J2216">
        <v>3</v>
      </c>
      <c r="K2216" t="s">
        <v>18</v>
      </c>
      <c r="L2216" t="s">
        <v>61</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2317</v>
      </c>
      <c r="B2217" t="s">
        <v>43</v>
      </c>
      <c r="C2217">
        <v>2</v>
      </c>
      <c r="D2217">
        <v>35.4</v>
      </c>
      <c r="E2217">
        <v>70.8</v>
      </c>
      <c r="F2217" s="1">
        <v>45738</v>
      </c>
      <c r="G2217" s="1">
        <v>45739</v>
      </c>
      <c r="H2217" t="s">
        <v>26</v>
      </c>
      <c r="I2217" t="s">
        <v>17</v>
      </c>
      <c r="J2217">
        <v>4</v>
      </c>
      <c r="K2217" t="s">
        <v>18</v>
      </c>
      <c r="L2217" t="s">
        <v>102</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2318</v>
      </c>
      <c r="B2218" t="s">
        <v>21</v>
      </c>
      <c r="C2218">
        <v>3</v>
      </c>
      <c r="D2218">
        <v>45.9</v>
      </c>
      <c r="E2218">
        <v>137.69999999999999</v>
      </c>
      <c r="F2218" s="1">
        <v>45739</v>
      </c>
      <c r="G2218" s="1">
        <v>45740</v>
      </c>
      <c r="H2218" t="s">
        <v>22</v>
      </c>
      <c r="I2218" t="s">
        <v>50</v>
      </c>
      <c r="J2218">
        <v>4</v>
      </c>
      <c r="K2218" t="s">
        <v>18</v>
      </c>
      <c r="L2218" t="s">
        <v>71</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2319</v>
      </c>
      <c r="B2219" t="s">
        <v>38</v>
      </c>
      <c r="C2219">
        <v>10</v>
      </c>
      <c r="D2219">
        <v>41.2</v>
      </c>
      <c r="E2219">
        <v>412</v>
      </c>
      <c r="F2219" s="1">
        <v>45739</v>
      </c>
      <c r="G2219" s="1">
        <v>45743</v>
      </c>
      <c r="H2219" t="s">
        <v>22</v>
      </c>
      <c r="I2219" t="s">
        <v>17</v>
      </c>
      <c r="J2219">
        <v>4</v>
      </c>
      <c r="K2219" t="s">
        <v>18</v>
      </c>
      <c r="L2219" t="s">
        <v>76</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2320</v>
      </c>
      <c r="B2220" t="s">
        <v>134</v>
      </c>
      <c r="C2220">
        <v>2</v>
      </c>
      <c r="D2220">
        <v>45.1</v>
      </c>
      <c r="E2220">
        <v>90.2</v>
      </c>
      <c r="F2220" s="1">
        <v>45739</v>
      </c>
      <c r="G2220" s="1">
        <v>45740</v>
      </c>
      <c r="H2220" t="s">
        <v>22</v>
      </c>
      <c r="I2220" t="s">
        <v>34</v>
      </c>
      <c r="J2220">
        <v>3</v>
      </c>
      <c r="K2220" t="s">
        <v>18</v>
      </c>
      <c r="L2220" t="s">
        <v>114</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2321</v>
      </c>
      <c r="B2221" t="s">
        <v>38</v>
      </c>
      <c r="C2221">
        <v>10</v>
      </c>
      <c r="D2221">
        <v>63.6</v>
      </c>
      <c r="E2221">
        <v>636</v>
      </c>
      <c r="F2221" s="1">
        <v>45739</v>
      </c>
      <c r="G2221" s="1">
        <v>45739</v>
      </c>
      <c r="H2221" t="s">
        <v>22</v>
      </c>
      <c r="I2221" t="s">
        <v>39</v>
      </c>
      <c r="J2221">
        <v>4</v>
      </c>
      <c r="K2221" t="s">
        <v>18</v>
      </c>
      <c r="L2221" t="s">
        <v>23</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2322</v>
      </c>
      <c r="B2222" t="s">
        <v>43</v>
      </c>
      <c r="C2222">
        <v>1</v>
      </c>
      <c r="D2222">
        <v>70.5</v>
      </c>
      <c r="E2222">
        <v>70.5</v>
      </c>
      <c r="F2222" s="1">
        <v>45739</v>
      </c>
      <c r="G2222" s="1">
        <v>45740</v>
      </c>
      <c r="H2222" t="s">
        <v>22</v>
      </c>
      <c r="I2222" t="s">
        <v>17</v>
      </c>
      <c r="J2222">
        <v>4</v>
      </c>
      <c r="K2222" t="s">
        <v>18</v>
      </c>
      <c r="L2222" t="s">
        <v>32</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2323</v>
      </c>
      <c r="B2223" t="s">
        <v>38</v>
      </c>
      <c r="C2223">
        <v>1</v>
      </c>
      <c r="D2223">
        <v>41.3</v>
      </c>
      <c r="E2223">
        <v>41.3</v>
      </c>
      <c r="F2223" s="1">
        <v>45739</v>
      </c>
      <c r="G2223" s="1">
        <v>45739</v>
      </c>
      <c r="H2223" t="s">
        <v>22</v>
      </c>
      <c r="I2223" t="s">
        <v>69</v>
      </c>
      <c r="J2223">
        <v>4</v>
      </c>
      <c r="K2223" t="s">
        <v>18</v>
      </c>
      <c r="L2223" t="s">
        <v>32</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2324</v>
      </c>
      <c r="B2224" t="s">
        <v>31</v>
      </c>
      <c r="C2224">
        <v>1</v>
      </c>
      <c r="D2224">
        <v>35.299999999999997</v>
      </c>
      <c r="E2224">
        <v>35.299999999999997</v>
      </c>
      <c r="F2224" s="1">
        <v>45739</v>
      </c>
      <c r="G2224" s="1">
        <v>45742</v>
      </c>
      <c r="H2224" t="s">
        <v>26</v>
      </c>
      <c r="I2224" t="s">
        <v>69</v>
      </c>
      <c r="J2224">
        <v>5</v>
      </c>
      <c r="K2224" t="s">
        <v>18</v>
      </c>
      <c r="L2224" t="s">
        <v>32</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2325</v>
      </c>
      <c r="B2225" t="s">
        <v>43</v>
      </c>
      <c r="C2225">
        <v>5</v>
      </c>
      <c r="D2225">
        <v>34.700000000000003</v>
      </c>
      <c r="E2225">
        <v>173.5</v>
      </c>
      <c r="F2225" s="1">
        <v>45739</v>
      </c>
      <c r="G2225" s="1">
        <v>45740</v>
      </c>
      <c r="H2225" t="s">
        <v>26</v>
      </c>
      <c r="I2225" t="s">
        <v>17</v>
      </c>
      <c r="J2225">
        <v>5</v>
      </c>
      <c r="K2225" t="s">
        <v>18</v>
      </c>
      <c r="L2225" t="s">
        <v>32</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2326</v>
      </c>
      <c r="B2226" t="s">
        <v>43</v>
      </c>
      <c r="C2226">
        <v>3</v>
      </c>
      <c r="D2226">
        <v>26.1</v>
      </c>
      <c r="E2226">
        <v>78.300000000000011</v>
      </c>
      <c r="F2226" s="1">
        <v>45739</v>
      </c>
      <c r="G2226" s="1">
        <v>45740</v>
      </c>
      <c r="H2226" t="s">
        <v>26</v>
      </c>
      <c r="I2226" t="s">
        <v>17</v>
      </c>
      <c r="J2226">
        <v>4</v>
      </c>
      <c r="K2226" t="s">
        <v>18</v>
      </c>
      <c r="L2226" t="s">
        <v>32</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2327</v>
      </c>
      <c r="B2227" t="s">
        <v>45</v>
      </c>
      <c r="C2227">
        <v>5</v>
      </c>
      <c r="D2227">
        <v>22.6</v>
      </c>
      <c r="E2227">
        <v>113</v>
      </c>
      <c r="F2227" s="1">
        <v>45739</v>
      </c>
      <c r="G2227" s="1">
        <v>45739</v>
      </c>
      <c r="H2227" t="s">
        <v>26</v>
      </c>
      <c r="I2227" t="s">
        <v>34</v>
      </c>
      <c r="J2227">
        <v>5</v>
      </c>
      <c r="K2227" t="s">
        <v>18</v>
      </c>
      <c r="L2227" t="s">
        <v>32</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2328</v>
      </c>
      <c r="B2228" t="s">
        <v>25</v>
      </c>
      <c r="C2228">
        <v>2</v>
      </c>
      <c r="D2228">
        <v>154.4</v>
      </c>
      <c r="E2228">
        <v>308.8</v>
      </c>
      <c r="F2228" s="1">
        <v>45739</v>
      </c>
      <c r="G2228" s="1">
        <v>45742</v>
      </c>
      <c r="H2228" t="s">
        <v>22</v>
      </c>
      <c r="I2228" t="s">
        <v>34</v>
      </c>
      <c r="J2228">
        <v>3</v>
      </c>
      <c r="K2228" t="s">
        <v>18</v>
      </c>
      <c r="L2228" t="s">
        <v>32</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2329</v>
      </c>
      <c r="B2229" t="s">
        <v>43</v>
      </c>
      <c r="C2229">
        <v>2</v>
      </c>
      <c r="D2229">
        <v>18.399999999999999</v>
      </c>
      <c r="E2229">
        <v>36.799999999999997</v>
      </c>
      <c r="F2229" s="1">
        <v>45739</v>
      </c>
      <c r="G2229" s="1">
        <v>45740</v>
      </c>
      <c r="H2229" t="s">
        <v>22</v>
      </c>
      <c r="I2229" t="s">
        <v>17</v>
      </c>
      <c r="J2229">
        <v>4</v>
      </c>
      <c r="K2229" t="s">
        <v>18</v>
      </c>
      <c r="L2229" t="s">
        <v>32</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2330</v>
      </c>
      <c r="B2230" t="s">
        <v>80</v>
      </c>
      <c r="C2230">
        <v>1</v>
      </c>
      <c r="D2230">
        <v>25</v>
      </c>
      <c r="E2230">
        <v>25</v>
      </c>
      <c r="F2230" s="1">
        <v>45739</v>
      </c>
      <c r="G2230" s="1">
        <v>45742</v>
      </c>
      <c r="H2230" t="s">
        <v>26</v>
      </c>
      <c r="I2230" t="s">
        <v>17</v>
      </c>
      <c r="J2230">
        <v>4</v>
      </c>
      <c r="K2230" t="s">
        <v>18</v>
      </c>
      <c r="L2230" t="s">
        <v>32</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2331</v>
      </c>
      <c r="B2231" t="s">
        <v>25</v>
      </c>
      <c r="C2231">
        <v>6</v>
      </c>
      <c r="D2231">
        <v>105.6</v>
      </c>
      <c r="E2231">
        <v>633.59999999999991</v>
      </c>
      <c r="F2231" s="1">
        <v>45739</v>
      </c>
      <c r="G2231" s="1">
        <v>45739</v>
      </c>
      <c r="H2231" t="s">
        <v>26</v>
      </c>
      <c r="I2231" t="s">
        <v>17</v>
      </c>
      <c r="J2231">
        <v>4</v>
      </c>
      <c r="K2231" t="s">
        <v>18</v>
      </c>
      <c r="L2231" t="s">
        <v>32</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2332</v>
      </c>
      <c r="B2232" t="s">
        <v>145</v>
      </c>
      <c r="C2232">
        <v>8</v>
      </c>
      <c r="D2232">
        <v>59.6</v>
      </c>
      <c r="E2232">
        <v>476.8</v>
      </c>
      <c r="F2232" s="1">
        <v>45739</v>
      </c>
      <c r="G2232" s="1">
        <v>45739</v>
      </c>
      <c r="H2232" t="s">
        <v>26</v>
      </c>
      <c r="I2232" t="s">
        <v>17</v>
      </c>
      <c r="J2232">
        <v>5</v>
      </c>
      <c r="K2232" t="s">
        <v>18</v>
      </c>
      <c r="L2232" t="s">
        <v>157</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2333</v>
      </c>
      <c r="B2233" t="s">
        <v>122</v>
      </c>
      <c r="C2233">
        <v>3</v>
      </c>
      <c r="D2233">
        <v>75.400000000000006</v>
      </c>
      <c r="E2233">
        <v>226.20000000000002</v>
      </c>
      <c r="F2233" s="1">
        <v>45739</v>
      </c>
      <c r="G2233" s="1">
        <v>45744</v>
      </c>
      <c r="H2233" t="s">
        <v>22</v>
      </c>
      <c r="I2233" t="s">
        <v>17</v>
      </c>
      <c r="J2233">
        <v>3</v>
      </c>
      <c r="K2233" t="s">
        <v>18</v>
      </c>
      <c r="L2233" t="s">
        <v>58</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2334</v>
      </c>
      <c r="B2234" t="s">
        <v>41</v>
      </c>
      <c r="C2234">
        <v>1</v>
      </c>
      <c r="D2234">
        <v>104.4</v>
      </c>
      <c r="E2234">
        <v>104.4</v>
      </c>
      <c r="F2234" s="1">
        <v>45739</v>
      </c>
      <c r="G2234" s="1">
        <v>45740</v>
      </c>
      <c r="H2234" t="s">
        <v>26</v>
      </c>
      <c r="I2234" t="s">
        <v>17</v>
      </c>
      <c r="J2234">
        <v>4</v>
      </c>
      <c r="K2234" t="s">
        <v>18</v>
      </c>
      <c r="L2234" t="s">
        <v>61</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2335</v>
      </c>
      <c r="B2235" t="s">
        <v>25</v>
      </c>
      <c r="C2235">
        <v>10</v>
      </c>
      <c r="D2235">
        <v>208.2</v>
      </c>
      <c r="E2235">
        <v>2082</v>
      </c>
      <c r="F2235" s="1">
        <v>45739</v>
      </c>
      <c r="G2235" s="1">
        <v>45740</v>
      </c>
      <c r="H2235" t="s">
        <v>22</v>
      </c>
      <c r="I2235" t="s">
        <v>17</v>
      </c>
      <c r="J2235">
        <v>5</v>
      </c>
      <c r="K2235" t="s">
        <v>18</v>
      </c>
      <c r="L2235" t="s">
        <v>61</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2336</v>
      </c>
      <c r="B2236" t="s">
        <v>38</v>
      </c>
      <c r="C2236">
        <v>2</v>
      </c>
      <c r="D2236">
        <v>45</v>
      </c>
      <c r="E2236">
        <v>90</v>
      </c>
      <c r="F2236" s="1">
        <v>45739</v>
      </c>
      <c r="G2236" s="1">
        <v>45742</v>
      </c>
      <c r="H2236" t="s">
        <v>26</v>
      </c>
      <c r="I2236" t="s">
        <v>17</v>
      </c>
      <c r="J2236">
        <v>4</v>
      </c>
      <c r="K2236" t="s">
        <v>18</v>
      </c>
      <c r="L2236" t="s">
        <v>73</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2337</v>
      </c>
      <c r="B2237" t="s">
        <v>122</v>
      </c>
      <c r="C2237">
        <v>2</v>
      </c>
      <c r="D2237">
        <v>20.3</v>
      </c>
      <c r="E2237">
        <v>40.6</v>
      </c>
      <c r="F2237" s="1">
        <v>45740</v>
      </c>
      <c r="G2237" s="1">
        <v>45742</v>
      </c>
      <c r="I2237" t="s">
        <v>34</v>
      </c>
      <c r="J2237">
        <v>4</v>
      </c>
      <c r="K2237" t="s">
        <v>18</v>
      </c>
      <c r="L2237" t="s">
        <v>76</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2338</v>
      </c>
      <c r="B2238" t="s">
        <v>25</v>
      </c>
      <c r="C2238">
        <v>3</v>
      </c>
      <c r="D2238">
        <v>94.4</v>
      </c>
      <c r="E2238">
        <v>283.20000000000005</v>
      </c>
      <c r="F2238" s="1">
        <v>45740</v>
      </c>
      <c r="G2238" s="1">
        <v>45741</v>
      </c>
      <c r="H2238" t="s">
        <v>26</v>
      </c>
      <c r="I2238" t="s">
        <v>17</v>
      </c>
      <c r="J2238">
        <v>5</v>
      </c>
      <c r="K2238" t="s">
        <v>18</v>
      </c>
      <c r="L2238" t="s">
        <v>76</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2339</v>
      </c>
      <c r="B2239" t="s">
        <v>45</v>
      </c>
      <c r="C2239">
        <v>1</v>
      </c>
      <c r="D2239">
        <v>49</v>
      </c>
      <c r="E2239">
        <v>49</v>
      </c>
      <c r="F2239" s="1">
        <v>45740</v>
      </c>
      <c r="G2239" s="1">
        <v>45742</v>
      </c>
      <c r="H2239" t="s">
        <v>26</v>
      </c>
      <c r="I2239" t="s">
        <v>17</v>
      </c>
      <c r="J2239">
        <v>5</v>
      </c>
      <c r="K2239" t="s">
        <v>18</v>
      </c>
      <c r="L2239" t="s">
        <v>112</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2340</v>
      </c>
      <c r="B2240" t="s">
        <v>31</v>
      </c>
      <c r="C2240">
        <v>2</v>
      </c>
      <c r="D2240">
        <v>27.2</v>
      </c>
      <c r="E2240">
        <v>54.4</v>
      </c>
      <c r="F2240" s="1">
        <v>45740</v>
      </c>
      <c r="G2240" s="1">
        <v>45742</v>
      </c>
      <c r="H2240" t="s">
        <v>22</v>
      </c>
      <c r="I2240" t="s">
        <v>17</v>
      </c>
      <c r="J2240">
        <v>5</v>
      </c>
      <c r="K2240" t="s">
        <v>18</v>
      </c>
      <c r="L2240" t="s">
        <v>23</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2341</v>
      </c>
      <c r="B2241" t="s">
        <v>25</v>
      </c>
      <c r="C2241">
        <v>6</v>
      </c>
      <c r="D2241">
        <v>72.599999999999994</v>
      </c>
      <c r="E2241">
        <v>435.59999999999997</v>
      </c>
      <c r="F2241" s="1">
        <v>45740</v>
      </c>
      <c r="G2241" s="1">
        <v>45741</v>
      </c>
      <c r="H2241" t="s">
        <v>26</v>
      </c>
      <c r="I2241" t="s">
        <v>17</v>
      </c>
      <c r="J2241">
        <v>5</v>
      </c>
      <c r="K2241" t="s">
        <v>18</v>
      </c>
      <c r="L2241" t="s">
        <v>27</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2342</v>
      </c>
      <c r="B2242" t="s">
        <v>122</v>
      </c>
      <c r="C2242">
        <v>4</v>
      </c>
      <c r="D2242">
        <v>62.4</v>
      </c>
      <c r="E2242">
        <v>249.6</v>
      </c>
      <c r="F2242" s="1">
        <v>45740</v>
      </c>
      <c r="G2242" s="1">
        <v>45741</v>
      </c>
      <c r="H2242" t="s">
        <v>26</v>
      </c>
      <c r="I2242" t="s">
        <v>17</v>
      </c>
      <c r="J2242">
        <v>4</v>
      </c>
      <c r="K2242" t="s">
        <v>18</v>
      </c>
      <c r="L2242" t="s">
        <v>32</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2343</v>
      </c>
      <c r="B2243" t="s">
        <v>43</v>
      </c>
      <c r="C2243">
        <v>3</v>
      </c>
      <c r="D2243">
        <v>19.100000000000001</v>
      </c>
      <c r="E2243">
        <v>57.300000000000004</v>
      </c>
      <c r="F2243" s="1">
        <v>45740</v>
      </c>
      <c r="G2243" s="1">
        <v>45742</v>
      </c>
      <c r="H2243" t="s">
        <v>22</v>
      </c>
      <c r="I2243" t="s">
        <v>17</v>
      </c>
      <c r="J2243">
        <v>3</v>
      </c>
      <c r="K2243" t="s">
        <v>18</v>
      </c>
      <c r="L2243" t="s">
        <v>32</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2344</v>
      </c>
      <c r="B2244" t="s">
        <v>53</v>
      </c>
      <c r="C2244">
        <v>1</v>
      </c>
      <c r="D2244">
        <v>29.6</v>
      </c>
      <c r="E2244">
        <v>29.6</v>
      </c>
      <c r="F2244" s="1">
        <v>45740</v>
      </c>
      <c r="G2244" s="1">
        <v>45744</v>
      </c>
      <c r="H2244" t="s">
        <v>22</v>
      </c>
      <c r="I2244" t="s">
        <v>17</v>
      </c>
      <c r="J2244">
        <v>2</v>
      </c>
      <c r="K2244" t="s">
        <v>18</v>
      </c>
      <c r="L2244" t="s">
        <v>32</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2345</v>
      </c>
      <c r="B2245" t="s">
        <v>43</v>
      </c>
      <c r="C2245">
        <v>2</v>
      </c>
      <c r="D2245">
        <v>18.899999999999999</v>
      </c>
      <c r="E2245">
        <v>37.799999999999997</v>
      </c>
      <c r="F2245" s="1">
        <v>45740</v>
      </c>
      <c r="G2245" s="1">
        <v>45742</v>
      </c>
      <c r="H2245" t="s">
        <v>26</v>
      </c>
      <c r="I2245" t="s">
        <v>69</v>
      </c>
      <c r="J2245">
        <v>5</v>
      </c>
      <c r="K2245" t="s">
        <v>18</v>
      </c>
      <c r="L2245" t="s">
        <v>32</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2346</v>
      </c>
      <c r="B2246" t="s">
        <v>53</v>
      </c>
      <c r="C2246">
        <v>5</v>
      </c>
      <c r="D2246">
        <v>41.4</v>
      </c>
      <c r="E2246">
        <v>207</v>
      </c>
      <c r="F2246" s="1">
        <v>45740</v>
      </c>
      <c r="G2246" s="1">
        <v>45741</v>
      </c>
      <c r="H2246" t="s">
        <v>22</v>
      </c>
      <c r="I2246" t="s">
        <v>50</v>
      </c>
      <c r="J2246">
        <v>4</v>
      </c>
      <c r="K2246" t="s">
        <v>18</v>
      </c>
      <c r="L2246" t="s">
        <v>32</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2347</v>
      </c>
      <c r="B2247" t="s">
        <v>25</v>
      </c>
      <c r="C2247">
        <v>1</v>
      </c>
      <c r="D2247">
        <v>118.4</v>
      </c>
      <c r="E2247">
        <v>118.4</v>
      </c>
      <c r="F2247" s="1">
        <v>45740</v>
      </c>
      <c r="G2247" s="1">
        <v>45741</v>
      </c>
      <c r="H2247" t="s">
        <v>26</v>
      </c>
      <c r="I2247" t="s">
        <v>17</v>
      </c>
      <c r="J2247">
        <v>5</v>
      </c>
      <c r="K2247" t="s">
        <v>18</v>
      </c>
      <c r="L2247" t="s">
        <v>32</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2348</v>
      </c>
      <c r="B2248" t="s">
        <v>25</v>
      </c>
      <c r="C2248">
        <v>2</v>
      </c>
      <c r="D2248">
        <v>125.3</v>
      </c>
      <c r="E2248">
        <v>250.6</v>
      </c>
      <c r="F2248" s="1">
        <v>45740</v>
      </c>
      <c r="G2248" s="1">
        <v>45743</v>
      </c>
      <c r="H2248" t="s">
        <v>26</v>
      </c>
      <c r="I2248" t="s">
        <v>17</v>
      </c>
      <c r="J2248">
        <v>5</v>
      </c>
      <c r="K2248" t="s">
        <v>18</v>
      </c>
      <c r="L2248" t="s">
        <v>32</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2349</v>
      </c>
      <c r="B2249" t="s">
        <v>29</v>
      </c>
      <c r="C2249">
        <v>2</v>
      </c>
      <c r="D2249">
        <v>85.8</v>
      </c>
      <c r="E2249">
        <v>171.6</v>
      </c>
      <c r="F2249" s="1">
        <v>45740</v>
      </c>
      <c r="G2249" s="1">
        <v>45741</v>
      </c>
      <c r="H2249" t="s">
        <v>26</v>
      </c>
      <c r="I2249" t="s">
        <v>34</v>
      </c>
      <c r="J2249">
        <v>2</v>
      </c>
      <c r="K2249" t="s">
        <v>18</v>
      </c>
      <c r="L2249" t="s">
        <v>32</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2350</v>
      </c>
      <c r="B2250" t="s">
        <v>38</v>
      </c>
      <c r="C2250">
        <v>1</v>
      </c>
      <c r="D2250">
        <v>44.2</v>
      </c>
      <c r="E2250">
        <v>44.2</v>
      </c>
      <c r="F2250" s="1">
        <v>45740</v>
      </c>
      <c r="G2250" s="1">
        <v>45743</v>
      </c>
      <c r="H2250" t="s">
        <v>22</v>
      </c>
      <c r="I2250" t="s">
        <v>34</v>
      </c>
      <c r="J2250">
        <v>4</v>
      </c>
      <c r="K2250" t="s">
        <v>18</v>
      </c>
      <c r="L2250" t="s">
        <v>32</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2351</v>
      </c>
      <c r="B2251" t="s">
        <v>36</v>
      </c>
      <c r="C2251">
        <v>4</v>
      </c>
      <c r="D2251">
        <v>74.099999999999994</v>
      </c>
      <c r="E2251">
        <v>296.39999999999998</v>
      </c>
      <c r="F2251" s="1">
        <v>45740</v>
      </c>
      <c r="G2251" s="1">
        <v>45742</v>
      </c>
      <c r="H2251" t="s">
        <v>26</v>
      </c>
      <c r="I2251" t="s">
        <v>17</v>
      </c>
      <c r="J2251">
        <v>4</v>
      </c>
      <c r="K2251" t="s">
        <v>18</v>
      </c>
      <c r="L2251" t="s">
        <v>32</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2352</v>
      </c>
      <c r="B2252" t="s">
        <v>43</v>
      </c>
      <c r="C2252">
        <v>1</v>
      </c>
      <c r="D2252">
        <v>33.799999999999997</v>
      </c>
      <c r="E2252">
        <v>33.799999999999997</v>
      </c>
      <c r="F2252" s="1">
        <v>45740</v>
      </c>
      <c r="G2252" s="1">
        <v>45741</v>
      </c>
      <c r="H2252" t="s">
        <v>26</v>
      </c>
      <c r="I2252" t="s">
        <v>39</v>
      </c>
      <c r="J2252">
        <v>5</v>
      </c>
      <c r="K2252" t="s">
        <v>18</v>
      </c>
      <c r="L2252" t="s">
        <v>185</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2353</v>
      </c>
      <c r="B2253" t="s">
        <v>21</v>
      </c>
      <c r="C2253">
        <v>2</v>
      </c>
      <c r="D2253">
        <v>39.1</v>
      </c>
      <c r="E2253">
        <v>78.2</v>
      </c>
      <c r="F2253" s="1">
        <v>45740</v>
      </c>
      <c r="G2253" s="1">
        <v>45741</v>
      </c>
      <c r="H2253" t="s">
        <v>22</v>
      </c>
      <c r="I2253" t="s">
        <v>17</v>
      </c>
      <c r="J2253">
        <v>3</v>
      </c>
      <c r="K2253" t="s">
        <v>18</v>
      </c>
      <c r="L2253" t="s">
        <v>185</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2354</v>
      </c>
      <c r="B2254" t="s">
        <v>16</v>
      </c>
      <c r="C2254">
        <v>1</v>
      </c>
      <c r="D2254">
        <v>37.200000000000003</v>
      </c>
      <c r="E2254">
        <v>37.200000000000003</v>
      </c>
      <c r="F2254" s="1">
        <v>45740</v>
      </c>
      <c r="G2254" s="1">
        <v>45741</v>
      </c>
      <c r="H2254" t="s">
        <v>22</v>
      </c>
      <c r="I2254" t="s">
        <v>17</v>
      </c>
      <c r="J2254">
        <v>3</v>
      </c>
      <c r="K2254" t="s">
        <v>18</v>
      </c>
      <c r="L2254" t="s">
        <v>97</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2355</v>
      </c>
      <c r="B2255" t="s">
        <v>122</v>
      </c>
      <c r="C2255">
        <v>3</v>
      </c>
      <c r="D2255">
        <v>33.9</v>
      </c>
      <c r="E2255">
        <v>101.69999999999999</v>
      </c>
      <c r="F2255" s="1">
        <v>45740</v>
      </c>
      <c r="G2255" s="1">
        <v>45742</v>
      </c>
      <c r="H2255" t="s">
        <v>22</v>
      </c>
      <c r="I2255" t="s">
        <v>39</v>
      </c>
      <c r="J2255">
        <v>4</v>
      </c>
      <c r="K2255" t="s">
        <v>18</v>
      </c>
      <c r="L2255" t="s">
        <v>54</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2356</v>
      </c>
      <c r="B2256" t="s">
        <v>41</v>
      </c>
      <c r="C2256">
        <v>15</v>
      </c>
      <c r="D2256">
        <v>73.3</v>
      </c>
      <c r="E2256">
        <v>1099.5</v>
      </c>
      <c r="F2256" s="1">
        <v>45740</v>
      </c>
      <c r="G2256" s="1">
        <v>45743</v>
      </c>
      <c r="H2256" t="s">
        <v>26</v>
      </c>
      <c r="I2256" t="s">
        <v>39</v>
      </c>
      <c r="J2256">
        <v>3</v>
      </c>
      <c r="K2256" t="s">
        <v>18</v>
      </c>
      <c r="L2256" t="s">
        <v>61</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2357</v>
      </c>
      <c r="B2257" t="s">
        <v>43</v>
      </c>
      <c r="C2257">
        <v>4</v>
      </c>
      <c r="D2257">
        <v>35</v>
      </c>
      <c r="E2257">
        <v>140</v>
      </c>
      <c r="F2257" s="1">
        <v>45740</v>
      </c>
      <c r="G2257" s="1">
        <v>45742</v>
      </c>
      <c r="H2257" t="s">
        <v>26</v>
      </c>
      <c r="I2257" t="s">
        <v>34</v>
      </c>
      <c r="J2257">
        <v>4</v>
      </c>
      <c r="K2257" t="s">
        <v>18</v>
      </c>
      <c r="L2257" t="s">
        <v>61</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2358</v>
      </c>
      <c r="B2258" t="s">
        <v>16</v>
      </c>
      <c r="C2258">
        <v>3</v>
      </c>
      <c r="D2258">
        <v>22.2</v>
      </c>
      <c r="E2258">
        <v>66.599999999999994</v>
      </c>
      <c r="F2258" s="1">
        <v>45740</v>
      </c>
      <c r="G2258" s="1">
        <v>45741</v>
      </c>
      <c r="H2258" t="s">
        <v>22</v>
      </c>
      <c r="I2258" t="s">
        <v>34</v>
      </c>
      <c r="J2258">
        <v>4</v>
      </c>
      <c r="K2258" t="s">
        <v>18</v>
      </c>
      <c r="L2258" t="s">
        <v>102</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2359</v>
      </c>
      <c r="B2259" t="s">
        <v>53</v>
      </c>
      <c r="C2259">
        <v>1</v>
      </c>
      <c r="D2259">
        <v>32.4</v>
      </c>
      <c r="E2259">
        <v>32.4</v>
      </c>
      <c r="F2259" s="1">
        <v>45740</v>
      </c>
      <c r="G2259" s="1">
        <v>45741</v>
      </c>
      <c r="H2259" t="s">
        <v>26</v>
      </c>
      <c r="I2259" t="s">
        <v>17</v>
      </c>
      <c r="J2259">
        <v>4</v>
      </c>
      <c r="K2259" t="s">
        <v>18</v>
      </c>
      <c r="L2259" t="s">
        <v>76</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2360</v>
      </c>
      <c r="B2260" t="s">
        <v>36</v>
      </c>
      <c r="C2260">
        <v>3</v>
      </c>
      <c r="D2260">
        <v>88.4</v>
      </c>
      <c r="E2260">
        <v>265.20000000000005</v>
      </c>
      <c r="F2260" s="1">
        <v>45741</v>
      </c>
      <c r="G2260" s="1">
        <v>45743</v>
      </c>
      <c r="H2260" t="s">
        <v>26</v>
      </c>
      <c r="I2260" t="s">
        <v>34</v>
      </c>
      <c r="J2260">
        <v>3</v>
      </c>
      <c r="K2260" t="s">
        <v>18</v>
      </c>
      <c r="L2260" t="s">
        <v>76</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2361</v>
      </c>
      <c r="B2261" t="s">
        <v>36</v>
      </c>
      <c r="C2261">
        <v>16</v>
      </c>
      <c r="D2261">
        <v>30.5</v>
      </c>
      <c r="E2261">
        <v>488</v>
      </c>
      <c r="F2261" s="1">
        <v>45741</v>
      </c>
      <c r="G2261" s="1">
        <v>45742</v>
      </c>
      <c r="H2261" t="s">
        <v>26</v>
      </c>
      <c r="I2261" t="s">
        <v>39</v>
      </c>
      <c r="J2261">
        <v>4</v>
      </c>
      <c r="K2261" t="s">
        <v>18</v>
      </c>
      <c r="L2261" t="s">
        <v>76</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2362</v>
      </c>
      <c r="B2262" t="s">
        <v>21</v>
      </c>
      <c r="C2262">
        <v>6</v>
      </c>
      <c r="D2262">
        <v>38.1</v>
      </c>
      <c r="E2262">
        <v>228.60000000000002</v>
      </c>
      <c r="F2262" s="1">
        <v>45741</v>
      </c>
      <c r="G2262" s="1">
        <v>45743</v>
      </c>
      <c r="H2262" t="s">
        <v>26</v>
      </c>
      <c r="I2262" t="s">
        <v>17</v>
      </c>
      <c r="J2262">
        <v>3</v>
      </c>
      <c r="K2262" t="s">
        <v>18</v>
      </c>
      <c r="L2262" t="s">
        <v>76</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2363</v>
      </c>
      <c r="B2263" t="s">
        <v>53</v>
      </c>
      <c r="C2263">
        <v>5</v>
      </c>
      <c r="D2263">
        <v>37.6</v>
      </c>
      <c r="E2263">
        <v>188</v>
      </c>
      <c r="F2263" s="1">
        <v>45741</v>
      </c>
      <c r="G2263" s="1">
        <v>45745</v>
      </c>
      <c r="H2263" t="s">
        <v>22</v>
      </c>
      <c r="I2263" t="s">
        <v>17</v>
      </c>
      <c r="J2263">
        <v>4</v>
      </c>
      <c r="K2263" t="s">
        <v>18</v>
      </c>
      <c r="L2263" t="s">
        <v>76</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2364</v>
      </c>
      <c r="B2264" t="s">
        <v>122</v>
      </c>
      <c r="C2264">
        <v>2</v>
      </c>
      <c r="D2264">
        <v>31.4</v>
      </c>
      <c r="E2264">
        <v>62.8</v>
      </c>
      <c r="F2264" s="1">
        <v>45741</v>
      </c>
      <c r="G2264" s="1">
        <v>45742</v>
      </c>
      <c r="H2264" t="s">
        <v>22</v>
      </c>
      <c r="I2264" t="s">
        <v>17</v>
      </c>
      <c r="J2264">
        <v>5</v>
      </c>
      <c r="K2264" t="s">
        <v>18</v>
      </c>
      <c r="L2264" t="s">
        <v>76</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2365</v>
      </c>
      <c r="B2265" t="s">
        <v>38</v>
      </c>
      <c r="C2265">
        <v>2</v>
      </c>
      <c r="D2265">
        <v>61.5</v>
      </c>
      <c r="E2265">
        <v>123</v>
      </c>
      <c r="F2265" s="1">
        <v>45741</v>
      </c>
      <c r="G2265" s="1">
        <v>45742</v>
      </c>
      <c r="H2265" t="s">
        <v>22</v>
      </c>
      <c r="I2265" t="s">
        <v>50</v>
      </c>
      <c r="J2265">
        <v>4</v>
      </c>
      <c r="K2265" t="s">
        <v>18</v>
      </c>
      <c r="L2265" t="s">
        <v>291</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2366</v>
      </c>
      <c r="B2266" t="s">
        <v>38</v>
      </c>
      <c r="C2266">
        <v>1</v>
      </c>
      <c r="D2266">
        <v>72.599999999999994</v>
      </c>
      <c r="E2266">
        <v>72.599999999999994</v>
      </c>
      <c r="F2266" s="1">
        <v>45741</v>
      </c>
      <c r="G2266" s="1">
        <v>45742</v>
      </c>
      <c r="H2266" t="s">
        <v>22</v>
      </c>
      <c r="I2266" t="s">
        <v>17</v>
      </c>
      <c r="J2266">
        <v>3</v>
      </c>
      <c r="K2266" t="s">
        <v>18</v>
      </c>
      <c r="L2266" t="s">
        <v>114</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2367</v>
      </c>
      <c r="B2267" t="s">
        <v>45</v>
      </c>
      <c r="C2267">
        <v>3</v>
      </c>
      <c r="D2267">
        <v>26.9</v>
      </c>
      <c r="E2267">
        <v>80.699999999999989</v>
      </c>
      <c r="F2267" s="1">
        <v>45741</v>
      </c>
      <c r="G2267" s="1">
        <v>45746</v>
      </c>
      <c r="H2267" t="s">
        <v>88</v>
      </c>
      <c r="I2267" t="s">
        <v>69</v>
      </c>
      <c r="J2267">
        <v>3</v>
      </c>
      <c r="K2267" t="s">
        <v>18</v>
      </c>
      <c r="L2267" t="s">
        <v>640</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2368</v>
      </c>
      <c r="B2268" t="s">
        <v>134</v>
      </c>
      <c r="C2268">
        <v>12</v>
      </c>
      <c r="D2268">
        <v>29.4</v>
      </c>
      <c r="E2268">
        <v>352.79999999999995</v>
      </c>
      <c r="F2268" s="1">
        <v>45741</v>
      </c>
      <c r="G2268" s="1">
        <v>45742</v>
      </c>
      <c r="H2268" t="s">
        <v>26</v>
      </c>
      <c r="I2268" t="s">
        <v>34</v>
      </c>
      <c r="J2268">
        <v>4</v>
      </c>
      <c r="K2268" t="s">
        <v>18</v>
      </c>
      <c r="L2268" t="s">
        <v>966</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2369</v>
      </c>
      <c r="B2269" t="s">
        <v>134</v>
      </c>
      <c r="C2269">
        <v>2</v>
      </c>
      <c r="D2269">
        <v>42.1</v>
      </c>
      <c r="E2269">
        <v>84.2</v>
      </c>
      <c r="F2269" s="1">
        <v>45741</v>
      </c>
      <c r="G2269" s="1">
        <v>45742</v>
      </c>
      <c r="H2269" t="s">
        <v>26</v>
      </c>
      <c r="I2269" t="s">
        <v>50</v>
      </c>
      <c r="J2269">
        <v>3</v>
      </c>
      <c r="K2269" t="s">
        <v>18</v>
      </c>
      <c r="L2269" t="s">
        <v>23</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2370</v>
      </c>
      <c r="B2270" t="s">
        <v>36</v>
      </c>
      <c r="C2270">
        <v>1</v>
      </c>
      <c r="D2270">
        <v>40.5</v>
      </c>
      <c r="E2270">
        <v>40.5</v>
      </c>
      <c r="F2270" s="1">
        <v>45741</v>
      </c>
      <c r="G2270" s="1">
        <v>45742</v>
      </c>
      <c r="H2270" t="s">
        <v>26</v>
      </c>
      <c r="I2270" t="s">
        <v>39</v>
      </c>
      <c r="J2270">
        <v>3</v>
      </c>
      <c r="K2270" t="s">
        <v>18</v>
      </c>
      <c r="L2270" t="s">
        <v>23</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2371</v>
      </c>
      <c r="B2271" t="s">
        <v>25</v>
      </c>
      <c r="C2271">
        <v>4</v>
      </c>
      <c r="D2271">
        <v>182.3</v>
      </c>
      <c r="E2271">
        <v>729.2</v>
      </c>
      <c r="F2271" s="1">
        <v>45741</v>
      </c>
      <c r="G2271" s="1">
        <v>45742</v>
      </c>
      <c r="H2271" t="s">
        <v>26</v>
      </c>
      <c r="I2271" t="s">
        <v>34</v>
      </c>
      <c r="J2271">
        <v>4</v>
      </c>
      <c r="K2271" t="s">
        <v>18</v>
      </c>
      <c r="L2271" t="s">
        <v>23</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2372</v>
      </c>
      <c r="B2272" t="s">
        <v>25</v>
      </c>
      <c r="C2272">
        <v>5</v>
      </c>
      <c r="D2272">
        <v>157</v>
      </c>
      <c r="E2272">
        <v>785</v>
      </c>
      <c r="F2272" s="1">
        <v>45741</v>
      </c>
      <c r="G2272" s="1">
        <v>45744</v>
      </c>
      <c r="H2272" t="s">
        <v>26</v>
      </c>
      <c r="I2272" t="s">
        <v>34</v>
      </c>
      <c r="J2272">
        <v>5</v>
      </c>
      <c r="K2272" t="s">
        <v>18</v>
      </c>
      <c r="L2272" t="s">
        <v>27</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2373</v>
      </c>
      <c r="B2273" t="s">
        <v>134</v>
      </c>
      <c r="C2273">
        <v>5</v>
      </c>
      <c r="D2273">
        <v>45.2</v>
      </c>
      <c r="E2273">
        <v>226</v>
      </c>
      <c r="F2273" s="1">
        <v>45741</v>
      </c>
      <c r="G2273" s="1">
        <v>45744</v>
      </c>
      <c r="H2273" t="s">
        <v>26</v>
      </c>
      <c r="I2273" t="s">
        <v>34</v>
      </c>
      <c r="J2273">
        <v>4</v>
      </c>
      <c r="K2273" t="s">
        <v>18</v>
      </c>
      <c r="L2273" t="s">
        <v>146</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2374</v>
      </c>
      <c r="B2274" t="s">
        <v>122</v>
      </c>
      <c r="C2274">
        <v>4</v>
      </c>
      <c r="D2274">
        <v>27.4</v>
      </c>
      <c r="E2274">
        <v>109.6</v>
      </c>
      <c r="F2274" s="1">
        <v>45741</v>
      </c>
      <c r="G2274" s="1">
        <v>45743</v>
      </c>
      <c r="H2274" t="s">
        <v>26</v>
      </c>
      <c r="I2274" t="s">
        <v>17</v>
      </c>
      <c r="J2274">
        <v>4</v>
      </c>
      <c r="K2274" t="s">
        <v>18</v>
      </c>
      <c r="L2274" t="s">
        <v>32</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2375</v>
      </c>
      <c r="B2275" t="s">
        <v>36</v>
      </c>
      <c r="C2275">
        <v>5</v>
      </c>
      <c r="D2275">
        <v>34.1</v>
      </c>
      <c r="E2275">
        <v>170.5</v>
      </c>
      <c r="F2275" s="1">
        <v>45741</v>
      </c>
      <c r="G2275" s="1">
        <v>45743</v>
      </c>
      <c r="H2275" t="s">
        <v>22</v>
      </c>
      <c r="I2275" t="s">
        <v>17</v>
      </c>
      <c r="J2275">
        <v>5</v>
      </c>
      <c r="K2275" t="s">
        <v>18</v>
      </c>
      <c r="L2275" t="s">
        <v>32</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2376</v>
      </c>
      <c r="B2276" t="s">
        <v>16</v>
      </c>
      <c r="C2276">
        <v>2</v>
      </c>
      <c r="D2276">
        <v>26</v>
      </c>
      <c r="E2276">
        <v>52</v>
      </c>
      <c r="F2276" s="1">
        <v>45741</v>
      </c>
      <c r="G2276" s="1">
        <v>45743</v>
      </c>
      <c r="H2276" t="s">
        <v>22</v>
      </c>
      <c r="I2276" t="s">
        <v>39</v>
      </c>
      <c r="J2276">
        <v>3</v>
      </c>
      <c r="K2276" t="s">
        <v>18</v>
      </c>
      <c r="L2276" t="s">
        <v>32</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2377</v>
      </c>
      <c r="B2277" t="s">
        <v>43</v>
      </c>
      <c r="C2277">
        <v>7</v>
      </c>
      <c r="D2277">
        <v>19.399999999999999</v>
      </c>
      <c r="E2277">
        <v>135.79999999999998</v>
      </c>
      <c r="F2277" s="1">
        <v>45741</v>
      </c>
      <c r="G2277" s="1">
        <v>45743</v>
      </c>
      <c r="I2277" t="s">
        <v>34</v>
      </c>
      <c r="J2277">
        <v>3</v>
      </c>
      <c r="K2277" t="s">
        <v>18</v>
      </c>
      <c r="L2277" t="s">
        <v>32</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2378</v>
      </c>
      <c r="B2278" t="s">
        <v>127</v>
      </c>
      <c r="C2278">
        <v>3</v>
      </c>
      <c r="D2278">
        <v>30.3</v>
      </c>
      <c r="E2278">
        <v>90.9</v>
      </c>
      <c r="F2278" s="1">
        <v>45741</v>
      </c>
      <c r="G2278" s="1">
        <v>45744</v>
      </c>
      <c r="H2278" t="s">
        <v>26</v>
      </c>
      <c r="I2278" t="s">
        <v>34</v>
      </c>
      <c r="J2278">
        <v>5</v>
      </c>
      <c r="K2278" t="s">
        <v>18</v>
      </c>
      <c r="L2278" t="s">
        <v>32</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2379</v>
      </c>
      <c r="B2279" t="s">
        <v>25</v>
      </c>
      <c r="C2279">
        <v>3</v>
      </c>
      <c r="D2279">
        <v>101.4</v>
      </c>
      <c r="E2279">
        <v>304.20000000000005</v>
      </c>
      <c r="F2279" s="1">
        <v>45741</v>
      </c>
      <c r="G2279" s="1">
        <v>45742</v>
      </c>
      <c r="H2279" t="s">
        <v>22</v>
      </c>
      <c r="I2279" t="s">
        <v>17</v>
      </c>
      <c r="J2279">
        <v>4</v>
      </c>
      <c r="K2279" t="s">
        <v>18</v>
      </c>
      <c r="L2279" t="s">
        <v>32</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2380</v>
      </c>
      <c r="B2280" t="s">
        <v>29</v>
      </c>
      <c r="C2280">
        <v>5</v>
      </c>
      <c r="D2280">
        <v>55.5</v>
      </c>
      <c r="E2280">
        <v>277.5</v>
      </c>
      <c r="F2280" s="1">
        <v>45741</v>
      </c>
      <c r="G2280" s="1">
        <v>45744</v>
      </c>
      <c r="H2280" t="s">
        <v>22</v>
      </c>
      <c r="I2280" t="s">
        <v>34</v>
      </c>
      <c r="J2280">
        <v>4</v>
      </c>
      <c r="K2280" t="s">
        <v>18</v>
      </c>
      <c r="L2280" t="s">
        <v>185</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2381</v>
      </c>
      <c r="B2281" t="s">
        <v>43</v>
      </c>
      <c r="C2281">
        <v>1</v>
      </c>
      <c r="D2281">
        <v>23.1</v>
      </c>
      <c r="E2281">
        <v>23.1</v>
      </c>
      <c r="F2281" s="1">
        <v>45741</v>
      </c>
      <c r="G2281" s="1">
        <v>45742</v>
      </c>
      <c r="H2281" t="s">
        <v>22</v>
      </c>
      <c r="I2281" t="s">
        <v>17</v>
      </c>
      <c r="J2281">
        <v>4</v>
      </c>
      <c r="K2281" t="s">
        <v>18</v>
      </c>
      <c r="L2281" t="s">
        <v>187</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2382</v>
      </c>
      <c r="B2282" t="s">
        <v>145</v>
      </c>
      <c r="C2282">
        <v>2</v>
      </c>
      <c r="D2282">
        <v>38.9</v>
      </c>
      <c r="E2282">
        <v>77.8</v>
      </c>
      <c r="F2282" s="1">
        <v>45741</v>
      </c>
      <c r="G2282" s="1">
        <v>45742</v>
      </c>
      <c r="H2282" t="s">
        <v>22</v>
      </c>
      <c r="I2282" t="s">
        <v>39</v>
      </c>
      <c r="J2282">
        <v>4</v>
      </c>
      <c r="K2282" t="s">
        <v>18</v>
      </c>
      <c r="L2282" t="s">
        <v>187</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2383</v>
      </c>
      <c r="B2283" t="s">
        <v>38</v>
      </c>
      <c r="C2283">
        <v>9</v>
      </c>
      <c r="D2283">
        <v>116.3</v>
      </c>
      <c r="E2283">
        <v>1046.7</v>
      </c>
      <c r="F2283" s="1">
        <v>45741</v>
      </c>
      <c r="G2283" s="1">
        <v>45745</v>
      </c>
      <c r="H2283" t="s">
        <v>26</v>
      </c>
      <c r="I2283" t="s">
        <v>17</v>
      </c>
      <c r="J2283">
        <v>4</v>
      </c>
      <c r="K2283" t="s">
        <v>18</v>
      </c>
      <c r="L2283" t="s">
        <v>51</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2384</v>
      </c>
      <c r="B2284" t="s">
        <v>127</v>
      </c>
      <c r="C2284">
        <v>9</v>
      </c>
      <c r="D2284">
        <v>64.099999999999994</v>
      </c>
      <c r="E2284">
        <v>576.9</v>
      </c>
      <c r="F2284" s="1">
        <v>45741</v>
      </c>
      <c r="G2284" s="1">
        <v>45741</v>
      </c>
      <c r="H2284" t="s">
        <v>26</v>
      </c>
      <c r="I2284" t="s">
        <v>17</v>
      </c>
      <c r="J2284">
        <v>5</v>
      </c>
      <c r="K2284" t="s">
        <v>18</v>
      </c>
      <c r="L2284" t="s">
        <v>54</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2385</v>
      </c>
      <c r="B2285" t="s">
        <v>25</v>
      </c>
      <c r="C2285">
        <v>6</v>
      </c>
      <c r="D2285">
        <v>109.2</v>
      </c>
      <c r="E2285">
        <v>655.20000000000005</v>
      </c>
      <c r="F2285" s="1">
        <v>45741</v>
      </c>
      <c r="G2285" s="1">
        <v>45743</v>
      </c>
      <c r="H2285" t="s">
        <v>22</v>
      </c>
      <c r="I2285" t="s">
        <v>17</v>
      </c>
      <c r="J2285">
        <v>3</v>
      </c>
      <c r="K2285" t="s">
        <v>18</v>
      </c>
      <c r="L2285" t="s">
        <v>61</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2386</v>
      </c>
      <c r="B2286" t="s">
        <v>53</v>
      </c>
      <c r="C2286">
        <v>5</v>
      </c>
      <c r="D2286">
        <v>23.2</v>
      </c>
      <c r="E2286">
        <v>116</v>
      </c>
      <c r="F2286" s="1">
        <v>45742</v>
      </c>
      <c r="G2286" s="1">
        <v>45743</v>
      </c>
      <c r="H2286" t="s">
        <v>22</v>
      </c>
      <c r="I2286" t="s">
        <v>17</v>
      </c>
      <c r="J2286">
        <v>3</v>
      </c>
      <c r="K2286" t="s">
        <v>18</v>
      </c>
      <c r="L2286" t="s">
        <v>61</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2387</v>
      </c>
      <c r="B2287" t="s">
        <v>145</v>
      </c>
      <c r="C2287">
        <v>6</v>
      </c>
      <c r="D2287">
        <v>81.2</v>
      </c>
      <c r="E2287">
        <v>487.20000000000005</v>
      </c>
      <c r="F2287" s="1">
        <v>45742</v>
      </c>
      <c r="G2287" s="1">
        <v>45744</v>
      </c>
      <c r="H2287" t="s">
        <v>22</v>
      </c>
      <c r="I2287" t="s">
        <v>39</v>
      </c>
      <c r="J2287">
        <v>5</v>
      </c>
      <c r="K2287" t="s">
        <v>18</v>
      </c>
      <c r="L2287" t="s">
        <v>61</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2388</v>
      </c>
      <c r="B2288" t="s">
        <v>21</v>
      </c>
      <c r="C2288">
        <v>14</v>
      </c>
      <c r="D2288">
        <v>35.700000000000003</v>
      </c>
      <c r="E2288">
        <v>499.80000000000007</v>
      </c>
      <c r="F2288" s="1">
        <v>45742</v>
      </c>
      <c r="G2288" s="1">
        <v>45743</v>
      </c>
      <c r="H2288" t="s">
        <v>22</v>
      </c>
      <c r="I2288" t="s">
        <v>50</v>
      </c>
      <c r="J2288">
        <v>4</v>
      </c>
      <c r="K2288" t="s">
        <v>18</v>
      </c>
      <c r="L2288" t="s">
        <v>61</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2389</v>
      </c>
      <c r="B2289" t="s">
        <v>41</v>
      </c>
      <c r="C2289">
        <v>2</v>
      </c>
      <c r="D2289">
        <v>44.5</v>
      </c>
      <c r="E2289">
        <v>89</v>
      </c>
      <c r="F2289" s="1">
        <v>45742</v>
      </c>
      <c r="G2289" s="1">
        <v>45745</v>
      </c>
      <c r="H2289" t="s">
        <v>22</v>
      </c>
      <c r="I2289" t="s">
        <v>69</v>
      </c>
      <c r="J2289">
        <v>4</v>
      </c>
      <c r="K2289" t="s">
        <v>18</v>
      </c>
      <c r="L2289" t="s">
        <v>71</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2390</v>
      </c>
      <c r="B2290" t="s">
        <v>21</v>
      </c>
      <c r="C2290">
        <v>5</v>
      </c>
      <c r="D2290">
        <v>32</v>
      </c>
      <c r="E2290">
        <v>160</v>
      </c>
      <c r="F2290" s="1">
        <v>45742</v>
      </c>
      <c r="G2290" s="1">
        <v>45744</v>
      </c>
      <c r="H2290" t="s">
        <v>88</v>
      </c>
      <c r="I2290" t="s">
        <v>34</v>
      </c>
      <c r="J2290">
        <v>3</v>
      </c>
      <c r="K2290" t="s">
        <v>18</v>
      </c>
      <c r="L2290" t="s">
        <v>71</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2391</v>
      </c>
      <c r="B2291" t="s">
        <v>43</v>
      </c>
      <c r="C2291">
        <v>1</v>
      </c>
      <c r="D2291">
        <v>25.7</v>
      </c>
      <c r="E2291">
        <v>25.7</v>
      </c>
      <c r="F2291" s="1">
        <v>45742</v>
      </c>
      <c r="G2291" s="1">
        <v>45743</v>
      </c>
      <c r="H2291" t="s">
        <v>22</v>
      </c>
      <c r="I2291" t="s">
        <v>17</v>
      </c>
      <c r="J2291">
        <v>4</v>
      </c>
      <c r="K2291" t="s">
        <v>18</v>
      </c>
      <c r="L2291" t="s">
        <v>73</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2392</v>
      </c>
      <c r="B2292" t="s">
        <v>127</v>
      </c>
      <c r="C2292">
        <v>3</v>
      </c>
      <c r="D2292">
        <v>65.599999999999994</v>
      </c>
      <c r="E2292">
        <v>196.79999999999998</v>
      </c>
      <c r="F2292" s="1">
        <v>45742</v>
      </c>
      <c r="G2292" s="1">
        <v>45748</v>
      </c>
      <c r="H2292" t="s">
        <v>22</v>
      </c>
      <c r="I2292" t="s">
        <v>17</v>
      </c>
      <c r="J2292">
        <v>4</v>
      </c>
      <c r="K2292" t="s">
        <v>18</v>
      </c>
      <c r="L2292" t="s">
        <v>76</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2393</v>
      </c>
      <c r="B2293" t="s">
        <v>21</v>
      </c>
      <c r="C2293">
        <v>4</v>
      </c>
      <c r="D2293">
        <v>52.1</v>
      </c>
      <c r="E2293">
        <v>208.4</v>
      </c>
      <c r="F2293" s="1">
        <v>45742</v>
      </c>
      <c r="G2293" s="1">
        <v>45743</v>
      </c>
      <c r="H2293" t="s">
        <v>26</v>
      </c>
      <c r="I2293" t="s">
        <v>17</v>
      </c>
      <c r="J2293">
        <v>5</v>
      </c>
      <c r="K2293" t="s">
        <v>18</v>
      </c>
      <c r="L2293" t="s">
        <v>76</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2394</v>
      </c>
      <c r="B2294" t="s">
        <v>43</v>
      </c>
      <c r="C2294">
        <v>1</v>
      </c>
      <c r="D2294">
        <v>31</v>
      </c>
      <c r="E2294">
        <v>31</v>
      </c>
      <c r="F2294" s="1">
        <v>45742</v>
      </c>
      <c r="G2294" s="1">
        <v>45743</v>
      </c>
      <c r="H2294" t="s">
        <v>22</v>
      </c>
      <c r="I2294" t="s">
        <v>17</v>
      </c>
      <c r="J2294">
        <v>3</v>
      </c>
      <c r="K2294" t="s">
        <v>18</v>
      </c>
      <c r="L2294" t="s">
        <v>109</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2395</v>
      </c>
      <c r="B2295" t="s">
        <v>43</v>
      </c>
      <c r="C2295">
        <v>1</v>
      </c>
      <c r="D2295">
        <v>32</v>
      </c>
      <c r="E2295">
        <v>32</v>
      </c>
      <c r="F2295" s="1">
        <v>45742</v>
      </c>
      <c r="G2295" s="1">
        <v>45744</v>
      </c>
      <c r="H2295" t="s">
        <v>88</v>
      </c>
      <c r="I2295" t="s">
        <v>50</v>
      </c>
      <c r="J2295">
        <v>3</v>
      </c>
      <c r="K2295" t="s">
        <v>18</v>
      </c>
      <c r="L2295" t="s">
        <v>291</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2396</v>
      </c>
      <c r="B2296" t="s">
        <v>127</v>
      </c>
      <c r="C2296">
        <v>4</v>
      </c>
      <c r="D2296">
        <v>58.3</v>
      </c>
      <c r="E2296">
        <v>233.2</v>
      </c>
      <c r="F2296" s="1">
        <v>45742</v>
      </c>
      <c r="G2296" s="1">
        <v>45746</v>
      </c>
      <c r="H2296" t="s">
        <v>22</v>
      </c>
      <c r="I2296" t="s">
        <v>34</v>
      </c>
      <c r="J2296">
        <v>2</v>
      </c>
      <c r="K2296" t="s">
        <v>18</v>
      </c>
      <c r="L2296" t="s">
        <v>112</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2397</v>
      </c>
      <c r="B2297" t="s">
        <v>43</v>
      </c>
      <c r="C2297">
        <v>3</v>
      </c>
      <c r="D2297">
        <v>31</v>
      </c>
      <c r="E2297">
        <v>93</v>
      </c>
      <c r="F2297" s="1">
        <v>45742</v>
      </c>
      <c r="G2297" s="1">
        <v>45744</v>
      </c>
      <c r="H2297" t="s">
        <v>26</v>
      </c>
      <c r="I2297" t="s">
        <v>39</v>
      </c>
      <c r="J2297">
        <v>2</v>
      </c>
      <c r="K2297" t="s">
        <v>18</v>
      </c>
      <c r="L2297" t="s">
        <v>81</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2398</v>
      </c>
      <c r="B2298" t="s">
        <v>29</v>
      </c>
      <c r="C2298">
        <v>1</v>
      </c>
      <c r="D2298">
        <v>40.299999999999997</v>
      </c>
      <c r="E2298">
        <v>40.299999999999997</v>
      </c>
      <c r="F2298" s="1">
        <v>45742</v>
      </c>
      <c r="G2298" s="1">
        <v>45743</v>
      </c>
      <c r="H2298" t="s">
        <v>22</v>
      </c>
      <c r="I2298" t="s">
        <v>34</v>
      </c>
      <c r="J2298">
        <v>5</v>
      </c>
      <c r="K2298" t="s">
        <v>18</v>
      </c>
      <c r="L2298" t="s">
        <v>1382</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2399</v>
      </c>
      <c r="B2299" t="s">
        <v>38</v>
      </c>
      <c r="C2299">
        <v>3</v>
      </c>
      <c r="D2299">
        <v>47.3</v>
      </c>
      <c r="E2299">
        <v>141.89999999999998</v>
      </c>
      <c r="F2299" s="1">
        <v>45742</v>
      </c>
      <c r="G2299" s="1">
        <v>45744</v>
      </c>
      <c r="H2299" t="s">
        <v>22</v>
      </c>
      <c r="I2299" t="s">
        <v>69</v>
      </c>
      <c r="J2299">
        <v>5</v>
      </c>
      <c r="K2299" t="s">
        <v>18</v>
      </c>
      <c r="L2299" t="s">
        <v>27</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2400</v>
      </c>
      <c r="B2300" t="s">
        <v>25</v>
      </c>
      <c r="C2300">
        <v>1</v>
      </c>
      <c r="D2300">
        <v>82.8</v>
      </c>
      <c r="E2300">
        <v>82.8</v>
      </c>
      <c r="F2300" s="1">
        <v>45742</v>
      </c>
      <c r="G2300" s="1">
        <v>45743</v>
      </c>
      <c r="H2300" t="s">
        <v>22</v>
      </c>
      <c r="I2300" t="s">
        <v>17</v>
      </c>
      <c r="J2300">
        <v>4</v>
      </c>
      <c r="K2300" t="s">
        <v>18</v>
      </c>
      <c r="L2300" t="s">
        <v>27</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2401</v>
      </c>
      <c r="B2301" t="s">
        <v>43</v>
      </c>
      <c r="C2301">
        <v>1</v>
      </c>
      <c r="D2301">
        <v>18.5</v>
      </c>
      <c r="E2301">
        <v>18.5</v>
      </c>
      <c r="F2301" s="1">
        <v>45742</v>
      </c>
      <c r="G2301" s="1">
        <v>45756</v>
      </c>
      <c r="H2301" t="s">
        <v>26</v>
      </c>
      <c r="I2301" t="s">
        <v>17</v>
      </c>
      <c r="J2301">
        <v>4</v>
      </c>
      <c r="K2301" t="s">
        <v>18</v>
      </c>
      <c r="L2301" t="s">
        <v>586</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2402</v>
      </c>
      <c r="B2302" t="s">
        <v>29</v>
      </c>
      <c r="C2302">
        <v>2</v>
      </c>
      <c r="D2302">
        <v>60.4</v>
      </c>
      <c r="E2302">
        <v>120.8</v>
      </c>
      <c r="F2302" s="1">
        <v>45742</v>
      </c>
      <c r="G2302" s="1">
        <v>45743</v>
      </c>
      <c r="H2302" t="s">
        <v>22</v>
      </c>
      <c r="I2302" t="s">
        <v>39</v>
      </c>
      <c r="J2302">
        <v>4</v>
      </c>
      <c r="K2302" t="s">
        <v>18</v>
      </c>
      <c r="L2302" t="s">
        <v>146</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2403</v>
      </c>
      <c r="B2303" t="s">
        <v>38</v>
      </c>
      <c r="C2303">
        <v>5</v>
      </c>
      <c r="D2303">
        <v>80.2</v>
      </c>
      <c r="E2303">
        <v>401</v>
      </c>
      <c r="F2303" s="1">
        <v>45742</v>
      </c>
      <c r="G2303" s="1">
        <v>45749</v>
      </c>
      <c r="H2303" t="s">
        <v>22</v>
      </c>
      <c r="I2303" t="s">
        <v>34</v>
      </c>
      <c r="J2303">
        <v>3</v>
      </c>
      <c r="K2303" t="s">
        <v>18</v>
      </c>
      <c r="L2303" t="s">
        <v>948</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2404</v>
      </c>
      <c r="B2304" t="s">
        <v>31</v>
      </c>
      <c r="C2304">
        <v>1</v>
      </c>
      <c r="D2304">
        <v>41.5</v>
      </c>
      <c r="E2304">
        <v>41.5</v>
      </c>
      <c r="F2304" s="1">
        <v>45742</v>
      </c>
      <c r="G2304" s="1">
        <v>45744</v>
      </c>
      <c r="H2304" t="s">
        <v>22</v>
      </c>
      <c r="I2304" t="s">
        <v>39</v>
      </c>
      <c r="J2304">
        <v>4</v>
      </c>
      <c r="K2304" t="s">
        <v>18</v>
      </c>
      <c r="L2304" t="s">
        <v>32</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2405</v>
      </c>
      <c r="B2305" t="s">
        <v>25</v>
      </c>
      <c r="C2305">
        <v>2</v>
      </c>
      <c r="D2305">
        <v>83.9</v>
      </c>
      <c r="E2305">
        <v>167.8</v>
      </c>
      <c r="F2305" s="1">
        <v>45742</v>
      </c>
      <c r="G2305" s="1">
        <v>45745</v>
      </c>
      <c r="H2305" t="s">
        <v>26</v>
      </c>
      <c r="I2305" t="s">
        <v>17</v>
      </c>
      <c r="J2305">
        <v>4</v>
      </c>
      <c r="K2305" t="s">
        <v>18</v>
      </c>
      <c r="L2305" t="s">
        <v>32</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2406</v>
      </c>
      <c r="B2306" t="s">
        <v>43</v>
      </c>
      <c r="C2306">
        <v>2</v>
      </c>
      <c r="D2306">
        <v>16.7</v>
      </c>
      <c r="E2306">
        <v>33.4</v>
      </c>
      <c r="F2306" s="1">
        <v>45742</v>
      </c>
      <c r="G2306" s="1">
        <v>45746</v>
      </c>
      <c r="H2306" t="s">
        <v>26</v>
      </c>
      <c r="I2306" t="s">
        <v>17</v>
      </c>
      <c r="J2306">
        <v>3</v>
      </c>
      <c r="K2306" t="s">
        <v>18</v>
      </c>
      <c r="L2306" t="s">
        <v>32</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2407</v>
      </c>
      <c r="B2307" t="s">
        <v>45</v>
      </c>
      <c r="C2307">
        <v>2</v>
      </c>
      <c r="D2307">
        <v>72.900000000000006</v>
      </c>
      <c r="E2307">
        <v>145.80000000000001</v>
      </c>
      <c r="F2307" s="1">
        <v>45742</v>
      </c>
      <c r="G2307" s="1">
        <v>45743</v>
      </c>
      <c r="H2307" t="s">
        <v>22</v>
      </c>
      <c r="I2307" t="s">
        <v>39</v>
      </c>
      <c r="J2307">
        <v>3</v>
      </c>
      <c r="K2307" t="s">
        <v>18</v>
      </c>
      <c r="L2307" t="s">
        <v>32</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2408</v>
      </c>
      <c r="B2308" t="s">
        <v>36</v>
      </c>
      <c r="C2308">
        <v>2</v>
      </c>
      <c r="D2308">
        <v>50.2</v>
      </c>
      <c r="E2308">
        <v>100.4</v>
      </c>
      <c r="F2308" s="1">
        <v>45742</v>
      </c>
      <c r="G2308" s="1">
        <v>45744</v>
      </c>
      <c r="H2308" t="s">
        <v>26</v>
      </c>
      <c r="I2308" t="s">
        <v>34</v>
      </c>
      <c r="J2308">
        <v>5</v>
      </c>
      <c r="K2308" t="s">
        <v>18</v>
      </c>
      <c r="L2308" t="s">
        <v>32</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2409</v>
      </c>
      <c r="B2309" t="s">
        <v>29</v>
      </c>
      <c r="C2309">
        <v>2</v>
      </c>
      <c r="D2309">
        <v>34.200000000000003</v>
      </c>
      <c r="E2309">
        <v>68.400000000000006</v>
      </c>
      <c r="F2309" s="1">
        <v>45742</v>
      </c>
      <c r="G2309" s="1">
        <v>45752</v>
      </c>
      <c r="I2309" t="s">
        <v>34</v>
      </c>
      <c r="J2309">
        <v>4</v>
      </c>
      <c r="K2309" t="s">
        <v>18</v>
      </c>
      <c r="L2309" t="s">
        <v>32</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2410</v>
      </c>
      <c r="B2310" t="s">
        <v>36</v>
      </c>
      <c r="C2310">
        <v>2</v>
      </c>
      <c r="D2310">
        <v>107.9</v>
      </c>
      <c r="E2310">
        <v>215.8</v>
      </c>
      <c r="F2310" s="1">
        <v>45742</v>
      </c>
      <c r="G2310" s="1">
        <v>45742</v>
      </c>
      <c r="H2310" t="s">
        <v>22</v>
      </c>
      <c r="I2310" t="s">
        <v>34</v>
      </c>
      <c r="J2310">
        <v>2</v>
      </c>
      <c r="K2310" t="s">
        <v>18</v>
      </c>
      <c r="L2310" t="s">
        <v>32</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2411</v>
      </c>
      <c r="B2311" t="s">
        <v>16</v>
      </c>
      <c r="C2311">
        <v>3</v>
      </c>
      <c r="D2311">
        <v>17.5</v>
      </c>
      <c r="E2311">
        <v>52.5</v>
      </c>
      <c r="F2311" s="1">
        <v>45742</v>
      </c>
      <c r="G2311" s="1">
        <v>45744</v>
      </c>
      <c r="H2311" t="s">
        <v>22</v>
      </c>
      <c r="I2311" t="s">
        <v>69</v>
      </c>
      <c r="J2311">
        <v>4</v>
      </c>
      <c r="K2311" t="s">
        <v>18</v>
      </c>
      <c r="L2311" t="s">
        <v>32</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2412</v>
      </c>
      <c r="B2312" t="s">
        <v>75</v>
      </c>
      <c r="C2312">
        <v>15</v>
      </c>
      <c r="D2312">
        <v>44.7</v>
      </c>
      <c r="E2312">
        <v>670.5</v>
      </c>
      <c r="F2312" s="1">
        <v>45742</v>
      </c>
      <c r="G2312" s="1">
        <v>45743</v>
      </c>
      <c r="H2312" t="s">
        <v>22</v>
      </c>
      <c r="I2312" t="s">
        <v>17</v>
      </c>
      <c r="J2312">
        <v>3</v>
      </c>
      <c r="K2312" t="s">
        <v>18</v>
      </c>
      <c r="L2312" t="s">
        <v>32</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2413</v>
      </c>
      <c r="B2313" t="s">
        <v>68</v>
      </c>
      <c r="C2313">
        <v>6</v>
      </c>
      <c r="D2313">
        <v>92.7</v>
      </c>
      <c r="E2313">
        <v>556.20000000000005</v>
      </c>
      <c r="F2313" s="1">
        <v>45742</v>
      </c>
      <c r="G2313" s="1">
        <v>45744</v>
      </c>
      <c r="H2313" t="s">
        <v>26</v>
      </c>
      <c r="I2313" t="s">
        <v>39</v>
      </c>
      <c r="J2313">
        <v>3</v>
      </c>
      <c r="K2313" t="s">
        <v>18</v>
      </c>
      <c r="L2313" t="s">
        <v>32</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2414</v>
      </c>
      <c r="B2314" t="s">
        <v>41</v>
      </c>
      <c r="C2314">
        <v>3</v>
      </c>
      <c r="D2314">
        <v>48.8</v>
      </c>
      <c r="E2314">
        <v>146.39999999999998</v>
      </c>
      <c r="F2314" s="1">
        <v>45742</v>
      </c>
      <c r="G2314" s="1">
        <v>45744</v>
      </c>
      <c r="H2314" t="s">
        <v>26</v>
      </c>
      <c r="I2314" t="s">
        <v>39</v>
      </c>
      <c r="J2314">
        <v>4</v>
      </c>
      <c r="K2314" t="s">
        <v>18</v>
      </c>
      <c r="L2314" t="s">
        <v>32</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2415</v>
      </c>
      <c r="B2315" t="s">
        <v>31</v>
      </c>
      <c r="C2315">
        <v>16</v>
      </c>
      <c r="D2315">
        <v>21.3</v>
      </c>
      <c r="E2315">
        <v>340.8</v>
      </c>
      <c r="F2315" s="1">
        <v>45742</v>
      </c>
      <c r="G2315" s="1">
        <v>45746</v>
      </c>
      <c r="H2315" t="s">
        <v>26</v>
      </c>
      <c r="I2315" t="s">
        <v>50</v>
      </c>
      <c r="J2315">
        <v>1</v>
      </c>
      <c r="K2315" t="s">
        <v>18</v>
      </c>
      <c r="L2315" t="s">
        <v>32</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2416</v>
      </c>
      <c r="B2316" t="s">
        <v>127</v>
      </c>
      <c r="C2316">
        <v>1</v>
      </c>
      <c r="D2316">
        <v>52.5</v>
      </c>
      <c r="E2316">
        <v>52.5</v>
      </c>
      <c r="F2316" s="1">
        <v>45742</v>
      </c>
      <c r="G2316" s="1">
        <v>45743</v>
      </c>
      <c r="H2316" t="s">
        <v>26</v>
      </c>
      <c r="I2316" t="s">
        <v>17</v>
      </c>
      <c r="J2316">
        <v>4</v>
      </c>
      <c r="K2316" t="s">
        <v>18</v>
      </c>
      <c r="L2316" t="s">
        <v>32</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2417</v>
      </c>
      <c r="B2317" t="s">
        <v>21</v>
      </c>
      <c r="C2317">
        <v>2</v>
      </c>
      <c r="D2317">
        <v>92.4</v>
      </c>
      <c r="E2317">
        <v>184.8</v>
      </c>
      <c r="F2317" s="1">
        <v>45742</v>
      </c>
      <c r="G2317" s="1">
        <v>45748</v>
      </c>
      <c r="H2317" t="s">
        <v>26</v>
      </c>
      <c r="I2317" t="s">
        <v>17</v>
      </c>
      <c r="J2317">
        <v>5</v>
      </c>
      <c r="K2317" t="s">
        <v>18</v>
      </c>
      <c r="L2317" t="s">
        <v>32</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2418</v>
      </c>
      <c r="B2318" t="s">
        <v>31</v>
      </c>
      <c r="C2318">
        <v>11</v>
      </c>
      <c r="D2318">
        <v>58.3</v>
      </c>
      <c r="E2318">
        <v>641.29999999999995</v>
      </c>
      <c r="F2318" s="1">
        <v>45742</v>
      </c>
      <c r="G2318" s="1">
        <v>45744</v>
      </c>
      <c r="H2318" t="s">
        <v>22</v>
      </c>
      <c r="I2318" t="s">
        <v>34</v>
      </c>
      <c r="J2318">
        <v>5</v>
      </c>
      <c r="K2318" t="s">
        <v>18</v>
      </c>
      <c r="L2318" t="s">
        <v>32</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2419</v>
      </c>
      <c r="B2319" t="s">
        <v>38</v>
      </c>
      <c r="C2319">
        <v>23</v>
      </c>
      <c r="D2319">
        <v>152.6</v>
      </c>
      <c r="E2319">
        <v>3509.7999999999997</v>
      </c>
      <c r="F2319" s="1">
        <v>45743</v>
      </c>
      <c r="G2319" s="1">
        <v>45745</v>
      </c>
      <c r="I2319" t="s">
        <v>17</v>
      </c>
      <c r="J2319">
        <v>4</v>
      </c>
      <c r="K2319" t="s">
        <v>18</v>
      </c>
      <c r="L2319" t="s">
        <v>32</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2420</v>
      </c>
      <c r="B2320" t="s">
        <v>43</v>
      </c>
      <c r="C2320">
        <v>2</v>
      </c>
      <c r="D2320">
        <v>26</v>
      </c>
      <c r="E2320">
        <v>52</v>
      </c>
      <c r="F2320" s="1">
        <v>45743</v>
      </c>
      <c r="G2320" s="1">
        <v>45743</v>
      </c>
      <c r="I2320" t="s">
        <v>17</v>
      </c>
      <c r="J2320">
        <v>3</v>
      </c>
      <c r="K2320" t="s">
        <v>18</v>
      </c>
      <c r="L2320" t="s">
        <v>32</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2421</v>
      </c>
      <c r="B2321" t="s">
        <v>21</v>
      </c>
      <c r="C2321">
        <v>4</v>
      </c>
      <c r="D2321">
        <v>33.1</v>
      </c>
      <c r="E2321">
        <v>132.4</v>
      </c>
      <c r="F2321" s="1">
        <v>45743</v>
      </c>
      <c r="G2321" s="1">
        <v>45743</v>
      </c>
      <c r="H2321" t="s">
        <v>22</v>
      </c>
      <c r="I2321" t="s">
        <v>39</v>
      </c>
      <c r="J2321">
        <v>2</v>
      </c>
      <c r="K2321" t="s">
        <v>18</v>
      </c>
      <c r="L2321" t="s">
        <v>51</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2422</v>
      </c>
      <c r="B2322" t="s">
        <v>145</v>
      </c>
      <c r="C2322">
        <v>1</v>
      </c>
      <c r="D2322">
        <v>51.4</v>
      </c>
      <c r="E2322">
        <v>51.4</v>
      </c>
      <c r="F2322" s="1">
        <v>45743</v>
      </c>
      <c r="G2322" s="1">
        <v>45745</v>
      </c>
      <c r="H2322" t="s">
        <v>26</v>
      </c>
      <c r="I2322" t="s">
        <v>34</v>
      </c>
      <c r="J2322">
        <v>3</v>
      </c>
      <c r="K2322" t="s">
        <v>18</v>
      </c>
      <c r="L2322" t="s">
        <v>51</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2423</v>
      </c>
      <c r="B2323" t="s">
        <v>43</v>
      </c>
      <c r="C2323">
        <v>2</v>
      </c>
      <c r="D2323">
        <v>30.2</v>
      </c>
      <c r="E2323">
        <v>60.4</v>
      </c>
      <c r="F2323" s="1">
        <v>45743</v>
      </c>
      <c r="G2323" s="1">
        <v>45744</v>
      </c>
      <c r="H2323" t="s">
        <v>26</v>
      </c>
      <c r="I2323" t="s">
        <v>39</v>
      </c>
      <c r="J2323">
        <v>5</v>
      </c>
      <c r="K2323" t="s">
        <v>18</v>
      </c>
      <c r="L2323" t="s">
        <v>54</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2424</v>
      </c>
      <c r="B2324" t="s">
        <v>25</v>
      </c>
      <c r="C2324">
        <v>6</v>
      </c>
      <c r="D2324">
        <v>97</v>
      </c>
      <c r="E2324">
        <v>582</v>
      </c>
      <c r="F2324" s="1">
        <v>45743</v>
      </c>
      <c r="G2324" s="1">
        <v>45747</v>
      </c>
      <c r="H2324" t="s">
        <v>26</v>
      </c>
      <c r="I2324" t="s">
        <v>17</v>
      </c>
      <c r="J2324">
        <v>5</v>
      </c>
      <c r="K2324" t="s">
        <v>18</v>
      </c>
      <c r="L2324" t="s">
        <v>58</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2425</v>
      </c>
      <c r="B2325" t="s">
        <v>25</v>
      </c>
      <c r="C2325">
        <v>1</v>
      </c>
      <c r="D2325">
        <v>76.900000000000006</v>
      </c>
      <c r="E2325">
        <v>76.900000000000006</v>
      </c>
      <c r="F2325" s="1">
        <v>45743</v>
      </c>
      <c r="G2325" s="1">
        <v>45744</v>
      </c>
      <c r="H2325" t="s">
        <v>22</v>
      </c>
      <c r="I2325" t="s">
        <v>34</v>
      </c>
      <c r="J2325">
        <v>5</v>
      </c>
      <c r="K2325" t="s">
        <v>18</v>
      </c>
      <c r="L2325" t="s">
        <v>61</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2426</v>
      </c>
      <c r="B2326" t="s">
        <v>41</v>
      </c>
      <c r="C2326">
        <v>6</v>
      </c>
      <c r="D2326">
        <v>36.1</v>
      </c>
      <c r="E2326">
        <v>216.60000000000002</v>
      </c>
      <c r="F2326" s="1">
        <v>45743</v>
      </c>
      <c r="G2326" s="1">
        <v>45747</v>
      </c>
      <c r="H2326" t="s">
        <v>26</v>
      </c>
      <c r="I2326" t="s">
        <v>17</v>
      </c>
      <c r="J2326">
        <v>4</v>
      </c>
      <c r="K2326" t="s">
        <v>18</v>
      </c>
      <c r="L2326" t="s">
        <v>61</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2427</v>
      </c>
      <c r="B2327" t="s">
        <v>21</v>
      </c>
      <c r="C2327">
        <v>7</v>
      </c>
      <c r="D2327">
        <v>34.4</v>
      </c>
      <c r="E2327">
        <v>240.79999999999998</v>
      </c>
      <c r="F2327" s="1">
        <v>45743</v>
      </c>
      <c r="G2327" s="1">
        <v>45743</v>
      </c>
      <c r="H2327" t="s">
        <v>26</v>
      </c>
      <c r="I2327" t="s">
        <v>39</v>
      </c>
      <c r="J2327">
        <v>3</v>
      </c>
      <c r="K2327" t="s">
        <v>18</v>
      </c>
      <c r="L2327" t="s">
        <v>76</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2428</v>
      </c>
      <c r="B2328" t="s">
        <v>21</v>
      </c>
      <c r="C2328">
        <v>28</v>
      </c>
      <c r="D2328">
        <v>53.4</v>
      </c>
      <c r="E2328">
        <v>1495.2</v>
      </c>
      <c r="F2328" s="1">
        <v>45743</v>
      </c>
      <c r="G2328" s="1">
        <v>45745</v>
      </c>
      <c r="H2328" t="s">
        <v>26</v>
      </c>
      <c r="I2328" t="s">
        <v>34</v>
      </c>
      <c r="J2328">
        <v>4</v>
      </c>
      <c r="K2328" t="s">
        <v>18</v>
      </c>
      <c r="L2328" t="s">
        <v>107</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2429</v>
      </c>
      <c r="B2329" t="s">
        <v>25</v>
      </c>
      <c r="C2329">
        <v>1</v>
      </c>
      <c r="D2329">
        <v>77.599999999999994</v>
      </c>
      <c r="E2329">
        <v>77.599999999999994</v>
      </c>
      <c r="F2329" s="1">
        <v>45743</v>
      </c>
      <c r="G2329" s="1">
        <v>45744</v>
      </c>
      <c r="H2329" t="s">
        <v>26</v>
      </c>
      <c r="I2329" t="s">
        <v>17</v>
      </c>
      <c r="J2329">
        <v>3</v>
      </c>
      <c r="K2329" t="s">
        <v>18</v>
      </c>
      <c r="L2329" t="s">
        <v>109</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2430</v>
      </c>
      <c r="B2330" t="s">
        <v>21</v>
      </c>
      <c r="C2330">
        <v>3</v>
      </c>
      <c r="D2330">
        <v>71.7</v>
      </c>
      <c r="E2330">
        <v>215.10000000000002</v>
      </c>
      <c r="F2330" s="1">
        <v>45743</v>
      </c>
      <c r="G2330" s="1">
        <v>45746</v>
      </c>
      <c r="H2330" t="s">
        <v>26</v>
      </c>
      <c r="I2330" t="s">
        <v>34</v>
      </c>
      <c r="J2330">
        <v>4</v>
      </c>
      <c r="K2330" t="s">
        <v>18</v>
      </c>
      <c r="L2330" t="s">
        <v>109</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2431</v>
      </c>
      <c r="B2331" t="s">
        <v>29</v>
      </c>
      <c r="C2331">
        <v>3</v>
      </c>
      <c r="D2331">
        <v>80.599999999999994</v>
      </c>
      <c r="E2331">
        <v>241.79999999999998</v>
      </c>
      <c r="F2331" s="1">
        <v>45743</v>
      </c>
      <c r="G2331" s="1">
        <v>45744</v>
      </c>
      <c r="H2331" t="s">
        <v>22</v>
      </c>
      <c r="I2331" t="s">
        <v>69</v>
      </c>
      <c r="J2331">
        <v>3</v>
      </c>
      <c r="K2331" t="s">
        <v>18</v>
      </c>
      <c r="L2331" t="s">
        <v>109</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2432</v>
      </c>
      <c r="B2332" t="s">
        <v>21</v>
      </c>
      <c r="C2332">
        <v>15</v>
      </c>
      <c r="D2332">
        <v>70</v>
      </c>
      <c r="E2332">
        <v>1050</v>
      </c>
      <c r="F2332" s="1">
        <v>45743</v>
      </c>
      <c r="G2332" s="1">
        <v>45745</v>
      </c>
      <c r="H2332" t="s">
        <v>22</v>
      </c>
      <c r="I2332" t="s">
        <v>17</v>
      </c>
      <c r="J2332">
        <v>4</v>
      </c>
      <c r="K2332" t="s">
        <v>18</v>
      </c>
      <c r="L2332" t="s">
        <v>112</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2433</v>
      </c>
      <c r="B2333" t="s">
        <v>31</v>
      </c>
      <c r="C2333">
        <v>6</v>
      </c>
      <c r="D2333">
        <v>27.3</v>
      </c>
      <c r="E2333">
        <v>163.80000000000001</v>
      </c>
      <c r="F2333" s="1">
        <v>45743</v>
      </c>
      <c r="G2333" s="1">
        <v>45745</v>
      </c>
      <c r="H2333" t="s">
        <v>26</v>
      </c>
      <c r="I2333" t="s">
        <v>34</v>
      </c>
      <c r="J2333">
        <v>3</v>
      </c>
      <c r="K2333" t="s">
        <v>18</v>
      </c>
      <c r="L2333" t="s">
        <v>27</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2434</v>
      </c>
      <c r="B2334" t="s">
        <v>43</v>
      </c>
      <c r="C2334">
        <v>14</v>
      </c>
      <c r="D2334">
        <v>37.6</v>
      </c>
      <c r="E2334">
        <v>526.4</v>
      </c>
      <c r="F2334" s="1">
        <v>45743</v>
      </c>
      <c r="G2334" s="1">
        <v>45745</v>
      </c>
      <c r="H2334" t="s">
        <v>22</v>
      </c>
      <c r="I2334" t="s">
        <v>34</v>
      </c>
      <c r="J2334">
        <v>4</v>
      </c>
      <c r="K2334" t="s">
        <v>18</v>
      </c>
      <c r="L2334" t="s">
        <v>32</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2435</v>
      </c>
      <c r="B2335" t="s">
        <v>36</v>
      </c>
      <c r="C2335">
        <v>3</v>
      </c>
      <c r="D2335">
        <v>36.6</v>
      </c>
      <c r="E2335">
        <v>109.80000000000001</v>
      </c>
      <c r="F2335" s="1">
        <v>45743</v>
      </c>
      <c r="G2335" s="1">
        <v>45745</v>
      </c>
      <c r="H2335" t="s">
        <v>26</v>
      </c>
      <c r="I2335" t="s">
        <v>69</v>
      </c>
      <c r="J2335">
        <v>4</v>
      </c>
      <c r="K2335" t="s">
        <v>18</v>
      </c>
      <c r="L2335" t="s">
        <v>32</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2436</v>
      </c>
      <c r="B2336" t="s">
        <v>75</v>
      </c>
      <c r="C2336">
        <v>1</v>
      </c>
      <c r="D2336">
        <v>55.2</v>
      </c>
      <c r="E2336">
        <v>55.2</v>
      </c>
      <c r="F2336" s="1">
        <v>45743</v>
      </c>
      <c r="G2336" s="1">
        <v>45745</v>
      </c>
      <c r="H2336" t="s">
        <v>22</v>
      </c>
      <c r="I2336" t="s">
        <v>50</v>
      </c>
      <c r="J2336">
        <v>4</v>
      </c>
      <c r="K2336" t="s">
        <v>18</v>
      </c>
      <c r="L2336" t="s">
        <v>32</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2437</v>
      </c>
      <c r="B2337" t="s">
        <v>38</v>
      </c>
      <c r="C2337">
        <v>5</v>
      </c>
      <c r="D2337">
        <v>59.9</v>
      </c>
      <c r="E2337">
        <v>299.5</v>
      </c>
      <c r="F2337" s="1">
        <v>45743</v>
      </c>
      <c r="G2337" s="1">
        <v>45745</v>
      </c>
      <c r="H2337" t="s">
        <v>22</v>
      </c>
      <c r="I2337" t="s">
        <v>17</v>
      </c>
      <c r="J2337">
        <v>4</v>
      </c>
      <c r="K2337" t="s">
        <v>18</v>
      </c>
      <c r="L2337" t="s">
        <v>32</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2438</v>
      </c>
      <c r="B2338" t="s">
        <v>38</v>
      </c>
      <c r="C2338">
        <v>1</v>
      </c>
      <c r="D2338">
        <v>44</v>
      </c>
      <c r="E2338">
        <v>44</v>
      </c>
      <c r="F2338" s="1">
        <v>45743</v>
      </c>
      <c r="G2338" s="1">
        <v>45744</v>
      </c>
      <c r="H2338" t="s">
        <v>26</v>
      </c>
      <c r="I2338" t="s">
        <v>39</v>
      </c>
      <c r="J2338">
        <v>5</v>
      </c>
      <c r="K2338" t="s">
        <v>18</v>
      </c>
      <c r="L2338" t="s">
        <v>32</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2439</v>
      </c>
      <c r="B2339" t="s">
        <v>45</v>
      </c>
      <c r="C2339">
        <v>2</v>
      </c>
      <c r="D2339">
        <v>68.7</v>
      </c>
      <c r="E2339">
        <v>137.4</v>
      </c>
      <c r="F2339" s="1">
        <v>45743</v>
      </c>
      <c r="G2339" s="1">
        <v>45743</v>
      </c>
      <c r="H2339" t="s">
        <v>22</v>
      </c>
      <c r="I2339" t="s">
        <v>17</v>
      </c>
      <c r="J2339">
        <v>4</v>
      </c>
      <c r="K2339" t="s">
        <v>18</v>
      </c>
      <c r="L2339" t="s">
        <v>32</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2440</v>
      </c>
      <c r="B2340" t="s">
        <v>36</v>
      </c>
      <c r="C2340">
        <v>2</v>
      </c>
      <c r="D2340">
        <v>61.6</v>
      </c>
      <c r="E2340">
        <v>123.2</v>
      </c>
      <c r="F2340" s="1">
        <v>45743</v>
      </c>
      <c r="G2340" s="1">
        <v>45747</v>
      </c>
      <c r="H2340" t="s">
        <v>22</v>
      </c>
      <c r="I2340" t="s">
        <v>50</v>
      </c>
      <c r="J2340">
        <v>3</v>
      </c>
      <c r="K2340" t="s">
        <v>18</v>
      </c>
      <c r="L2340" t="s">
        <v>32</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2441</v>
      </c>
      <c r="B2341" t="s">
        <v>41</v>
      </c>
      <c r="C2341">
        <v>7</v>
      </c>
      <c r="D2341">
        <v>51.8</v>
      </c>
      <c r="E2341">
        <v>362.59999999999997</v>
      </c>
      <c r="F2341" s="1">
        <v>45743</v>
      </c>
      <c r="G2341" s="1">
        <v>45744</v>
      </c>
      <c r="H2341" t="s">
        <v>22</v>
      </c>
      <c r="I2341" t="s">
        <v>17</v>
      </c>
      <c r="J2341">
        <v>4</v>
      </c>
      <c r="K2341" t="s">
        <v>18</v>
      </c>
      <c r="L2341" t="s">
        <v>32</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2442</v>
      </c>
      <c r="B2342" t="s">
        <v>43</v>
      </c>
      <c r="C2342">
        <v>10</v>
      </c>
      <c r="D2342">
        <v>46.2</v>
      </c>
      <c r="E2342">
        <v>462</v>
      </c>
      <c r="F2342" s="1">
        <v>45743</v>
      </c>
      <c r="G2342" s="1">
        <v>45745</v>
      </c>
      <c r="H2342" t="s">
        <v>22</v>
      </c>
      <c r="I2342" t="s">
        <v>34</v>
      </c>
      <c r="J2342">
        <v>5</v>
      </c>
      <c r="K2342" t="s">
        <v>18</v>
      </c>
      <c r="L2342" t="s">
        <v>32</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2443</v>
      </c>
      <c r="B2343" t="s">
        <v>16</v>
      </c>
      <c r="C2343">
        <v>2</v>
      </c>
      <c r="D2343">
        <v>19.399999999999999</v>
      </c>
      <c r="E2343">
        <v>38.799999999999997</v>
      </c>
      <c r="F2343" s="1">
        <v>45743</v>
      </c>
      <c r="G2343" s="1">
        <v>45745</v>
      </c>
      <c r="H2343" t="s">
        <v>26</v>
      </c>
      <c r="I2343" t="s">
        <v>34</v>
      </c>
      <c r="J2343">
        <v>5</v>
      </c>
      <c r="K2343" t="s">
        <v>18</v>
      </c>
      <c r="L2343" t="s">
        <v>54</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2444</v>
      </c>
      <c r="B2344" t="s">
        <v>66</v>
      </c>
      <c r="C2344">
        <v>3</v>
      </c>
      <c r="D2344">
        <v>52.1</v>
      </c>
      <c r="E2344">
        <v>156.30000000000001</v>
      </c>
      <c r="F2344" s="1">
        <v>45743</v>
      </c>
      <c r="G2344" s="1">
        <v>45746</v>
      </c>
      <c r="H2344" t="s">
        <v>22</v>
      </c>
      <c r="I2344" t="s">
        <v>50</v>
      </c>
      <c r="J2344">
        <v>1</v>
      </c>
      <c r="K2344" t="s">
        <v>18</v>
      </c>
      <c r="L2344" t="s">
        <v>54</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2445</v>
      </c>
      <c r="B2345" t="s">
        <v>38</v>
      </c>
      <c r="C2345">
        <v>1</v>
      </c>
      <c r="D2345">
        <v>74.900000000000006</v>
      </c>
      <c r="E2345">
        <v>74.900000000000006</v>
      </c>
      <c r="F2345" s="1">
        <v>45743</v>
      </c>
      <c r="G2345" s="1">
        <v>45745</v>
      </c>
      <c r="H2345" t="s">
        <v>88</v>
      </c>
      <c r="I2345" t="s">
        <v>17</v>
      </c>
      <c r="J2345">
        <v>4</v>
      </c>
      <c r="K2345" t="s">
        <v>18</v>
      </c>
      <c r="L2345" t="s">
        <v>58</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2446</v>
      </c>
      <c r="B2346" t="s">
        <v>45</v>
      </c>
      <c r="C2346">
        <v>7</v>
      </c>
      <c r="D2346">
        <v>49.6</v>
      </c>
      <c r="E2346">
        <v>347.2</v>
      </c>
      <c r="F2346" s="1">
        <v>45743</v>
      </c>
      <c r="G2346" s="1">
        <v>45746</v>
      </c>
      <c r="H2346" t="s">
        <v>26</v>
      </c>
      <c r="I2346" t="s">
        <v>69</v>
      </c>
      <c r="J2346">
        <v>4</v>
      </c>
      <c r="K2346" t="s">
        <v>18</v>
      </c>
      <c r="L2346" t="s">
        <v>61</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2447</v>
      </c>
      <c r="B2347" t="s">
        <v>127</v>
      </c>
      <c r="C2347">
        <v>4</v>
      </c>
      <c r="D2347">
        <v>82.8</v>
      </c>
      <c r="E2347">
        <v>331.2</v>
      </c>
      <c r="F2347" s="1">
        <v>45744</v>
      </c>
      <c r="G2347" s="1">
        <v>45747</v>
      </c>
      <c r="H2347" t="s">
        <v>26</v>
      </c>
      <c r="I2347" t="s">
        <v>69</v>
      </c>
      <c r="J2347">
        <v>4</v>
      </c>
      <c r="K2347" t="s">
        <v>18</v>
      </c>
      <c r="L2347" t="s">
        <v>61</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2448</v>
      </c>
      <c r="B2348" t="s">
        <v>25</v>
      </c>
      <c r="C2348">
        <v>1</v>
      </c>
      <c r="D2348">
        <v>97.7</v>
      </c>
      <c r="E2348">
        <v>97.7</v>
      </c>
      <c r="F2348" s="1">
        <v>45744</v>
      </c>
      <c r="G2348" s="1">
        <v>45745</v>
      </c>
      <c r="H2348" t="s">
        <v>26</v>
      </c>
      <c r="I2348" t="s">
        <v>34</v>
      </c>
      <c r="J2348">
        <v>4</v>
      </c>
      <c r="K2348" t="s">
        <v>18</v>
      </c>
      <c r="L2348" t="s">
        <v>61</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2449</v>
      </c>
      <c r="B2349" t="s">
        <v>38</v>
      </c>
      <c r="C2349">
        <v>5</v>
      </c>
      <c r="D2349">
        <v>83.6</v>
      </c>
      <c r="E2349">
        <v>418</v>
      </c>
      <c r="F2349" s="1">
        <v>45744</v>
      </c>
      <c r="G2349" s="1">
        <v>45745</v>
      </c>
      <c r="H2349" t="s">
        <v>26</v>
      </c>
      <c r="I2349" t="s">
        <v>69</v>
      </c>
      <c r="J2349">
        <v>4</v>
      </c>
      <c r="K2349" t="s">
        <v>18</v>
      </c>
      <c r="L2349" t="s">
        <v>61</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2450</v>
      </c>
      <c r="B2350" t="s">
        <v>43</v>
      </c>
      <c r="C2350">
        <v>5</v>
      </c>
      <c r="D2350">
        <v>23.5</v>
      </c>
      <c r="E2350">
        <v>117.5</v>
      </c>
      <c r="F2350" s="1">
        <v>45744</v>
      </c>
      <c r="G2350" s="1">
        <v>45748</v>
      </c>
      <c r="H2350" t="s">
        <v>88</v>
      </c>
      <c r="I2350" t="s">
        <v>17</v>
      </c>
      <c r="J2350">
        <v>4</v>
      </c>
      <c r="K2350" t="s">
        <v>18</v>
      </c>
      <c r="L2350" t="s">
        <v>61</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2451</v>
      </c>
      <c r="B2351" t="s">
        <v>45</v>
      </c>
      <c r="C2351">
        <v>3</v>
      </c>
      <c r="D2351">
        <v>44.6</v>
      </c>
      <c r="E2351">
        <v>133.80000000000001</v>
      </c>
      <c r="F2351" s="1">
        <v>45744</v>
      </c>
      <c r="G2351" s="1">
        <v>45747</v>
      </c>
      <c r="H2351" t="s">
        <v>26</v>
      </c>
      <c r="I2351" t="s">
        <v>69</v>
      </c>
      <c r="J2351">
        <v>3</v>
      </c>
      <c r="K2351" t="s">
        <v>18</v>
      </c>
      <c r="L2351" t="s">
        <v>200</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2452</v>
      </c>
      <c r="B2352" t="s">
        <v>16</v>
      </c>
      <c r="C2352">
        <v>3</v>
      </c>
      <c r="D2352">
        <v>20.100000000000001</v>
      </c>
      <c r="E2352">
        <v>60.300000000000004</v>
      </c>
      <c r="F2352" s="1">
        <v>45744</v>
      </c>
      <c r="G2352" s="1">
        <v>45746</v>
      </c>
      <c r="H2352" t="s">
        <v>26</v>
      </c>
      <c r="I2352" t="s">
        <v>50</v>
      </c>
      <c r="J2352">
        <v>2</v>
      </c>
      <c r="K2352" t="s">
        <v>18</v>
      </c>
      <c r="L2352" t="s">
        <v>76</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2453</v>
      </c>
      <c r="B2353" t="s">
        <v>25</v>
      </c>
      <c r="C2353">
        <v>5</v>
      </c>
      <c r="D2353">
        <v>153.6</v>
      </c>
      <c r="E2353">
        <v>768</v>
      </c>
      <c r="F2353" s="1">
        <v>45744</v>
      </c>
      <c r="G2353" s="1">
        <v>45745</v>
      </c>
      <c r="H2353" t="s">
        <v>26</v>
      </c>
      <c r="I2353" t="s">
        <v>34</v>
      </c>
      <c r="J2353">
        <v>5</v>
      </c>
      <c r="K2353" t="s">
        <v>18</v>
      </c>
      <c r="L2353" t="s">
        <v>1115</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2454</v>
      </c>
      <c r="B2354" t="s">
        <v>21</v>
      </c>
      <c r="C2354">
        <v>2</v>
      </c>
      <c r="D2354">
        <v>71.8</v>
      </c>
      <c r="E2354">
        <v>143.6</v>
      </c>
      <c r="F2354" s="1">
        <v>45744</v>
      </c>
      <c r="G2354" s="1">
        <v>45748</v>
      </c>
      <c r="H2354" t="s">
        <v>26</v>
      </c>
      <c r="I2354" t="s">
        <v>34</v>
      </c>
      <c r="J2354">
        <v>4</v>
      </c>
      <c r="K2354" t="s">
        <v>18</v>
      </c>
      <c r="L2354" t="s">
        <v>23</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2455</v>
      </c>
      <c r="B2355" t="s">
        <v>53</v>
      </c>
      <c r="C2355">
        <v>1</v>
      </c>
      <c r="D2355">
        <v>64.7</v>
      </c>
      <c r="E2355">
        <v>64.7</v>
      </c>
      <c r="F2355" s="1">
        <v>45744</v>
      </c>
      <c r="G2355" s="1">
        <v>45746</v>
      </c>
      <c r="I2355" t="s">
        <v>17</v>
      </c>
      <c r="J2355">
        <v>3</v>
      </c>
      <c r="K2355" t="s">
        <v>18</v>
      </c>
      <c r="L2355" t="s">
        <v>23</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2456</v>
      </c>
      <c r="B2356" t="s">
        <v>45</v>
      </c>
      <c r="C2356">
        <v>8</v>
      </c>
      <c r="D2356">
        <v>60.4</v>
      </c>
      <c r="E2356">
        <v>483.2</v>
      </c>
      <c r="F2356" s="1">
        <v>45744</v>
      </c>
      <c r="G2356" s="1">
        <v>45746</v>
      </c>
      <c r="H2356" t="s">
        <v>26</v>
      </c>
      <c r="I2356" t="s">
        <v>50</v>
      </c>
      <c r="J2356">
        <v>5</v>
      </c>
      <c r="K2356" t="s">
        <v>18</v>
      </c>
      <c r="L2356" t="s">
        <v>27</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2457</v>
      </c>
      <c r="B2357" t="s">
        <v>38</v>
      </c>
      <c r="C2357">
        <v>4</v>
      </c>
      <c r="D2357">
        <v>86</v>
      </c>
      <c r="E2357">
        <v>344</v>
      </c>
      <c r="F2357" s="1">
        <v>45744</v>
      </c>
      <c r="G2357" s="1">
        <v>45747</v>
      </c>
      <c r="H2357" t="s">
        <v>26</v>
      </c>
      <c r="I2357" t="s">
        <v>39</v>
      </c>
      <c r="J2357">
        <v>5</v>
      </c>
      <c r="K2357" t="s">
        <v>18</v>
      </c>
      <c r="L2357" t="s">
        <v>146</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2458</v>
      </c>
      <c r="B2358" t="s">
        <v>68</v>
      </c>
      <c r="C2358">
        <v>2</v>
      </c>
      <c r="D2358">
        <v>42.1</v>
      </c>
      <c r="E2358">
        <v>84.2</v>
      </c>
      <c r="F2358" s="1">
        <v>45744</v>
      </c>
      <c r="G2358" s="1">
        <v>45745</v>
      </c>
      <c r="H2358" t="s">
        <v>26</v>
      </c>
      <c r="I2358" t="s">
        <v>69</v>
      </c>
      <c r="J2358">
        <v>3</v>
      </c>
      <c r="K2358" t="s">
        <v>18</v>
      </c>
      <c r="L2358" t="s">
        <v>333</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2459</v>
      </c>
      <c r="B2359" t="s">
        <v>127</v>
      </c>
      <c r="C2359">
        <v>9</v>
      </c>
      <c r="D2359">
        <v>51.1</v>
      </c>
      <c r="E2359">
        <v>459.90000000000003</v>
      </c>
      <c r="F2359" s="1">
        <v>45744</v>
      </c>
      <c r="G2359" s="1">
        <v>45745</v>
      </c>
      <c r="H2359" t="s">
        <v>22</v>
      </c>
      <c r="I2359" t="s">
        <v>39</v>
      </c>
      <c r="J2359">
        <v>3</v>
      </c>
      <c r="K2359" t="s">
        <v>18</v>
      </c>
      <c r="L2359" t="s">
        <v>32</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2460</v>
      </c>
      <c r="B2360" t="s">
        <v>45</v>
      </c>
      <c r="C2360">
        <v>4</v>
      </c>
      <c r="D2360">
        <v>73.8</v>
      </c>
      <c r="E2360">
        <v>295.2</v>
      </c>
      <c r="F2360" s="1">
        <v>45744</v>
      </c>
      <c r="G2360" s="1">
        <v>45745</v>
      </c>
      <c r="H2360" t="s">
        <v>22</v>
      </c>
      <c r="I2360" t="s">
        <v>69</v>
      </c>
      <c r="J2360">
        <v>4</v>
      </c>
      <c r="K2360" t="s">
        <v>18</v>
      </c>
      <c r="L2360" t="s">
        <v>32</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2461</v>
      </c>
      <c r="B2361" t="s">
        <v>43</v>
      </c>
      <c r="C2361">
        <v>5</v>
      </c>
      <c r="D2361">
        <v>27</v>
      </c>
      <c r="E2361">
        <v>135</v>
      </c>
      <c r="F2361" s="1">
        <v>45744</v>
      </c>
      <c r="G2361" s="1">
        <v>45747</v>
      </c>
      <c r="H2361" t="s">
        <v>26</v>
      </c>
      <c r="I2361" t="s">
        <v>39</v>
      </c>
      <c r="J2361">
        <v>5</v>
      </c>
      <c r="K2361" t="s">
        <v>18</v>
      </c>
      <c r="L2361" t="s">
        <v>32</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2462</v>
      </c>
      <c r="B2362" t="s">
        <v>43</v>
      </c>
      <c r="C2362">
        <v>6</v>
      </c>
      <c r="D2362">
        <v>60.1</v>
      </c>
      <c r="E2362">
        <v>360.6</v>
      </c>
      <c r="F2362" s="1">
        <v>45744</v>
      </c>
      <c r="G2362" s="1">
        <v>45745</v>
      </c>
      <c r="H2362" t="s">
        <v>22</v>
      </c>
      <c r="I2362" t="s">
        <v>50</v>
      </c>
      <c r="J2362">
        <v>4</v>
      </c>
      <c r="K2362" t="s">
        <v>18</v>
      </c>
      <c r="L2362" t="s">
        <v>32</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2463</v>
      </c>
      <c r="B2363" t="s">
        <v>25</v>
      </c>
      <c r="C2363">
        <v>7</v>
      </c>
      <c r="D2363">
        <v>94.1</v>
      </c>
      <c r="E2363">
        <v>658.69999999999993</v>
      </c>
      <c r="F2363" s="1">
        <v>45744</v>
      </c>
      <c r="G2363" s="1">
        <v>45746</v>
      </c>
      <c r="H2363" t="s">
        <v>26</v>
      </c>
      <c r="I2363" t="s">
        <v>69</v>
      </c>
      <c r="J2363">
        <v>3</v>
      </c>
      <c r="K2363" t="s">
        <v>18</v>
      </c>
      <c r="L2363" t="s">
        <v>32</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2464</v>
      </c>
      <c r="B2364" t="s">
        <v>25</v>
      </c>
      <c r="C2364">
        <v>2</v>
      </c>
      <c r="D2364">
        <v>124.1</v>
      </c>
      <c r="E2364">
        <v>248.2</v>
      </c>
      <c r="F2364" s="1">
        <v>45744</v>
      </c>
      <c r="G2364" s="1">
        <v>45744</v>
      </c>
      <c r="H2364" t="s">
        <v>26</v>
      </c>
      <c r="I2364" t="s">
        <v>39</v>
      </c>
      <c r="J2364">
        <v>1</v>
      </c>
      <c r="K2364" t="s">
        <v>18</v>
      </c>
      <c r="L2364" t="s">
        <v>544</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2465</v>
      </c>
      <c r="B2365" t="s">
        <v>43</v>
      </c>
      <c r="C2365">
        <v>4</v>
      </c>
      <c r="D2365">
        <v>16.899999999999999</v>
      </c>
      <c r="E2365">
        <v>67.599999999999994</v>
      </c>
      <c r="F2365" s="1">
        <v>45744</v>
      </c>
      <c r="G2365" s="1">
        <v>45747</v>
      </c>
      <c r="H2365" t="s">
        <v>22</v>
      </c>
      <c r="I2365" t="s">
        <v>50</v>
      </c>
      <c r="J2365">
        <v>4</v>
      </c>
      <c r="K2365" t="s">
        <v>18</v>
      </c>
      <c r="L2365" t="s">
        <v>54</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2466</v>
      </c>
      <c r="B2366" t="s">
        <v>21</v>
      </c>
      <c r="C2366">
        <v>1</v>
      </c>
      <c r="D2366">
        <v>36.9</v>
      </c>
      <c r="E2366">
        <v>36.9</v>
      </c>
      <c r="F2366" s="1">
        <v>45744</v>
      </c>
      <c r="G2366" s="1">
        <v>45745</v>
      </c>
      <c r="H2366" t="s">
        <v>22</v>
      </c>
      <c r="I2366" t="s">
        <v>17</v>
      </c>
      <c r="J2366">
        <v>4</v>
      </c>
      <c r="K2366" t="s">
        <v>18</v>
      </c>
      <c r="L2366" t="s">
        <v>54</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2467</v>
      </c>
      <c r="B2367" t="s">
        <v>45</v>
      </c>
      <c r="C2367">
        <v>2</v>
      </c>
      <c r="D2367">
        <v>22.6</v>
      </c>
      <c r="E2367">
        <v>45.2</v>
      </c>
      <c r="F2367" s="1">
        <v>45744</v>
      </c>
      <c r="G2367" s="1">
        <v>45757</v>
      </c>
      <c r="H2367" t="s">
        <v>26</v>
      </c>
      <c r="I2367" t="s">
        <v>39</v>
      </c>
      <c r="J2367">
        <v>3</v>
      </c>
      <c r="K2367" t="s">
        <v>18</v>
      </c>
      <c r="L2367" t="s">
        <v>61</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2468</v>
      </c>
      <c r="B2368" t="s">
        <v>41</v>
      </c>
      <c r="C2368">
        <v>4</v>
      </c>
      <c r="D2368">
        <v>35</v>
      </c>
      <c r="E2368">
        <v>140</v>
      </c>
      <c r="F2368" s="1">
        <v>45744</v>
      </c>
      <c r="G2368" s="1">
        <v>45749</v>
      </c>
      <c r="H2368" t="s">
        <v>22</v>
      </c>
      <c r="I2368" t="s">
        <v>50</v>
      </c>
      <c r="J2368">
        <v>3</v>
      </c>
      <c r="K2368" t="s">
        <v>18</v>
      </c>
      <c r="L2368" t="s">
        <v>61</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2469</v>
      </c>
      <c r="B2369" t="s">
        <v>45</v>
      </c>
      <c r="C2369">
        <v>6</v>
      </c>
      <c r="D2369">
        <v>63.6</v>
      </c>
      <c r="E2369">
        <v>381.6</v>
      </c>
      <c r="F2369" s="1">
        <v>45744</v>
      </c>
      <c r="G2369" s="1">
        <v>45751</v>
      </c>
      <c r="I2369" t="s">
        <v>34</v>
      </c>
      <c r="J2369">
        <v>5</v>
      </c>
      <c r="K2369" t="s">
        <v>18</v>
      </c>
      <c r="L2369" t="s">
        <v>61</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2470</v>
      </c>
      <c r="B2370" t="s">
        <v>122</v>
      </c>
      <c r="C2370">
        <v>4</v>
      </c>
      <c r="D2370">
        <v>78.599999999999994</v>
      </c>
      <c r="E2370">
        <v>314.39999999999998</v>
      </c>
      <c r="F2370" s="1">
        <v>45744</v>
      </c>
      <c r="G2370" s="1">
        <v>45745</v>
      </c>
      <c r="H2370" t="s">
        <v>22</v>
      </c>
      <c r="I2370" t="s">
        <v>69</v>
      </c>
      <c r="J2370">
        <v>3</v>
      </c>
      <c r="K2370" t="s">
        <v>18</v>
      </c>
      <c r="L2370" t="s">
        <v>61</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2471</v>
      </c>
      <c r="B2371" t="s">
        <v>29</v>
      </c>
      <c r="C2371">
        <v>2</v>
      </c>
      <c r="D2371">
        <v>38.5</v>
      </c>
      <c r="E2371">
        <v>77</v>
      </c>
      <c r="F2371" s="1">
        <v>45744</v>
      </c>
      <c r="G2371" s="1">
        <v>45745</v>
      </c>
      <c r="H2371" t="s">
        <v>22</v>
      </c>
      <c r="I2371" t="s">
        <v>17</v>
      </c>
      <c r="J2371">
        <v>5</v>
      </c>
      <c r="K2371" t="s">
        <v>18</v>
      </c>
      <c r="L2371" t="s">
        <v>61</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2472</v>
      </c>
      <c r="B2372" t="s">
        <v>43</v>
      </c>
      <c r="C2372">
        <v>11</v>
      </c>
      <c r="D2372">
        <v>71.5</v>
      </c>
      <c r="E2372">
        <v>786.5</v>
      </c>
      <c r="F2372" s="1">
        <v>45744</v>
      </c>
      <c r="G2372" s="1">
        <v>45745</v>
      </c>
      <c r="H2372" t="s">
        <v>26</v>
      </c>
      <c r="I2372" t="s">
        <v>34</v>
      </c>
      <c r="J2372">
        <v>2</v>
      </c>
      <c r="K2372" t="s">
        <v>18</v>
      </c>
      <c r="L2372" t="s">
        <v>61</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2473</v>
      </c>
      <c r="B2373" t="s">
        <v>38</v>
      </c>
      <c r="C2373">
        <v>4</v>
      </c>
      <c r="D2373">
        <v>121.4</v>
      </c>
      <c r="E2373">
        <v>485.6</v>
      </c>
      <c r="F2373" s="1">
        <v>45744</v>
      </c>
      <c r="G2373" s="1">
        <v>45748</v>
      </c>
      <c r="H2373" t="s">
        <v>22</v>
      </c>
      <c r="I2373" t="s">
        <v>34</v>
      </c>
      <c r="J2373">
        <v>5</v>
      </c>
      <c r="K2373" t="s">
        <v>18</v>
      </c>
      <c r="L2373" t="s">
        <v>102</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2474</v>
      </c>
      <c r="B2374" t="s">
        <v>66</v>
      </c>
      <c r="C2374">
        <v>1</v>
      </c>
      <c r="D2374">
        <v>40.200000000000003</v>
      </c>
      <c r="E2374">
        <v>40.200000000000003</v>
      </c>
      <c r="F2374" s="1">
        <v>45744</v>
      </c>
      <c r="G2374" s="1">
        <v>45747</v>
      </c>
      <c r="H2374" t="s">
        <v>26</v>
      </c>
      <c r="I2374" t="s">
        <v>17</v>
      </c>
      <c r="J2374">
        <v>5</v>
      </c>
      <c r="K2374" t="s">
        <v>18</v>
      </c>
      <c r="L2374" t="s">
        <v>76</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2475</v>
      </c>
      <c r="B2375" t="s">
        <v>36</v>
      </c>
      <c r="C2375">
        <v>5</v>
      </c>
      <c r="D2375">
        <v>31.9</v>
      </c>
      <c r="E2375">
        <v>159.5</v>
      </c>
      <c r="F2375" s="1">
        <v>45744</v>
      </c>
      <c r="G2375" s="1">
        <v>45746</v>
      </c>
      <c r="H2375" t="s">
        <v>26</v>
      </c>
      <c r="I2375" t="s">
        <v>39</v>
      </c>
      <c r="J2375">
        <v>5</v>
      </c>
      <c r="K2375" t="s">
        <v>18</v>
      </c>
      <c r="L2375" t="s">
        <v>242</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2476</v>
      </c>
      <c r="B2376" t="s">
        <v>80</v>
      </c>
      <c r="C2376">
        <v>5</v>
      </c>
      <c r="D2376">
        <v>15.8</v>
      </c>
      <c r="E2376">
        <v>79</v>
      </c>
      <c r="F2376" s="1">
        <v>45745</v>
      </c>
      <c r="G2376" s="1">
        <v>45746</v>
      </c>
      <c r="H2376" t="s">
        <v>22</v>
      </c>
      <c r="I2376" t="s">
        <v>50</v>
      </c>
      <c r="J2376">
        <v>5</v>
      </c>
      <c r="K2376" t="s">
        <v>18</v>
      </c>
      <c r="L2376" t="s">
        <v>114</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2477</v>
      </c>
      <c r="B2377" t="s">
        <v>53</v>
      </c>
      <c r="C2377">
        <v>2</v>
      </c>
      <c r="D2377">
        <v>25.1</v>
      </c>
      <c r="E2377">
        <v>50.2</v>
      </c>
      <c r="F2377" s="1">
        <v>45745</v>
      </c>
      <c r="G2377" s="1">
        <v>45747</v>
      </c>
      <c r="I2377" t="s">
        <v>34</v>
      </c>
      <c r="J2377">
        <v>4</v>
      </c>
      <c r="K2377" t="s">
        <v>18</v>
      </c>
      <c r="L2377" t="s">
        <v>114</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2478</v>
      </c>
      <c r="B2378" t="s">
        <v>21</v>
      </c>
      <c r="C2378">
        <v>23</v>
      </c>
      <c r="D2378">
        <v>38.1</v>
      </c>
      <c r="E2378">
        <v>876.30000000000007</v>
      </c>
      <c r="F2378" s="1">
        <v>45745</v>
      </c>
      <c r="G2378" s="1">
        <v>45746</v>
      </c>
      <c r="H2378" t="s">
        <v>26</v>
      </c>
      <c r="I2378" t="s">
        <v>69</v>
      </c>
      <c r="J2378">
        <v>4</v>
      </c>
      <c r="K2378" t="s">
        <v>18</v>
      </c>
      <c r="L2378" t="s">
        <v>23</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2479</v>
      </c>
      <c r="B2379" t="s">
        <v>29</v>
      </c>
      <c r="C2379">
        <v>2</v>
      </c>
      <c r="D2379">
        <v>42.2</v>
      </c>
      <c r="E2379">
        <v>84.4</v>
      </c>
      <c r="F2379" s="1">
        <v>45745</v>
      </c>
      <c r="G2379" s="1">
        <v>45747</v>
      </c>
      <c r="H2379" t="s">
        <v>26</v>
      </c>
      <c r="I2379" t="s">
        <v>17</v>
      </c>
      <c r="J2379">
        <v>5</v>
      </c>
      <c r="K2379" t="s">
        <v>18</v>
      </c>
      <c r="L2379" t="s">
        <v>23</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2480</v>
      </c>
      <c r="B2380" t="s">
        <v>16</v>
      </c>
      <c r="C2380">
        <v>10</v>
      </c>
      <c r="D2380">
        <v>12.3</v>
      </c>
      <c r="E2380">
        <v>123</v>
      </c>
      <c r="F2380" s="1">
        <v>45745</v>
      </c>
      <c r="G2380" s="1">
        <v>45746</v>
      </c>
      <c r="H2380" t="s">
        <v>26</v>
      </c>
      <c r="I2380" t="s">
        <v>69</v>
      </c>
      <c r="J2380">
        <v>4</v>
      </c>
      <c r="K2380" t="s">
        <v>18</v>
      </c>
      <c r="L2380" t="s">
        <v>27</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2481</v>
      </c>
      <c r="B2381" t="s">
        <v>41</v>
      </c>
      <c r="C2381">
        <v>1</v>
      </c>
      <c r="D2381">
        <v>30.2</v>
      </c>
      <c r="E2381">
        <v>30.2</v>
      </c>
      <c r="F2381" s="1">
        <v>45745</v>
      </c>
      <c r="G2381" s="1">
        <v>45747</v>
      </c>
      <c r="H2381" t="s">
        <v>26</v>
      </c>
      <c r="I2381" t="s">
        <v>34</v>
      </c>
      <c r="J2381">
        <v>5</v>
      </c>
      <c r="K2381" t="s">
        <v>18</v>
      </c>
      <c r="L2381" t="s">
        <v>333</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2482</v>
      </c>
      <c r="B2382" t="s">
        <v>36</v>
      </c>
      <c r="C2382">
        <v>3</v>
      </c>
      <c r="D2382">
        <v>25.3</v>
      </c>
      <c r="E2382">
        <v>75.900000000000006</v>
      </c>
      <c r="F2382" s="1">
        <v>45745</v>
      </c>
      <c r="G2382" s="1">
        <v>45748</v>
      </c>
      <c r="H2382" t="s">
        <v>26</v>
      </c>
      <c r="I2382" t="s">
        <v>39</v>
      </c>
      <c r="J2382">
        <v>4</v>
      </c>
      <c r="K2382" t="s">
        <v>18</v>
      </c>
      <c r="L2382" t="s">
        <v>32</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2483</v>
      </c>
      <c r="B2383" t="s">
        <v>43</v>
      </c>
      <c r="C2383">
        <v>5</v>
      </c>
      <c r="D2383">
        <v>29.7</v>
      </c>
      <c r="E2383">
        <v>148.5</v>
      </c>
      <c r="F2383" s="1">
        <v>45745</v>
      </c>
      <c r="G2383" s="1">
        <v>45747</v>
      </c>
      <c r="H2383" t="s">
        <v>22</v>
      </c>
      <c r="I2383" t="s">
        <v>50</v>
      </c>
      <c r="J2383">
        <v>4</v>
      </c>
      <c r="K2383" t="s">
        <v>18</v>
      </c>
      <c r="L2383" t="s">
        <v>32</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2484</v>
      </c>
      <c r="B2384" t="s">
        <v>45</v>
      </c>
      <c r="C2384">
        <v>8</v>
      </c>
      <c r="D2384">
        <v>32.9</v>
      </c>
      <c r="E2384">
        <v>263.2</v>
      </c>
      <c r="F2384" s="1">
        <v>45745</v>
      </c>
      <c r="G2384" s="1">
        <v>45746</v>
      </c>
      <c r="I2384" t="s">
        <v>50</v>
      </c>
      <c r="J2384">
        <v>5</v>
      </c>
      <c r="K2384" t="s">
        <v>18</v>
      </c>
      <c r="L2384" t="s">
        <v>32</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2485</v>
      </c>
      <c r="B2385" t="s">
        <v>53</v>
      </c>
      <c r="C2385">
        <v>2</v>
      </c>
      <c r="D2385">
        <v>43.6</v>
      </c>
      <c r="E2385">
        <v>87.2</v>
      </c>
      <c r="F2385" s="1">
        <v>45745</v>
      </c>
      <c r="G2385" s="1">
        <v>45746</v>
      </c>
      <c r="H2385" t="s">
        <v>22</v>
      </c>
      <c r="I2385" t="s">
        <v>34</v>
      </c>
      <c r="J2385">
        <v>5</v>
      </c>
      <c r="K2385" t="s">
        <v>18</v>
      </c>
      <c r="L2385" t="s">
        <v>32</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2486</v>
      </c>
      <c r="B2386" t="s">
        <v>122</v>
      </c>
      <c r="C2386">
        <v>4</v>
      </c>
      <c r="D2386">
        <v>78.400000000000006</v>
      </c>
      <c r="E2386">
        <v>313.60000000000002</v>
      </c>
      <c r="F2386" s="1">
        <v>45745</v>
      </c>
      <c r="G2386" s="1">
        <v>45746</v>
      </c>
      <c r="H2386" t="s">
        <v>22</v>
      </c>
      <c r="I2386" t="s">
        <v>39</v>
      </c>
      <c r="J2386">
        <v>4</v>
      </c>
      <c r="K2386" t="s">
        <v>18</v>
      </c>
      <c r="L2386" t="s">
        <v>32</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2487</v>
      </c>
      <c r="B2387" t="s">
        <v>38</v>
      </c>
      <c r="C2387">
        <v>2</v>
      </c>
      <c r="D2387">
        <v>56.5</v>
      </c>
      <c r="E2387">
        <v>113</v>
      </c>
      <c r="F2387" s="1">
        <v>45745</v>
      </c>
      <c r="G2387" s="1">
        <v>45749</v>
      </c>
      <c r="H2387" t="s">
        <v>22</v>
      </c>
      <c r="I2387" t="s">
        <v>34</v>
      </c>
      <c r="J2387">
        <v>3</v>
      </c>
      <c r="K2387" t="s">
        <v>18</v>
      </c>
      <c r="L2387" t="s">
        <v>32</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2488</v>
      </c>
      <c r="B2388" t="s">
        <v>127</v>
      </c>
      <c r="C2388">
        <v>1</v>
      </c>
      <c r="D2388">
        <v>36.700000000000003</v>
      </c>
      <c r="E2388">
        <v>36.700000000000003</v>
      </c>
      <c r="F2388" s="1">
        <v>45745</v>
      </c>
      <c r="G2388" s="1">
        <v>45746</v>
      </c>
      <c r="H2388" t="s">
        <v>26</v>
      </c>
      <c r="I2388" t="s">
        <v>17</v>
      </c>
      <c r="J2388">
        <v>5</v>
      </c>
      <c r="K2388" t="s">
        <v>18</v>
      </c>
      <c r="L2388" t="s">
        <v>32</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2489</v>
      </c>
      <c r="B2389" t="s">
        <v>25</v>
      </c>
      <c r="C2389">
        <v>4</v>
      </c>
      <c r="D2389">
        <v>103.6</v>
      </c>
      <c r="E2389">
        <v>414.4</v>
      </c>
      <c r="F2389" s="1">
        <v>45745</v>
      </c>
      <c r="G2389" s="1">
        <v>45756</v>
      </c>
      <c r="H2389" t="s">
        <v>22</v>
      </c>
      <c r="I2389" t="s">
        <v>69</v>
      </c>
      <c r="J2389">
        <v>5</v>
      </c>
      <c r="K2389" t="s">
        <v>18</v>
      </c>
      <c r="L2389" t="s">
        <v>32</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2490</v>
      </c>
      <c r="B2390" t="s">
        <v>43</v>
      </c>
      <c r="C2390">
        <v>6</v>
      </c>
      <c r="D2390">
        <v>16.2</v>
      </c>
      <c r="E2390">
        <v>97.199999999999989</v>
      </c>
      <c r="F2390" s="1">
        <v>45745</v>
      </c>
      <c r="G2390" s="1">
        <v>45749</v>
      </c>
      <c r="H2390" t="s">
        <v>22</v>
      </c>
      <c r="I2390" t="s">
        <v>34</v>
      </c>
      <c r="J2390">
        <v>5</v>
      </c>
      <c r="K2390" t="s">
        <v>18</v>
      </c>
      <c r="L2390" t="s">
        <v>54</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2491</v>
      </c>
      <c r="B2391" t="s">
        <v>43</v>
      </c>
      <c r="C2391">
        <v>2</v>
      </c>
      <c r="D2391">
        <v>20.2</v>
      </c>
      <c r="E2391">
        <v>40.4</v>
      </c>
      <c r="F2391" s="1">
        <v>45745</v>
      </c>
      <c r="G2391" s="1">
        <v>45746</v>
      </c>
      <c r="H2391" t="s">
        <v>26</v>
      </c>
      <c r="I2391" t="s">
        <v>17</v>
      </c>
      <c r="J2391">
        <v>4</v>
      </c>
      <c r="K2391" t="s">
        <v>18</v>
      </c>
      <c r="L2391" t="s">
        <v>54</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2492</v>
      </c>
      <c r="B2392" t="s">
        <v>66</v>
      </c>
      <c r="C2392">
        <v>2</v>
      </c>
      <c r="D2392">
        <v>26.9</v>
      </c>
      <c r="E2392">
        <v>53.8</v>
      </c>
      <c r="F2392" s="1">
        <v>45745</v>
      </c>
      <c r="G2392" s="1">
        <v>45747</v>
      </c>
      <c r="H2392" t="s">
        <v>26</v>
      </c>
      <c r="I2392" t="s">
        <v>39</v>
      </c>
      <c r="J2392">
        <v>4</v>
      </c>
      <c r="K2392" t="s">
        <v>18</v>
      </c>
      <c r="L2392" t="s">
        <v>54</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2493</v>
      </c>
      <c r="B2393" t="s">
        <v>21</v>
      </c>
      <c r="C2393">
        <v>2</v>
      </c>
      <c r="D2393">
        <v>82.4</v>
      </c>
      <c r="E2393">
        <v>164.8</v>
      </c>
      <c r="F2393" s="1">
        <v>45745</v>
      </c>
      <c r="G2393" s="1">
        <v>45748</v>
      </c>
      <c r="I2393" t="s">
        <v>17</v>
      </c>
      <c r="J2393">
        <v>4</v>
      </c>
      <c r="K2393" t="s">
        <v>18</v>
      </c>
      <c r="L2393" t="s">
        <v>58</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2494</v>
      </c>
      <c r="B2394" t="s">
        <v>25</v>
      </c>
      <c r="C2394">
        <v>2</v>
      </c>
      <c r="D2394">
        <v>117.8</v>
      </c>
      <c r="E2394">
        <v>235.6</v>
      </c>
      <c r="F2394" s="1">
        <v>45745</v>
      </c>
      <c r="G2394" s="1">
        <v>45747</v>
      </c>
      <c r="H2394" t="s">
        <v>22</v>
      </c>
      <c r="I2394" t="s">
        <v>34</v>
      </c>
      <c r="J2394">
        <v>5</v>
      </c>
      <c r="K2394" t="s">
        <v>18</v>
      </c>
      <c r="L2394" t="s">
        <v>61</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2495</v>
      </c>
      <c r="B2395" t="s">
        <v>66</v>
      </c>
      <c r="C2395">
        <v>4</v>
      </c>
      <c r="D2395">
        <v>36.700000000000003</v>
      </c>
      <c r="E2395">
        <v>146.80000000000001</v>
      </c>
      <c r="F2395" s="1">
        <v>45745</v>
      </c>
      <c r="G2395" s="1">
        <v>45746</v>
      </c>
      <c r="H2395" t="s">
        <v>22</v>
      </c>
      <c r="I2395" t="s">
        <v>34</v>
      </c>
      <c r="J2395">
        <v>4</v>
      </c>
      <c r="K2395" t="s">
        <v>18</v>
      </c>
      <c r="L2395" t="s">
        <v>61</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2496</v>
      </c>
      <c r="B2396" t="s">
        <v>134</v>
      </c>
      <c r="C2396">
        <v>3</v>
      </c>
      <c r="D2396">
        <v>46.8</v>
      </c>
      <c r="E2396">
        <v>140.39999999999998</v>
      </c>
      <c r="F2396" s="1">
        <v>45745</v>
      </c>
      <c r="G2396" s="1">
        <v>45746</v>
      </c>
      <c r="H2396" t="s">
        <v>22</v>
      </c>
      <c r="I2396" t="s">
        <v>69</v>
      </c>
      <c r="J2396">
        <v>5</v>
      </c>
      <c r="K2396" t="s">
        <v>18</v>
      </c>
      <c r="L2396" t="s">
        <v>73</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2497</v>
      </c>
      <c r="B2397" t="s">
        <v>29</v>
      </c>
      <c r="C2397">
        <v>1</v>
      </c>
      <c r="D2397">
        <v>61.4</v>
      </c>
      <c r="E2397">
        <v>61.4</v>
      </c>
      <c r="F2397" s="1">
        <v>45745</v>
      </c>
      <c r="G2397" s="1">
        <v>45746</v>
      </c>
      <c r="H2397" t="s">
        <v>22</v>
      </c>
      <c r="I2397" t="s">
        <v>34</v>
      </c>
      <c r="J2397">
        <v>4</v>
      </c>
      <c r="K2397" t="s">
        <v>18</v>
      </c>
      <c r="L2397" t="s">
        <v>73</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2498</v>
      </c>
      <c r="B2398" t="s">
        <v>122</v>
      </c>
      <c r="C2398">
        <v>2</v>
      </c>
      <c r="D2398">
        <v>22.9</v>
      </c>
      <c r="E2398">
        <v>45.8</v>
      </c>
      <c r="F2398" s="1">
        <v>45745</v>
      </c>
      <c r="G2398" s="1">
        <v>45746</v>
      </c>
      <c r="H2398" t="s">
        <v>22</v>
      </c>
      <c r="I2398" t="s">
        <v>17</v>
      </c>
      <c r="J2398">
        <v>4</v>
      </c>
      <c r="K2398" t="s">
        <v>18</v>
      </c>
      <c r="L2398" t="s">
        <v>76</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2499</v>
      </c>
      <c r="B2399" t="s">
        <v>53</v>
      </c>
      <c r="C2399">
        <v>2</v>
      </c>
      <c r="D2399">
        <v>22.1</v>
      </c>
      <c r="E2399">
        <v>44.2</v>
      </c>
      <c r="F2399" s="1">
        <v>45745</v>
      </c>
      <c r="G2399" s="1">
        <v>45746</v>
      </c>
      <c r="H2399" t="s">
        <v>26</v>
      </c>
      <c r="I2399" t="s">
        <v>69</v>
      </c>
      <c r="J2399">
        <v>4</v>
      </c>
      <c r="K2399" t="s">
        <v>18</v>
      </c>
      <c r="L2399" t="s">
        <v>76</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2500</v>
      </c>
      <c r="B2400" t="s">
        <v>68</v>
      </c>
      <c r="C2400">
        <v>2</v>
      </c>
      <c r="D2400">
        <v>31</v>
      </c>
      <c r="E2400">
        <v>62</v>
      </c>
      <c r="F2400" s="1">
        <v>45745</v>
      </c>
      <c r="G2400" s="1">
        <v>45747</v>
      </c>
      <c r="H2400" t="s">
        <v>26</v>
      </c>
      <c r="I2400" t="s">
        <v>39</v>
      </c>
      <c r="J2400">
        <v>4</v>
      </c>
      <c r="K2400" t="s">
        <v>18</v>
      </c>
      <c r="L2400" t="s">
        <v>107</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2501</v>
      </c>
      <c r="B2401" t="s">
        <v>145</v>
      </c>
      <c r="C2401">
        <v>2</v>
      </c>
      <c r="D2401">
        <v>84.2</v>
      </c>
      <c r="E2401">
        <v>168.4</v>
      </c>
      <c r="F2401" s="1">
        <v>45745</v>
      </c>
      <c r="G2401" s="1">
        <v>45747</v>
      </c>
      <c r="H2401" t="s">
        <v>22</v>
      </c>
      <c r="I2401" t="s">
        <v>39</v>
      </c>
      <c r="J2401">
        <v>5</v>
      </c>
      <c r="K2401" t="s">
        <v>18</v>
      </c>
      <c r="L2401" t="s">
        <v>81</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E9" sqref="E9"/>
    </sheetView>
  </sheetViews>
  <sheetFormatPr defaultRowHeight="14.4" x14ac:dyDescent="0.3"/>
  <cols>
    <col min="1" max="1" width="3.6640625" customWidth="1"/>
    <col min="2" max="2" width="52.77734375" customWidth="1"/>
  </cols>
  <sheetData>
    <row r="2" spans="2:2" x14ac:dyDescent="0.3">
      <c r="B2" s="3" t="s">
        <v>2502</v>
      </c>
    </row>
    <row r="3" spans="2:2" x14ac:dyDescent="0.3">
      <c r="B3" s="4" t="s">
        <v>2503</v>
      </c>
    </row>
    <row r="4" spans="2:2" x14ac:dyDescent="0.3">
      <c r="B4" s="4" t="s">
        <v>2504</v>
      </c>
    </row>
    <row r="5" spans="2:2" x14ac:dyDescent="0.3">
      <c r="B5" s="4" t="s">
        <v>2505</v>
      </c>
    </row>
    <row r="6" spans="2:2" x14ac:dyDescent="0.3">
      <c r="B6" s="4" t="s">
        <v>2506</v>
      </c>
    </row>
    <row r="7" spans="2:2" x14ac:dyDescent="0.3">
      <c r="B7" s="4" t="s">
        <v>2507</v>
      </c>
    </row>
    <row r="10" spans="2:2" x14ac:dyDescent="0.3">
      <c r="B10" s="3" t="s">
        <v>2508</v>
      </c>
    </row>
    <row r="11" spans="2:2" x14ac:dyDescent="0.3">
      <c r="B11" t="s">
        <v>2509</v>
      </c>
    </row>
    <row r="12" spans="2:2" x14ac:dyDescent="0.3">
      <c r="B12" t="s">
        <v>2510</v>
      </c>
    </row>
    <row r="13" spans="2:2" x14ac:dyDescent="0.3">
      <c r="B13" t="s">
        <v>2511</v>
      </c>
    </row>
    <row r="14" spans="2:2" x14ac:dyDescent="0.3">
      <c r="B14" t="s">
        <v>2512</v>
      </c>
    </row>
    <row r="15" spans="2:2" x14ac:dyDescent="0.3">
      <c r="B15" t="s">
        <v>2513</v>
      </c>
    </row>
    <row r="16" spans="2:2" x14ac:dyDescent="0.3">
      <c r="B16" t="s">
        <v>2514</v>
      </c>
    </row>
    <row r="17" spans="2:2" x14ac:dyDescent="0.3">
      <c r="B17" t="s">
        <v>2515</v>
      </c>
    </row>
    <row r="18" spans="2:2" x14ac:dyDescent="0.3">
      <c r="B18" t="s">
        <v>2516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9F0FC-AD96-4523-9B7B-8CDD7D374A63}">
  <dimension ref="A1"/>
  <sheetViews>
    <sheetView zoomScale="67" zoomScaleNormal="79" workbookViewId="0">
      <selection activeCell="J43" sqref="J43"/>
    </sheetView>
  </sheetViews>
  <sheetFormatPr defaultRowHeight="14.4" x14ac:dyDescent="0.3"/>
  <cols>
    <col min="1" max="1" width="4.77734375" customWidth="1"/>
    <col min="2" max="2" width="23.6640625" customWidth="1"/>
    <col min="3" max="3" width="4.77734375"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Pivots</vt:lpstr>
      <vt:lpstr>App Amt. by Gender</vt:lpstr>
      <vt:lpstr>Qty2 by tx.id</vt:lpstr>
      <vt:lpstr>Product by Gender</vt:lpstr>
      <vt:lpstr>Sheet2</vt:lpstr>
      <vt:lpstr>Data</vt:lpstr>
      <vt:lpstr>Questions &amp; KPIs</vt:lpstr>
      <vt:lpstr>Product 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Tanuj Choudhary</cp:lastModifiedBy>
  <dcterms:created xsi:type="dcterms:W3CDTF">2025-06-13T02:42:26Z</dcterms:created>
  <dcterms:modified xsi:type="dcterms:W3CDTF">2026-03-27T11:34:48Z</dcterms:modified>
</cp:coreProperties>
</file>